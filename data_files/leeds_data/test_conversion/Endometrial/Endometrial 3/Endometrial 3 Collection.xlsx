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hs-my.sharepoint.com/personal/clare_freer2_nhs_net/Documents/TrisStar metadata/Endometrial/Endometrial 3/"/>
    </mc:Choice>
  </mc:AlternateContent>
  <xr:revisionPtr revIDLastSave="7726" documentId="11_F9F6FD2F9EAEFA52C416220E3D9E4704522FE6A2" xr6:coauthVersionLast="47" xr6:coauthVersionMax="47" xr10:uidLastSave="{DF9A7BA8-8E7C-4024-B609-AFDC50A25CFF}"/>
  <bookViews>
    <workbookView xWindow="-120" yWindow="-120" windowWidth="29040" windowHeight="15720" firstSheet="3" xr2:uid="{00000000-000D-0000-FFFF-FFFF00000000}"/>
  </bookViews>
  <sheets>
    <sheet name="Case selection (ship 1)" sheetId="1" r:id="rId1"/>
    <sheet name="Case selection (ship 2)" sheetId="6" r:id="rId2"/>
    <sheet name="Case selection (ship 3)" sheetId="8" r:id="rId3"/>
    <sheet name="Case selection (ship 4)" sheetId="9" r:id="rId4"/>
    <sheet name="Packing list" sheetId="3" r:id="rId5"/>
    <sheet name="CellNass_Returns_Blocks" sheetId="11" r:id="rId6"/>
    <sheet name="Matched Bx (Pan)" sheetId="10" r:id="rId7"/>
    <sheet name="Case selection (2)" sheetId="5" r:id="rId8"/>
    <sheet name="Notes" sheetId="4" r:id="rId9"/>
  </sheets>
  <definedNames>
    <definedName name="_xlnm._FilterDatabase" localSheetId="6" hidden="1">'Matched Bx (Pan)'!$A$1:$I$305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4" i="9" l="1"/>
  <c r="C94" i="9"/>
  <c r="D94" i="9"/>
  <c r="E94" i="9"/>
  <c r="F94" i="9"/>
  <c r="G94" i="9"/>
  <c r="H94" i="9"/>
  <c r="I94" i="9"/>
  <c r="J94" i="9"/>
  <c r="K94" i="9"/>
  <c r="L94" i="9"/>
  <c r="M94" i="9"/>
  <c r="N94" i="9"/>
  <c r="O94" i="9"/>
  <c r="P94" i="9"/>
  <c r="Q94" i="9"/>
  <c r="R94" i="9"/>
  <c r="S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AJ94" i="9"/>
  <c r="AK94" i="9"/>
  <c r="AL94" i="9"/>
  <c r="AM94" i="9"/>
  <c r="AN94" i="9"/>
  <c r="AO94" i="9"/>
  <c r="AP94" i="9"/>
  <c r="AQ94" i="9"/>
  <c r="AR94" i="9"/>
  <c r="AS94" i="9"/>
  <c r="AT94" i="9"/>
  <c r="AU94" i="9"/>
  <c r="AA12" i="3"/>
  <c r="AA11" i="3"/>
  <c r="AA10" i="3"/>
  <c r="AA8" i="3"/>
  <c r="AA14" i="3"/>
  <c r="F3" i="11"/>
  <c r="I3" i="11" s="1"/>
  <c r="F4" i="11"/>
  <c r="I4" i="11" s="1"/>
  <c r="F5" i="11"/>
  <c r="I5" i="11" s="1"/>
  <c r="F6" i="11"/>
  <c r="I6" i="11" s="1"/>
  <c r="F7" i="11"/>
  <c r="I7" i="11" s="1"/>
  <c r="F2" i="11"/>
  <c r="I2" i="11" s="1"/>
  <c r="O132" i="3"/>
  <c r="O131" i="3"/>
  <c r="O130" i="3"/>
  <c r="O128" i="3"/>
  <c r="O134" i="3"/>
  <c r="U153" i="3"/>
  <c r="U152" i="3"/>
  <c r="U151" i="3"/>
  <c r="U149" i="3"/>
  <c r="U155" i="3"/>
  <c r="I198" i="3"/>
  <c r="I197" i="3"/>
  <c r="I196" i="3"/>
  <c r="I194" i="3"/>
  <c r="I200" i="3"/>
  <c r="C124" i="3"/>
  <c r="C123" i="3"/>
  <c r="C122" i="3"/>
  <c r="C120" i="3"/>
  <c r="A94" i="9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AK139" i="8"/>
  <c r="AL139" i="8"/>
  <c r="AM139" i="8"/>
  <c r="AN139" i="8"/>
  <c r="AO139" i="8"/>
  <c r="AP139" i="8"/>
  <c r="AQ139" i="8"/>
  <c r="AR139" i="8"/>
  <c r="AS139" i="8"/>
  <c r="AT139" i="8"/>
  <c r="AU139" i="8"/>
  <c r="A139" i="8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C83" i="1"/>
  <c r="D160" i="6"/>
  <c r="E160" i="6"/>
  <c r="F160" i="6"/>
  <c r="G160" i="6"/>
  <c r="H160" i="6"/>
  <c r="I160" i="6"/>
  <c r="J160" i="6"/>
  <c r="K160" i="6"/>
  <c r="L160" i="6"/>
  <c r="M160" i="6"/>
  <c r="N160" i="6"/>
  <c r="O160" i="6"/>
  <c r="P160" i="6"/>
  <c r="Q160" i="6"/>
  <c r="R160" i="6"/>
  <c r="S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AJ160" i="6"/>
  <c r="AK160" i="6"/>
  <c r="AL160" i="6"/>
  <c r="AM160" i="6"/>
  <c r="AN160" i="6"/>
  <c r="AO160" i="6"/>
  <c r="AP160" i="6"/>
  <c r="AQ160" i="6"/>
  <c r="AR160" i="6"/>
  <c r="AS160" i="6"/>
  <c r="AT160" i="6"/>
  <c r="AU160" i="6"/>
  <c r="C160" i="6"/>
  <c r="A160" i="6"/>
  <c r="B160" i="6"/>
  <c r="A83" i="1"/>
  <c r="B83" i="1"/>
  <c r="C12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tc={121B136F-9F81-418A-BDD9-914DA65245BF}</author>
  </authors>
  <commentList>
    <comment ref="B14" authorId="0" shapeId="0" xr:uid="{121B136F-9F81-418A-BDD9-914DA65245BF}">
      <text>
        <t>[Threaded comment]
Your version of Excel allows you to read this threaded comment; however, any edits to it will get removed if the file is opened in a newer version of Excel. Learn more: https://go.microsoft.com/fwlink/?linkid=870924
Comment:
    Might be with Yong &amp; Ingas cohort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tc={A76A9083-3699-4654-BCD2-A3B182D94DCD}</author>
    <author>tc={EBA276AB-30D9-416F-B97F-CF6E7555F094}</author>
    <author>tc={D0D253B9-B83C-4171-8158-09F064075886}</author>
    <author>tc={13DCEF30-663D-493F-816E-804B4788AD4F}</author>
    <author>tc={0699D142-67B5-4ED4-9DF5-2A80355FDF25}</author>
    <author>tc={12CD92CA-33CB-4474-AE36-DE5F457E1E11}</author>
    <author>tc={18E24F34-AFDA-46C4-AA46-B12C2E3538DD}</author>
    <author>tc={4C65D7E4-5C22-4F52-B97C-1430B01E6616}</author>
    <author>tc={E9F92A1D-F227-44D5-846A-225CE9D48B97}</author>
    <author>tc={FA226BE7-4894-497E-8659-32E528581AF9}</author>
    <author>tc={8E734D2A-215A-46F3-9FAD-EE8BC5C0D7E6}</author>
    <author>tc={35245D8E-B5E8-4EF2-883F-AD571DE231E9}</author>
    <author>tc={05804482-0CA9-4B2C-B935-741C28CA284D}</author>
    <author>tc={83D11198-4D76-4973-B9C5-4B503367516C}</author>
    <author>tc={0D9C0BBD-F861-478B-833B-63CEFD0E958A}</author>
    <author>tc={5CE791BE-ACB9-4892-B75E-C0DFE7CBEFFA}</author>
    <author>tc={46394B79-666E-402D-BB3A-4AC5F90EC481}</author>
    <author>tc={01F56F04-0B28-4641-AAB2-E9AC725F17BA}</author>
    <author>tc={A204FDD6-756A-4A22-BB49-8012BBA3DC71}</author>
    <author>tc={45C644CE-B2F2-4715-A0AE-99854ED610FC}</author>
    <author>tc={8E6D1614-7D9B-4B79-89B3-33F24BF02777}</author>
    <author>tc={37ACD061-A6B7-48DD-B76F-A97374414457}</author>
    <author>tc={26F4B943-9614-44E4-B78B-13FF52C32687}</author>
    <author>tc={EDA713F4-EADA-4A6E-BD30-2B55F19A1F56}</author>
    <author>tc={2D474ABA-3393-4F8C-B2C5-329819F95346}</author>
    <author>tc={1BE3C03B-9323-4978-BB8E-5F10634DB3B1}</author>
    <author>tc={2C3C9E01-A56F-483E-B244-F74C4EF50952}</author>
    <author>tc={8748DC57-FBB2-4C99-9DA5-329DAAC8FC52}</author>
    <author>tc={ED356A03-C1F5-43AE-99A7-BC89FE13083C}</author>
    <author>tc={E080A47A-45D5-4CAD-982C-66676B044FAE}</author>
    <author>tc={506C25E2-FCFE-49D2-807E-456346819E76}</author>
    <author>tc={6848206B-025E-467C-9FB5-60FD535D88EF}</author>
    <author>tc={1C39559A-A25C-49BB-BBD4-2E995B3D26B5}</author>
    <author>tc={5594CF19-1791-498A-8558-0AD8D1758964}</author>
    <author>tc={041299F2-1D82-484D-9E50-150E3229A50A}</author>
  </authors>
  <commentList>
    <comment ref="B10" authorId="0" shapeId="0" xr:uid="{A76A9083-3699-4654-BCD2-A3B182D94DCD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proficient)</t>
      </text>
    </comment>
    <comment ref="B14" authorId="1" shapeId="0" xr:uid="{EBA276AB-30D9-416F-B97F-CF6E7555F094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deficient)</t>
      </text>
    </comment>
    <comment ref="B19" authorId="2" shapeId="0" xr:uid="{D0D253B9-B83C-4171-8158-09F064075886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deficient)</t>
      </text>
    </comment>
    <comment ref="B21" authorId="3" shapeId="0" xr:uid="{13DCEF30-663D-493F-816E-804B4788AD4F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Longitudinal 1 (Endometrial)</t>
      </text>
    </comment>
    <comment ref="B23" authorId="4" shapeId="0" xr:uid="{0699D142-67B5-4ED4-9DF5-2A80355FDF25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proficient)</t>
      </text>
    </comment>
    <comment ref="B24" authorId="5" shapeId="0" xr:uid="{12CD92CA-33CB-4474-AE36-DE5F457E1E11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proficient)</t>
      </text>
    </comment>
    <comment ref="B25" authorId="6" shapeId="0" xr:uid="{18E24F34-AFDA-46C4-AA46-B12C2E3538DD}">
      <text>
        <t>[Threaded comment]
Your version of Excel allows you to read this threaded comment; however, any edits to it will get removed if the file is opened in a newer version of Excel. Learn more: https://go.microsoft.com/fwlink/?linkid=870924
Comment:
    Ovarian cancer, moved to Ovarian 1</t>
      </text>
    </comment>
    <comment ref="B26" authorId="7" shapeId="0" xr:uid="{4C65D7E4-5C22-4F52-B97C-1430B01E6616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deficient)</t>
      </text>
    </comment>
    <comment ref="B32" authorId="8" shapeId="0" xr:uid="{E9F92A1D-F227-44D5-846A-225CE9D48B97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proficient)</t>
      </text>
    </comment>
    <comment ref="B33" authorId="9" shapeId="0" xr:uid="{FA226BE7-4894-497E-8659-32E528581AF9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deficient)</t>
      </text>
    </comment>
    <comment ref="P34" authorId="10" shapeId="0" xr:uid="{8E734D2A-215A-46F3-9FAD-EE8BC5C0D7E6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reject case</t>
      </text>
    </comment>
    <comment ref="S34" authorId="11" shapeId="0" xr:uid="{35245D8E-B5E8-4EF2-883F-AD571DE231E9}">
      <text>
        <t>[Threaded comment]
Your version of Excel allows you to read this threaded comment; however, any edits to it will get removed if the file is opened in a newer version of Excel. Learn more: https://go.microsoft.com/fwlink/?linkid=870924
Comment:
    lh22-14883</t>
      </text>
    </comment>
    <comment ref="AE34" authorId="12" shapeId="0" xr:uid="{05804482-0CA9-4B2C-B935-741C28CA284D}">
      <text>
        <t>[Threaded comment]
Your version of Excel allows you to read this threaded comment; however, any edits to it will get removed if the file is opened in a newer version of Excel. Learn more: https://go.microsoft.com/fwlink/?linkid=870924
Comment:
    lh22-14883</t>
      </text>
    </comment>
    <comment ref="AL34" authorId="13" shapeId="0" xr:uid="{83D11198-4D76-4973-B9C5-4B503367516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don't send</t>
      </text>
    </comment>
    <comment ref="B35" authorId="14" shapeId="0" xr:uid="{0D9C0BBD-F861-478B-833B-63CEFD0E958A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deficient)</t>
      </text>
    </comment>
    <comment ref="B50" authorId="15" shapeId="0" xr:uid="{5CE791BE-ACB9-4892-B75E-C0DFE7CBEFFA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deficient)</t>
      </text>
    </comment>
    <comment ref="B52" authorId="16" shapeId="0" xr:uid="{46394B79-666E-402D-BB3A-4AC5F90EC481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&amp; Inga</t>
      </text>
    </comment>
    <comment ref="B54" authorId="17" shapeId="0" xr:uid="{01F56F04-0B28-4641-AAB2-E9AC725F17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Normal tissue sent in  Normal tissue 2 (Ovary) LDS0003727</t>
      </text>
    </comment>
    <comment ref="B57" authorId="18" shapeId="0" xr:uid="{A204FDD6-756A-4A22-BB49-8012BBA3DC71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proficient)</t>
      </text>
    </comment>
    <comment ref="B60" authorId="19" shapeId="0" xr:uid="{45C644CE-B2F2-4715-A0AE-99854ED610FC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&amp; Inga</t>
      </text>
    </comment>
    <comment ref="B61" authorId="20" shapeId="0" xr:uid="{8E6D1614-7D9B-4B79-89B3-33F24BF02777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deficient)</t>
      </text>
    </comment>
    <comment ref="B67" authorId="21" shapeId="0" xr:uid="{37ACD061-A6B7-48DD-B76F-A97374414457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deficient)</t>
      </text>
    </comment>
    <comment ref="B68" authorId="22" shapeId="0" xr:uid="{26F4B943-9614-44E4-B78B-13FF52C32687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HGNEC 1 (ship 2)</t>
      </text>
    </comment>
    <comment ref="B69" authorId="23" shapeId="0" xr:uid="{EDA713F4-EADA-4A6E-BD30-2B55F19A1F56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&amp; Inga</t>
      </text>
    </comment>
    <comment ref="B74" authorId="24" shapeId="0" xr:uid="{2D474ABA-3393-4F8C-B2C5-329819F95346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proficient)</t>
      </text>
    </comment>
    <comment ref="B75" authorId="25" shapeId="0" xr:uid="{1BE3C03B-9323-4978-BB8E-5F10634DB3B1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&amp; Inga</t>
      </text>
    </comment>
    <comment ref="B76" authorId="26" shapeId="0" xr:uid="{2C3C9E01-A56F-483E-B244-F74C4EF50952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proficient)</t>
      </text>
    </comment>
    <comment ref="B81" authorId="27" shapeId="0" xr:uid="{8748DC57-FBB2-4C99-9DA5-329DAAC8FC52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deficient)</t>
      </text>
    </comment>
    <comment ref="AN83" authorId="28" shapeId="0" xr:uid="{ED356A03-C1F5-43AE-99A7-BC89FE13083C}">
      <text>
        <t>[Threaded comment]
Your version of Excel allows you to read this threaded comment; however, any edits to it will get removed if the file is opened in a newer version of Excel. Learn more: https://go.microsoft.com/fwlink/?linkid=870924
Comment:
    Any mets available? Use best one as 'X' block</t>
      </text>
    </comment>
    <comment ref="B87" authorId="29" shapeId="0" xr:uid="{E080A47A-45D5-4CAD-982C-66676B044FAE}">
      <text>
        <t>[Threaded comment]
Your version of Excel allows you to read this threaded comment; however, any edits to it will get removed if the file is opened in a newer version of Excel. Learn more: https://go.microsoft.com/fwlink/?linkid=870924
Comment:
     Endometrial 2 (MMR deficient)</t>
      </text>
    </comment>
    <comment ref="B105" authorId="30" shapeId="0" xr:uid="{506C25E2-FCFE-49D2-807E-456346819E76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&amp; Inga</t>
      </text>
    </comment>
    <comment ref="B115" authorId="31" shapeId="0" xr:uid="{6848206B-025E-467C-9FB5-60FD535D88EF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&amp; Inga</t>
      </text>
    </comment>
    <comment ref="B121" authorId="32" shapeId="0" xr:uid="{1C39559A-A25C-49BB-BBD4-2E995B3D26B5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&amp; Inga</t>
      </text>
    </comment>
    <comment ref="B138" authorId="33" shapeId="0" xr:uid="{5594CF19-1791-498A-8558-0AD8D1758964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Biopsies and resections (Endometrial)</t>
      </text>
    </comment>
    <comment ref="B148" authorId="34" shapeId="0" xr:uid="{041299F2-1D82-484D-9E50-150E3229A50A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&amp; Inga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tc={FD2B2E94-7323-4DAF-B4C8-22973AAA8C54}</author>
    <author>tc={038D0DF2-C6EF-4BB3-A43C-7C4D07004AA1}</author>
    <author>tc={15FDCE6A-FECA-41C7-B43C-F72E7DBC441B}</author>
    <author>tc={23F3C2E3-BE35-4DA5-A710-959C00CAF242}</author>
    <author>tc={9876BBA7-743E-4C8E-B959-238F429989B3}</author>
    <author>tc={9A7E2140-19CE-4E48-8801-1583C06E2863}</author>
    <author>tc={7DE83F7C-0B49-4EAD-B3ED-FA681DCCEC3D}</author>
    <author>tc={0D631DAA-A606-4996-926E-69C562FBCC62}</author>
    <author>tc={C5D633FF-D370-4468-8E7A-758DE615340F}</author>
    <author>tc={A727517E-BE22-4B10-987C-F74B71528D92}</author>
    <author>tc={8454540E-007C-4B96-B6B8-F9B2DEF65CAE}</author>
    <author>tc={07AD19A3-1704-4068-985C-4C2FDBF8A370}</author>
    <author>tc={3541FDC7-EC3D-4594-9F9C-E24BC4AD2893}</author>
    <author>tc={92C51D28-597D-40C9-83BC-E76220C74F45}</author>
    <author>tc={2EA70FCD-CAA4-4905-9107-9B6CC26DCAF3}</author>
    <author>tc={E70CAD05-E52E-43C8-A1C7-41F8A51D6297}</author>
    <author>tc={1F45223B-0F98-4352-8C4A-409670C01621}</author>
    <author>tc={D04DBB75-B0D5-42D1-BAA1-B886B74786FC}</author>
    <author>tc={81EE04FA-F022-4C89-99A4-696BE1FD574D}</author>
    <author>tc={E46F24D5-807B-4003-A5DD-3DFD98EE9E7D}</author>
    <author>tc={12B6328B-111E-4C97-9F8C-967C4A3011A5}</author>
    <author>tc={8FAF68B4-B9C6-4E0A-B701-456D8114E552}</author>
    <author>tc={E95272F0-5C41-47D1-B961-DF5ACB0AAE22}</author>
    <author>tc={418EC3B4-36AD-4C20-9D5E-B66E622F1707}</author>
    <author>tc={69D787A4-4D2A-4BAD-9F0A-5C9D3064A9D2}</author>
    <author>tc={F52465B3-3251-4CF3-94BB-750D45CD9D24}</author>
    <author>tc={64A93E00-83D1-4A9A-8A96-B9E0E4595FE8}</author>
    <author>tc={EA4DC233-77E2-48E7-B533-8E4D1D108E2F}</author>
    <author>tc={C6696425-F8EC-4767-B9D1-619A79558B46}</author>
    <author>tc={68B174F8-191B-42B9-882F-439B5714B9B1}</author>
    <author>tc={E6D7288E-42FA-4E0C-A344-62B8DB7B6055}</author>
    <author>tc={AEE45852-2932-41B7-9A99-3D508293CED7}</author>
    <author>tc={2B7B0881-8ED1-4BE7-A7EA-020DC997A0AD}</author>
    <author>tc={F8A39B63-7852-4CFF-A693-CF8C0A60EE34}</author>
    <author>tc={FB643DFB-43AC-4A78-A530-5977651DBE85}</author>
    <author>tc={3D04F700-58F1-470A-A54B-25BD5F89E265}</author>
    <author>tc={80A463CA-E455-44F2-A858-85ECD7436CA5}</author>
    <author>tc={51C3816B-1953-4ECB-B48B-A36B08A061CC}</author>
    <author>tc={147891D6-7F59-4E5E-B5BD-037F05ACF1D5}</author>
    <author>tc={DC05D420-8D1F-45F6-BB9C-01C6CBD3F018}</author>
    <author>tc={F2D12596-F4A2-47FB-A8D1-E32A01A403B8}</author>
    <author>tc={0570B667-5522-4D32-9981-A5643BA516AC}</author>
  </authors>
  <commentList>
    <comment ref="B20" authorId="0" shapeId="0" xr:uid="{FD2B2E94-7323-4DAF-B4C8-22973AAA8C54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+ Inga</t>
      </text>
    </comment>
    <comment ref="B21" authorId="1" shapeId="0" xr:uid="{038D0DF2-C6EF-4BB3-A43C-7C4D07004AA1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+ Inga</t>
      </text>
    </comment>
    <comment ref="B22" authorId="2" shapeId="0" xr:uid="{15FDCE6A-FECA-41C7-B43C-F72E7DBC441B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+ Inga</t>
      </text>
    </comment>
    <comment ref="P22" authorId="3" shapeId="0" xr:uid="{23F3C2E3-BE35-4DA5-A710-959C00CAF24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needs to be copathed</t>
      </text>
    </comment>
    <comment ref="B23" authorId="4" shapeId="0" xr:uid="{9876BBA7-743E-4C8E-B959-238F429989B3}">
      <text>
        <t>[Threaded comment]
Your version of Excel allows you to read this threaded comment; however, any edits to it will get removed if the file is opened in a newer version of Excel. Learn more: https://go.microsoft.com/fwlink/?linkid=870924
Comment:
    Duplicate LH number, is this correct</t>
      </text>
    </comment>
    <comment ref="B24" authorId="5" shapeId="0" xr:uid="{9A7E2140-19CE-4E48-8801-1583C06E2863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proficient)</t>
      </text>
    </comment>
    <comment ref="B26" authorId="6" shapeId="0" xr:uid="{7DE83F7C-0B49-4EAD-B3ED-FA681DCCEC3D}">
      <text>
        <t>[Threaded comment]
Your version of Excel allows you to read this threaded comment; however, any edits to it will get removed if the file is opened in a newer version of Excel. Learn more: https://go.microsoft.com/fwlink/?linkid=870924
Comment:
     sent in Endometrial 1 (ship 2)</t>
      </text>
    </comment>
    <comment ref="B27" authorId="7" shapeId="0" xr:uid="{0D631DAA-A606-4996-926E-69C562FBCC62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proficient)</t>
      </text>
    </comment>
    <comment ref="B28" authorId="8" shapeId="0" xr:uid="{C5D633FF-D370-4468-8E7A-758DE615340F}">
      <text>
        <t>[Threaded comment]
Your version of Excel allows you to read this threaded comment; however, any edits to it will get removed if the file is opened in a newer version of Excel. Learn more: https://go.microsoft.com/fwlink/?linkid=870924
Comment:
    Wrong case collected</t>
      </text>
    </comment>
    <comment ref="B29" authorId="9" shapeId="0" xr:uid="{A727517E-BE22-4B10-987C-F74B71528D92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+ Inga</t>
      </text>
    </comment>
    <comment ref="B35" authorId="10" shapeId="0" xr:uid="{8454540E-007C-4B96-B6B8-F9B2DEF65CAE}">
      <text>
        <t>[Threaded comment]
Your version of Excel allows you to read this threaded comment; however, any edits to it will get removed if the file is opened in a newer version of Excel. Learn more: https://go.microsoft.com/fwlink/?linkid=870924
Comment:
     Sent in Endometrial 2 (MMR deficient)</t>
      </text>
    </comment>
    <comment ref="B39" authorId="11" shapeId="0" xr:uid="{07AD19A3-1704-4068-985C-4C2FDBF8A370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Endometrial 2 (MMR deficient)</t>
      </text>
    </comment>
    <comment ref="B40" authorId="12" shapeId="0" xr:uid="{3541FDC7-EC3D-4594-9F9C-E24BC4AD2893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proficient)</t>
      </text>
    </comment>
    <comment ref="B41" authorId="13" shapeId="0" xr:uid="{92C51D28-597D-40C9-83BC-E76220C74F45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Pembro/Nivo 2022-2023 Misc</t>
      </text>
    </comment>
    <comment ref="B43" authorId="14" shapeId="0" xr:uid="{2EA70FCD-CAA4-4905-9107-9B6CC26DCAF3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proficient)</t>
      </text>
    </comment>
    <comment ref="B46" authorId="15" shapeId="0" xr:uid="{E70CAD05-E52E-43C8-A1C7-41F8A51D6297}">
      <text>
        <t>[Threaded comment]
Your version of Excel allows you to read this threaded comment; however, any edits to it will get removed if the file is opened in a newer version of Excel. Learn more: https://go.microsoft.com/fwlink/?linkid=870924
Comment:
     sent in Endometrial 1 (ship 2)</t>
      </text>
    </comment>
    <comment ref="B48" authorId="16" shapeId="0" xr:uid="{1F45223B-0F98-4352-8C4A-409670C01621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Biopsies and resections (Endometrial)</t>
      </text>
    </comment>
    <comment ref="B49" authorId="17" shapeId="0" xr:uid="{D04DBB75-B0D5-42D1-BAA1-B886B74786FC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+ Inga</t>
      </text>
    </comment>
    <comment ref="B52" authorId="18" shapeId="0" xr:uid="{81EE04FA-F022-4C89-99A4-696BE1FD574D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+ Inga</t>
      </text>
    </comment>
    <comment ref="B55" authorId="19" shapeId="0" xr:uid="{E46F24D5-807B-4003-A5DD-3DFD98EE9E7D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+ Inga</t>
      </text>
    </comment>
    <comment ref="B56" authorId="20" shapeId="0" xr:uid="{12B6328B-111E-4C97-9F8C-967C4A3011A5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proficient)</t>
      </text>
    </comment>
    <comment ref="B58" authorId="21" shapeId="0" xr:uid="{8FAF68B4-B9C6-4E0A-B701-456D8114E552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+ Inga</t>
      </text>
    </comment>
    <comment ref="B63" authorId="22" shapeId="0" xr:uid="{E95272F0-5C41-47D1-B961-DF5ACB0AAE22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Endometrial 2 (MMR deficient)</t>
      </text>
    </comment>
    <comment ref="B65" authorId="23" shapeId="0" xr:uid="{418EC3B4-36AD-4C20-9D5E-B66E622F1707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+ Inga</t>
      </text>
    </comment>
    <comment ref="B71" authorId="24" shapeId="0" xr:uid="{69D787A4-4D2A-4BAD-9F0A-5C9D3064A9D2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Endometrial 2 (MMR deficient)</t>
      </text>
    </comment>
    <comment ref="B72" authorId="25" shapeId="0" xr:uid="{F52465B3-3251-4CF3-94BB-750D45CD9D24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proficient)</t>
      </text>
    </comment>
    <comment ref="B79" authorId="26" shapeId="0" xr:uid="{64A93E00-83D1-4A9A-8A96-B9E0E4595FE8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+ Inga</t>
      </text>
    </comment>
    <comment ref="B82" authorId="27" shapeId="0" xr:uid="{EA4DC233-77E2-48E7-B533-8E4D1D108E2F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Endometrial 2 (MMR deficient)</t>
      </text>
    </comment>
    <comment ref="B85" authorId="28" shapeId="0" xr:uid="{C6696425-F8EC-4767-B9D1-619A79558B46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+ Inga</t>
      </text>
    </comment>
    <comment ref="B88" authorId="29" shapeId="0" xr:uid="{68B174F8-191B-42B9-882F-439B5714B9B1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Endometrial 2 (MMR deficient)</t>
      </text>
    </comment>
    <comment ref="B93" authorId="30" shapeId="0" xr:uid="{E6D7288E-42FA-4E0C-A344-62B8DB7B6055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+ Inga</t>
      </text>
    </comment>
    <comment ref="B94" authorId="31" shapeId="0" xr:uid="{AEE45852-2932-41B7-9A99-3D508293CED7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+ Inga</t>
      </text>
    </comment>
    <comment ref="B98" authorId="32" shapeId="0" xr:uid="{2B7B0881-8ED1-4BE7-A7EA-020DC997A0AD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proficient)</t>
      </text>
    </comment>
    <comment ref="B101" authorId="33" shapeId="0" xr:uid="{F8A39B63-7852-4CFF-A693-CF8C0A60EE34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proficient)</t>
      </text>
    </comment>
    <comment ref="B102" authorId="34" shapeId="0" xr:uid="{FB643DFB-43AC-4A78-A530-5977651DBE85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Endometrial 2 (MMR deficient)</t>
      </text>
    </comment>
    <comment ref="B106" authorId="35" shapeId="0" xr:uid="{3D04F700-58F1-470A-A54B-25BD5F89E265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+ Inga</t>
      </text>
    </comment>
    <comment ref="B107" authorId="36" shapeId="0" xr:uid="{80A463CA-E455-44F2-A858-85ECD7436CA5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Endometrial 2 (MMR deficient)</t>
      </text>
    </comment>
    <comment ref="B109" authorId="37" shapeId="0" xr:uid="{51C3816B-1953-4ECB-B48B-A36B08A061CC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+ Inga</t>
      </text>
    </comment>
    <comment ref="B115" authorId="38" shapeId="0" xr:uid="{147891D6-7F59-4E5E-B5BD-037F05ACF1D5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proficient)</t>
      </text>
    </comment>
    <comment ref="B116" authorId="39" shapeId="0" xr:uid="{DC05D420-8D1F-45F6-BB9C-01C6CBD3F018}">
      <text>
        <t>[Threaded comment]
Your version of Excel allows you to read this threaded comment; however, any edits to it will get removed if the file is opened in a newer version of Excel. Learn more: https://go.microsoft.com/fwlink/?linkid=870924
Comment:
    slides selected were for case below - need to check if this is a full reject</t>
      </text>
    </comment>
    <comment ref="B118" authorId="40" shapeId="0" xr:uid="{F2D12596-F4A2-47FB-A8D1-E32A01A403B8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Endometrial 2 (MMR proficient)</t>
      </text>
    </comment>
    <comment ref="B125" authorId="41" shapeId="0" xr:uid="{0570B667-5522-4D32-9981-A5643BA516AC}">
      <text>
        <t>[Threaded comment]
Your version of Excel allows you to read this threaded comment; however, any edits to it will get removed if the file is opened in a newer version of Excel. Learn more: https://go.microsoft.com/fwlink/?linkid=870924
Comment:
    Yong + Inga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tc={EED30D26-4E22-4EA5-8BBD-8628A0858A49}</author>
    <author>tc={6D3C4458-7434-402F-8EAF-16800DBEAA1E}</author>
  </authors>
  <commentList>
    <comment ref="AD71" authorId="0" shapeId="0" xr:uid="{EED30D26-4E22-4EA5-8BBD-8628A0858A49}">
      <text>
        <t>[Threaded comment]
Your version of Excel allows you to read this threaded comment; however, any edits to it will get removed if the file is opened in a newer version of Excel. Learn more: https://go.microsoft.com/fwlink/?linkid=870924
Comment:
    x?</t>
      </text>
    </comment>
    <comment ref="S79" authorId="1" shapeId="0" xr:uid="{6D3C4458-7434-402F-8EAF-16800DBEAA1E}">
      <text>
        <t>[Threaded comment]
Your version of Excel allows you to read this threaded comment; however, any edits to it will get removed if the file is opened in a newer version of Excel. Learn more: https://go.microsoft.com/fwlink/?linkid=870924
Comment:
    Ovarian synchronous tumour, move to Ovarian 2 (ship 4)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tc={00C50921-B6C2-495C-82EA-55B4402E82D5}</author>
  </authors>
  <commentList>
    <comment ref="G167" authorId="0" shapeId="0" xr:uid="{00C50921-B6C2-495C-82EA-55B4402E82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accidentally scraped the 3 of A23 off, written on in pen, in case of a query that it's A2 not A23 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tc={80A1F877-F18E-4A65-B5E6-010006106C8B}</author>
    <author>tc={09C12CD5-9410-4DBA-BB08-62B0347B4921}</author>
  </authors>
  <commentList>
    <comment ref="A19" authorId="0" shapeId="0" xr:uid="{80A1F877-F18E-4A65-B5E6-010006106C8B}">
      <text>
        <t>[Threaded comment]
Your version of Excel allows you to read this threaded comment; however, any edits to it will get removed if the file is opened in a newer version of Excel. Learn more: https://go.microsoft.com/fwlink/?linkid=870924
Comment:
    collection sheet input wrong, case rejected</t>
      </text>
    </comment>
    <comment ref="A34" authorId="1" shapeId="0" xr:uid="{09C12CD5-9410-4DBA-BB08-62B0347B4921}">
      <text>
        <t>[Threaded comment]
Your version of Excel allows you to read this threaded comment; however, any edits to it will get removed if the file is opened in a newer version of Excel. Learn more: https://go.microsoft.com/fwlink/?linkid=870924
Comment:
    Normal tissue sent in  Normal tissue 2 (Ovary) LDS0003727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tc={2FCA04A2-4344-4A35-9C83-DE058D9FC082}</author>
    <author>tc={1EA2C75F-9B9E-4FC1-BA49-21A12C903D3E}</author>
  </authors>
  <commentList>
    <comment ref="AB14" authorId="0" shapeId="0" xr:uid="{2FCA04A2-4344-4A35-9C83-DE058D9FC082}">
      <text>
        <t>[Threaded comment]
Your version of Excel allows you to read this threaded comment; however, any edits to it will get removed if the file is opened in a newer version of Excel. Learn more: https://go.microsoft.com/fwlink/?linkid=870924
Comment:
    BROKEN, DNS</t>
      </text>
    </comment>
    <comment ref="AG38" authorId="1" shapeId="0" xr:uid="{1EA2C75F-9B9E-4FC1-BA49-21A12C903D3E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BLOCKS REMOVED BY ROULSON ON 09.08.2017</t>
      </text>
    </comment>
  </commentList>
</comments>
</file>

<file path=xl/sharedStrings.xml><?xml version="1.0" encoding="utf-8"?>
<sst xmlns="http://schemas.openxmlformats.org/spreadsheetml/2006/main" count="10352" uniqueCount="1479">
  <si>
    <t>Cases to remove</t>
  </si>
  <si>
    <t>1 primary and 1 met where possible</t>
  </si>
  <si>
    <t>Patient Info</t>
  </si>
  <si>
    <t>If Dissent N:</t>
  </si>
  <si>
    <t>Slides Selected:</t>
  </si>
  <si>
    <r>
      <rPr>
        <b/>
        <u/>
        <sz val="11"/>
        <color rgb="FF000000"/>
        <rFont val="Calibri Light"/>
        <family val="2"/>
        <scheme val="major"/>
      </rPr>
      <t xml:space="preserve">Blocks Collected: </t>
    </r>
    <r>
      <rPr>
        <b/>
        <u/>
        <sz val="11"/>
        <color rgb="FFFF0000"/>
        <rFont val="Calibri Light"/>
        <family val="2"/>
        <scheme val="major"/>
      </rPr>
      <t>2 TUMOUR BLOCKS MAX</t>
    </r>
    <r>
      <rPr>
        <b/>
        <u/>
        <sz val="11"/>
        <color rgb="FF000000"/>
        <rFont val="Calibri Light"/>
        <family val="2"/>
        <scheme val="major"/>
      </rPr>
      <t xml:space="preserve"> i.e. P + P or P + M</t>
    </r>
  </si>
  <si>
    <t>Rejected</t>
  </si>
  <si>
    <t>Specimen number</t>
  </si>
  <si>
    <t>NHS numbers</t>
  </si>
  <si>
    <t>Tissue Pathway</t>
  </si>
  <si>
    <t>Specimen List Notes</t>
  </si>
  <si>
    <t>Patient Info Notes</t>
  </si>
  <si>
    <t>DOB</t>
  </si>
  <si>
    <t>Gender</t>
  </si>
  <si>
    <t>Dissent Y/N</t>
  </si>
  <si>
    <t>Consent</t>
  </si>
  <si>
    <t>Form Incomplete</t>
  </si>
  <si>
    <t>Form missing</t>
  </si>
  <si>
    <t>No. small slides from CellNass</t>
  </si>
  <si>
    <t>No. large slides from CellNass</t>
  </si>
  <si>
    <t>Total no. of slides recieved from CellNass</t>
  </si>
  <si>
    <t>Slides Collected</t>
  </si>
  <si>
    <t>CoPath (SC)</t>
  </si>
  <si>
    <t>Slides Missing (if any…)</t>
  </si>
  <si>
    <t>P1</t>
  </si>
  <si>
    <t>P2</t>
  </si>
  <si>
    <t>P3</t>
  </si>
  <si>
    <t>P4</t>
  </si>
  <si>
    <t>P5</t>
  </si>
  <si>
    <t>M1</t>
  </si>
  <si>
    <t>M2</t>
  </si>
  <si>
    <t>M3</t>
  </si>
  <si>
    <t>M4</t>
  </si>
  <si>
    <t>M5</t>
  </si>
  <si>
    <t>N</t>
  </si>
  <si>
    <t>S</t>
  </si>
  <si>
    <t>X</t>
  </si>
  <si>
    <t>CoPath (SS)</t>
  </si>
  <si>
    <t>Selected Slides Notes</t>
  </si>
  <si>
    <t>X Blocks in Archive</t>
  </si>
  <si>
    <t>X Blocks missing from Archive</t>
  </si>
  <si>
    <t>Blocks recieved from CellNass</t>
  </si>
  <si>
    <t>Block Collection Notes</t>
  </si>
  <si>
    <t>BP1</t>
  </si>
  <si>
    <t>BP2</t>
  </si>
  <si>
    <t>BM1</t>
  </si>
  <si>
    <t>BM2</t>
  </si>
  <si>
    <t>BN1</t>
  </si>
  <si>
    <t>CoPath (BC)</t>
  </si>
  <si>
    <t>CoPath (Tristar)</t>
  </si>
  <si>
    <t>Block Shipment Notes</t>
  </si>
  <si>
    <t>Scanned?</t>
  </si>
  <si>
    <t>CoPath (post scan)</t>
  </si>
  <si>
    <t>LH24-00554</t>
  </si>
  <si>
    <t>Gynaecological tract</t>
  </si>
  <si>
    <t>F</t>
  </si>
  <si>
    <t>A1-16, A21-31, B1-5, C1-6, D1-6, E1-3, A17-20(L)</t>
  </si>
  <si>
    <t>Y</t>
  </si>
  <si>
    <t>A2</t>
  </si>
  <si>
    <t>A18[L]</t>
  </si>
  <si>
    <t>A17[L]</t>
  </si>
  <si>
    <t>A19[L]</t>
  </si>
  <si>
    <t>A20[L], A27, A1, A26</t>
  </si>
  <si>
    <t>D5</t>
  </si>
  <si>
    <t>A4</t>
  </si>
  <si>
    <t>LH24-03973</t>
  </si>
  <si>
    <t>A1-18</t>
  </si>
  <si>
    <t>A16</t>
  </si>
  <si>
    <t>A17</t>
  </si>
  <si>
    <t>LH24-05500</t>
  </si>
  <si>
    <t>A7-22, A5-6(L)</t>
  </si>
  <si>
    <t>A5[L]</t>
  </si>
  <si>
    <t>A6[L]</t>
  </si>
  <si>
    <t>A7</t>
  </si>
  <si>
    <t>LH24-05814</t>
  </si>
  <si>
    <t>A1-3, A9-26, A4-8(L)</t>
  </si>
  <si>
    <t>A8[L]</t>
  </si>
  <si>
    <t>A4[L]</t>
  </si>
  <si>
    <t>A20</t>
  </si>
  <si>
    <t>A7[L]</t>
  </si>
  <si>
    <t>LH24-05817</t>
  </si>
  <si>
    <t>A6</t>
  </si>
  <si>
    <t>A10</t>
  </si>
  <si>
    <t>LH24-05930</t>
  </si>
  <si>
    <t>A1-7, A10-22, B1-15, C1-7, D1-7, E1-7, F1-2, IHC</t>
  </si>
  <si>
    <t>A14</t>
  </si>
  <si>
    <t>A12</t>
  </si>
  <si>
    <t>E4</t>
  </si>
  <si>
    <t>E3</t>
  </si>
  <si>
    <t>A13</t>
  </si>
  <si>
    <t>LH24-06740</t>
  </si>
  <si>
    <t>A6-29, B1-6, C1-4, D1-2</t>
  </si>
  <si>
    <t>A8</t>
  </si>
  <si>
    <t>A9</t>
  </si>
  <si>
    <t>LH24-07844</t>
  </si>
  <si>
    <t>A1-13, A15-19, A14(L)</t>
  </si>
  <si>
    <t>A14[L]</t>
  </si>
  <si>
    <t>A15</t>
  </si>
  <si>
    <t>LH24-07845</t>
  </si>
  <si>
    <t>A1-3, A6-22, B1, C1-2, IHC, A4-5(L)</t>
  </si>
  <si>
    <t>A2, A7, A3</t>
  </si>
  <si>
    <t>LH24-12460</t>
  </si>
  <si>
    <t>US 20/09/24</t>
  </si>
  <si>
    <t>LH24-13251</t>
  </si>
  <si>
    <t>A1-3, A8-39</t>
  </si>
  <si>
    <t>A1</t>
  </si>
  <si>
    <t>LH24-13901</t>
  </si>
  <si>
    <t>A1-11, A15-21, B1-6, C1-7, D1-8, E1-2, A12-14(L)</t>
  </si>
  <si>
    <t>A13[L]</t>
  </si>
  <si>
    <t>A3, A11, A2</t>
  </si>
  <si>
    <t>LH24-15241</t>
  </si>
  <si>
    <t>A1-18, B1-4, C1-3</t>
  </si>
  <si>
    <t>A10, A6</t>
  </si>
  <si>
    <t>A11</t>
  </si>
  <si>
    <t>LH24-15536</t>
  </si>
  <si>
    <t>A1-4, A7-21, B1-2, C1-3, A5-6(L)</t>
  </si>
  <si>
    <t>A3</t>
  </si>
  <si>
    <t>A4, A9</t>
  </si>
  <si>
    <t>LH24-16703</t>
  </si>
  <si>
    <t>A1-14, A20, A23, B1-6, C1-2, D1-2, IHC</t>
  </si>
  <si>
    <t>LH24-16775</t>
  </si>
  <si>
    <t>A1-16, A17-18(L)</t>
  </si>
  <si>
    <t>LH24-16953</t>
  </si>
  <si>
    <t>A1-19, B1-4, C1-9, D1-9, E1-2, F1-2, G1, IHC</t>
  </si>
  <si>
    <t>A18</t>
  </si>
  <si>
    <t>LH24-17236</t>
  </si>
  <si>
    <t>A1-3, A8-22</t>
  </si>
  <si>
    <t>LH24-19001</t>
  </si>
  <si>
    <t>A1-2, A5-27</t>
  </si>
  <si>
    <t>A8, A6, A13, A15, A11</t>
  </si>
  <si>
    <t>LH24-19388</t>
  </si>
  <si>
    <t>MISSING NO SLIP</t>
  </si>
  <si>
    <t>LH24-19442</t>
  </si>
  <si>
    <t>A1-23, B1-4, C1-5, D1-5, E1-3, F1, IHC</t>
  </si>
  <si>
    <t>A18, A19, A15</t>
  </si>
  <si>
    <t>LH24-20468</t>
  </si>
  <si>
    <t>A1-13, B1-2, C1-5, IHC</t>
  </si>
  <si>
    <t>A5</t>
  </si>
  <si>
    <t>LH24-21249</t>
  </si>
  <si>
    <t>A1-21, A30-48, B1-3, C1, IHC</t>
  </si>
  <si>
    <t>A32</t>
  </si>
  <si>
    <t>A31</t>
  </si>
  <si>
    <t>A30</t>
  </si>
  <si>
    <t>LH24-21339</t>
  </si>
  <si>
    <t>A1-16, A20-30, IHC, A18-19(L)</t>
  </si>
  <si>
    <t>LH24-21668</t>
  </si>
  <si>
    <t>A1-18, B1-4, C1-2, D1-2, IHC</t>
  </si>
  <si>
    <t>LH24-22739</t>
  </si>
  <si>
    <t>A1-4, A6, A11-27, B1-6, C1-6, D1, IHC, A7-10(L)</t>
  </si>
  <si>
    <t>A9[L]</t>
  </si>
  <si>
    <t>[A7]</t>
  </si>
  <si>
    <t>A10[L]</t>
  </si>
  <si>
    <t>A19, A18, A8[L]</t>
  </si>
  <si>
    <t>A1, A2</t>
  </si>
  <si>
    <t>LH24-22743</t>
  </si>
  <si>
    <t>A1-21, A24-28, A22-23(L)</t>
  </si>
  <si>
    <t>A25</t>
  </si>
  <si>
    <t>A22[L]</t>
  </si>
  <si>
    <t>A24</t>
  </si>
  <si>
    <t>A23[L]</t>
  </si>
  <si>
    <t>A26</t>
  </si>
  <si>
    <t>LH24-22955</t>
  </si>
  <si>
    <t>A1-15, A22-32, B1-7, C1-2, D1-5, A16-21(L)</t>
  </si>
  <si>
    <t>A16[L]</t>
  </si>
  <si>
    <t>A19[L], A20[L], A21[L], A15, A11, A8, A10</t>
  </si>
  <si>
    <t>A4, A3, A5, A6</t>
  </si>
  <si>
    <t>A17[L], A13</t>
  </si>
  <si>
    <t>LH24-24196</t>
  </si>
  <si>
    <t>A1-10, A15-20, B1-6, C1-4, D1-6, E1, F1-3</t>
  </si>
  <si>
    <t>D1, D2</t>
  </si>
  <si>
    <t>LH24-24712</t>
  </si>
  <si>
    <t>A1-13, A16-22, B1-5, C1-2, D1-5, IHC, A14-15(L)</t>
  </si>
  <si>
    <t>A21</t>
  </si>
  <si>
    <t>A19</t>
  </si>
  <si>
    <t>A20, A22, A13</t>
  </si>
  <si>
    <t>A15[L]</t>
  </si>
  <si>
    <t>LH24-24956</t>
  </si>
  <si>
    <t>A1-15, B1-6</t>
  </si>
  <si>
    <t>LH24-25521</t>
  </si>
  <si>
    <t xml:space="preserve">A1-19 </t>
  </si>
  <si>
    <t>LH24-28558</t>
  </si>
  <si>
    <t>A1-6, A9-10, A12-16, B1-7, C1-5, D1-5, E1-5, F1-2</t>
  </si>
  <si>
    <t>B6</t>
  </si>
  <si>
    <t>B6 = Ovary</t>
  </si>
  <si>
    <t>LH24-28722</t>
  </si>
  <si>
    <t>A1-20, B1-4, C1-16, D1-13</t>
  </si>
  <si>
    <t>A16 = Ovary</t>
  </si>
  <si>
    <t>LH24-28761</t>
  </si>
  <si>
    <t>A1-15, A17-22, B1-4, C1-10, D1-7, IHC, A16(L)</t>
  </si>
  <si>
    <t>A22</t>
  </si>
  <si>
    <t>A17, A21</t>
  </si>
  <si>
    <t>A14 = Ovary</t>
  </si>
  <si>
    <t>LH24-29351</t>
  </si>
  <si>
    <t xml:space="preserve">A1-21 </t>
  </si>
  <si>
    <t>A21 = Ovary</t>
  </si>
  <si>
    <t>LH24-30972</t>
  </si>
  <si>
    <t>A1-13, A15-17, B1-5, C1-5, D1-7, A14(L)</t>
  </si>
  <si>
    <t>LH24-35849</t>
  </si>
  <si>
    <t>A1-12, A15-24, B1-4, C1-2, D1</t>
  </si>
  <si>
    <t>A22, A24</t>
  </si>
  <si>
    <t>LH24-36121</t>
  </si>
  <si>
    <t>A1-12, A15-17, IHC</t>
  </si>
  <si>
    <t>LH24-36555</t>
  </si>
  <si>
    <t>A1-14, B1-4, C1-2, D1, IHC</t>
  </si>
  <si>
    <t>LH24-37041</t>
  </si>
  <si>
    <t>A1-4, A6-24, B1-2, C1-3</t>
  </si>
  <si>
    <t>LH24-37640</t>
  </si>
  <si>
    <t>A1-4, A7-13, B1-4, C1, D1, IHC, A5-6(L)</t>
  </si>
  <si>
    <t>A9, A11</t>
  </si>
  <si>
    <t>LH24-38100</t>
  </si>
  <si>
    <t>A1-27, B1-6, C1-2, D1</t>
  </si>
  <si>
    <t>A27, A1, A5</t>
  </si>
  <si>
    <t>A23</t>
  </si>
  <si>
    <t>LH24-39175</t>
  </si>
  <si>
    <t>A1-18, B1-4, C1-2, D1, E1-2</t>
  </si>
  <si>
    <t>LH24-39728</t>
  </si>
  <si>
    <t>A1-13, A20, A23</t>
  </si>
  <si>
    <t>LH24-40100</t>
  </si>
  <si>
    <t>A1-17</t>
  </si>
  <si>
    <t>LH24-42750</t>
  </si>
  <si>
    <t>A3-13, A15</t>
  </si>
  <si>
    <t>LH24-43147</t>
  </si>
  <si>
    <t>A1-18, B1-6, C1-4, D1-3, E1-4, F1-4</t>
  </si>
  <si>
    <t>LH24-43353</t>
  </si>
  <si>
    <t>A1-23, B1-3</t>
  </si>
  <si>
    <t>LH24-44444</t>
  </si>
  <si>
    <t xml:space="preserve">A1-3, A6-22 </t>
  </si>
  <si>
    <t>LH24-44510</t>
  </si>
  <si>
    <t>A1-2, A4-15, A3-4(L)</t>
  </si>
  <si>
    <t>LH24-43529</t>
  </si>
  <si>
    <t>A1-15, A19, A23-27, B1-5, C1, A16-18(L), A20-22(L)</t>
  </si>
  <si>
    <t>A27</t>
  </si>
  <si>
    <t>A23, A20[L], A21[L], A16[L]</t>
  </si>
  <si>
    <t>LH24-45380</t>
  </si>
  <si>
    <t>A1-26, A29-36, B1-5, C1-4, D1-2, A27-28(L)</t>
  </si>
  <si>
    <t>A16, A21, A19, A33, A6, A5, A4, A29, A30, A22, A31, A12, A15, A27[L], A28[L]</t>
  </si>
  <si>
    <t>LH24-46248</t>
  </si>
  <si>
    <t>A1-6, A10-24</t>
  </si>
  <si>
    <t>LH24-48224</t>
  </si>
  <si>
    <t>A1-21</t>
  </si>
  <si>
    <t>A8, A5</t>
  </si>
  <si>
    <t>LH24-48225</t>
  </si>
  <si>
    <t>LH24-48565</t>
  </si>
  <si>
    <t>A1-20, B1-3, C1-3, IHC</t>
  </si>
  <si>
    <t>LH24-49128</t>
  </si>
  <si>
    <t>A1-23, A28-30, B1-5, C1, D1, IHC, A24-27(L)</t>
  </si>
  <si>
    <t>A26[L]</t>
  </si>
  <si>
    <t>A29</t>
  </si>
  <si>
    <t>A27[L]</t>
  </si>
  <si>
    <t>A28, A8, A25[L] ,A24[L]</t>
  </si>
  <si>
    <t>LH24-50007</t>
  </si>
  <si>
    <t>A1-22, B1-4, C1, D1, E1-2, F1</t>
  </si>
  <si>
    <t>E1</t>
  </si>
  <si>
    <t>E2</t>
  </si>
  <si>
    <t>A10, A7, A6, A4 ,A5</t>
  </si>
  <si>
    <t>C1</t>
  </si>
  <si>
    <t>D1</t>
  </si>
  <si>
    <t>LH24-50847</t>
  </si>
  <si>
    <t>A1-34, B1, IHC</t>
  </si>
  <si>
    <t>A5 L2</t>
  </si>
  <si>
    <t>LH24-50942</t>
  </si>
  <si>
    <t>A1-21, IHC</t>
  </si>
  <si>
    <t>A8, A10</t>
  </si>
  <si>
    <t>LH24-51332</t>
  </si>
  <si>
    <t>A1-9, A12-13, A19-24, B1-5, C1-7, D1-9, E1-2</t>
  </si>
  <si>
    <t>C7</t>
  </si>
  <si>
    <t>C7 = LYMPH NODE</t>
  </si>
  <si>
    <t>LH24-51864</t>
  </si>
  <si>
    <t xml:space="preserve">A1-19, B1-4, C1 </t>
  </si>
  <si>
    <t>LH24-51891</t>
  </si>
  <si>
    <t>A1-13, B1-3, A14-16(L)</t>
  </si>
  <si>
    <t>A11, A14[L]</t>
  </si>
  <si>
    <t>LH24-51893</t>
  </si>
  <si>
    <t>A1-4, A9-21, B1-6, A5-8(L)</t>
  </si>
  <si>
    <t>A3, A4</t>
  </si>
  <si>
    <t>LH24-52185</t>
  </si>
  <si>
    <t>A1-2, A6-12, A14-19, B1-6, C1-2, D1-2, E2, IHC</t>
  </si>
  <si>
    <t>A7, A1</t>
  </si>
  <si>
    <t>LH24-53103</t>
  </si>
  <si>
    <t>A1-4, A7-22, B1-3, C1-2, D1-3</t>
  </si>
  <si>
    <t>LH24-53846</t>
  </si>
  <si>
    <t>A1-19, A24, A26-34, A20-23(L), A25(L)</t>
  </si>
  <si>
    <t>A25[L]</t>
  </si>
  <si>
    <t>A20[L]</t>
  </si>
  <si>
    <t>LH24-53847</t>
  </si>
  <si>
    <t>A1-12, A15-24, B1-2, C1-2, IHC</t>
  </si>
  <si>
    <t>LH24-53997</t>
  </si>
  <si>
    <t>LH24-54132</t>
  </si>
  <si>
    <t>A1-25, B1-4, C1-2</t>
  </si>
  <si>
    <t>A7 L2</t>
  </si>
  <si>
    <t>LH24-55020</t>
  </si>
  <si>
    <t>A1-14, B1-7, C1-4, D1-3, E1-3, IHC</t>
  </si>
  <si>
    <t>LH24-55095</t>
  </si>
  <si>
    <t>A1-24</t>
  </si>
  <si>
    <t>LH24-55176</t>
  </si>
  <si>
    <t>A1-25, B1-5, C1-7, D1-10, E1-2</t>
  </si>
  <si>
    <t>LH24-55512</t>
  </si>
  <si>
    <t>A1-23</t>
  </si>
  <si>
    <t>LH24-55622</t>
  </si>
  <si>
    <t>A1-2, A4-9, B1, C1</t>
  </si>
  <si>
    <t>LH23-53493</t>
  </si>
  <si>
    <t>Moved from Ovarian 2 (S2)</t>
  </si>
  <si>
    <t>A1-12, B1-5, C1-2, D1-3, E1-2</t>
  </si>
  <si>
    <t>LH22-01273</t>
  </si>
  <si>
    <t>A1-6, A11-28, B1-5, C1-6, D1-8, E1-8, F1-3, A7-10(L)</t>
  </si>
  <si>
    <t>A28, A16, A12, A7[L]</t>
  </si>
  <si>
    <t>LH22-01887</t>
  </si>
  <si>
    <t>A1-5, A7-22, B1-18, C1-10, A6(L)</t>
  </si>
  <si>
    <t>A4, A3, A2, A1</t>
  </si>
  <si>
    <t>LH22-02066</t>
  </si>
  <si>
    <t>A1-4, A9-29, B1-8, C1-6, A5-8(L)</t>
  </si>
  <si>
    <t>A8[L], A9, A11, A10</t>
  </si>
  <si>
    <t>C2</t>
  </si>
  <si>
    <t>LH22-02268</t>
  </si>
  <si>
    <t>A1-19</t>
  </si>
  <si>
    <t>LH22-03081</t>
  </si>
  <si>
    <t>A1-15, B1-3, C1-2, D1-5, E1, F1</t>
  </si>
  <si>
    <t>Yes</t>
  </si>
  <si>
    <t>LH22-03117</t>
  </si>
  <si>
    <t>LH22-03245</t>
  </si>
  <si>
    <t>A2-5, A8-32, B1-4, C1-10, D1-8, E1-3, F1-3, A1(L), A6-7(L)</t>
  </si>
  <si>
    <t>A12, A9, A8, A10, A18, A29, A15, A30, A27, A24, A16,</t>
  </si>
  <si>
    <t>D2</t>
  </si>
  <si>
    <t>A14, A28, A4, A17</t>
  </si>
  <si>
    <t>A1[L]</t>
  </si>
  <si>
    <t>LH22-03658</t>
  </si>
  <si>
    <t>A1-19, B1-4, C1-5, D1-6, E1</t>
  </si>
  <si>
    <t>LH22-04455</t>
  </si>
  <si>
    <t>A1-21, B1-4, C1-4, D1-5, E1-3, F1</t>
  </si>
  <si>
    <t>LH22-04761</t>
  </si>
  <si>
    <t>LH22-05078</t>
  </si>
  <si>
    <t>A1-5, A10-32, B1-6, C1-8, D1-10, E1-5, A6-9(L)</t>
  </si>
  <si>
    <t>A4, A5</t>
  </si>
  <si>
    <t>LH22-05566</t>
  </si>
  <si>
    <t>A1-13, A15-19, B1-5, C1-7, D1-8, E1-4, F1-2, G1, A14(L)</t>
  </si>
  <si>
    <t>LH22-05615</t>
  </si>
  <si>
    <t>A1-16, B1-7, C1-7, D1-2, E1, F1-3, G1-6</t>
  </si>
  <si>
    <t>LH22-05668</t>
  </si>
  <si>
    <t>A1-12, B1-4, C1-9, D1-8, E1-2, F1-2, G1</t>
  </si>
  <si>
    <t>LH22-06036</t>
  </si>
  <si>
    <t>LH22-07173</t>
  </si>
  <si>
    <t>A1-16, A19-22, B1-5, C1-10, D1-8, E1-6, A17-18(L)</t>
  </si>
  <si>
    <t>A10, A2, A11, A22</t>
  </si>
  <si>
    <t>LH22-07427</t>
  </si>
  <si>
    <t>LH22-08465</t>
  </si>
  <si>
    <t>A1-20, B1-7, C1-6, D1-7, E1-5</t>
  </si>
  <si>
    <t>A18, A19</t>
  </si>
  <si>
    <t>LH22-08832</t>
  </si>
  <si>
    <t>LH22-09726</t>
  </si>
  <si>
    <t>LH22-10000</t>
  </si>
  <si>
    <t>A1-25, B1-24, C1-6</t>
  </si>
  <si>
    <t>LH22-11424</t>
  </si>
  <si>
    <t>LH22-11742</t>
  </si>
  <si>
    <t>A1-7, A12-29, B1-6, C1-8, D1-7, A8-11(L)</t>
  </si>
  <si>
    <t>A11[L], A10[L]</t>
  </si>
  <si>
    <t>LH22-11926</t>
  </si>
  <si>
    <t>A1-6, A11-35, A7-10(L)</t>
  </si>
  <si>
    <t>LH22-12221</t>
  </si>
  <si>
    <t>A1-6, A8-20, B1-4, C1-6, D1-6, A7(L)</t>
  </si>
  <si>
    <t>A8, A14</t>
  </si>
  <si>
    <t>LH22-12283</t>
  </si>
  <si>
    <t>A1-5, A8-24, A6-7(L)</t>
  </si>
  <si>
    <t>LH22-12909</t>
  </si>
  <si>
    <t>A1-13, B1-4, C1, D1-2, E1-4, F1</t>
  </si>
  <si>
    <t>LH22-13156</t>
  </si>
  <si>
    <t>LH22-13562</t>
  </si>
  <si>
    <t>LH22-14384</t>
  </si>
  <si>
    <t>A1-27</t>
  </si>
  <si>
    <t>LH22-14651</t>
  </si>
  <si>
    <t>LH22-14883</t>
  </si>
  <si>
    <t>A1-8, A11-27, B1-6, C1-8, D1-6, E1-4, F1, G1-3, A9-10(L)</t>
  </si>
  <si>
    <t>A3, A4, A1, A12, A14, A11, A13</t>
  </si>
  <si>
    <t>LH22-15486</t>
  </si>
  <si>
    <t>A1-16, B1-6, C1-6, D1-7, E1-4</t>
  </si>
  <si>
    <t>C5</t>
  </si>
  <si>
    <t>D6, D4, D2</t>
  </si>
  <si>
    <t>LH22-15637</t>
  </si>
  <si>
    <t>A1-4, A6-17, B1-6, C1-4, D1-2, A5(L)</t>
  </si>
  <si>
    <t>LH22-15835</t>
  </si>
  <si>
    <t>A1-12, A14-34, B1-8, C1-11, D1-3, E1, F1-2, A13(L)</t>
  </si>
  <si>
    <t>A15, A3, A4, A3, A19</t>
  </si>
  <si>
    <t>LH22-16850</t>
  </si>
  <si>
    <t>A1-34, A35-45, B1-6, C1, A35(L)</t>
  </si>
  <si>
    <t>A45</t>
  </si>
  <si>
    <t>A44</t>
  </si>
  <si>
    <t>A41</t>
  </si>
  <si>
    <t>A39</t>
  </si>
  <si>
    <t>A30, A43, A34, A40, A31, A5, A33, A26, A32</t>
  </si>
  <si>
    <t>A35[L]</t>
  </si>
  <si>
    <t>A42</t>
  </si>
  <si>
    <t>LH22-17001</t>
  </si>
  <si>
    <t>A1-4, A6-20, A5(L)</t>
  </si>
  <si>
    <t>LH22-18055</t>
  </si>
  <si>
    <t>A1-27, B1-6, C1-2, D1, E1, F1-3</t>
  </si>
  <si>
    <t>LH22-18649</t>
  </si>
  <si>
    <t>A1-3, A5-15, B1-6, C1-11, D1-8, E1-2, F1-3, G1, H1, I1-4, J1, A4(L)</t>
  </si>
  <si>
    <t>J1</t>
  </si>
  <si>
    <t>H1</t>
  </si>
  <si>
    <t>I2, G1, D6, E1</t>
  </si>
  <si>
    <t>LH22-18942</t>
  </si>
  <si>
    <t>A1-30, B1, C1-2, D1-4</t>
  </si>
  <si>
    <t>A14, A13</t>
  </si>
  <si>
    <t>D3</t>
  </si>
  <si>
    <t>A26, A5, A16, A17</t>
  </si>
  <si>
    <t>LH22-19495</t>
  </si>
  <si>
    <t>A1-6, A9-21, B1-5, C1-9, D1-5, A7-8(L)</t>
  </si>
  <si>
    <t>A19, A18</t>
  </si>
  <si>
    <t>C3</t>
  </si>
  <si>
    <t>G1</t>
  </si>
  <si>
    <t>C6, I1, E6</t>
  </si>
  <si>
    <t>A4, E2</t>
  </si>
  <si>
    <t>LH22-20045</t>
  </si>
  <si>
    <t>LH22-22014</t>
  </si>
  <si>
    <t>A1-17, B1-6, C1-4, D1-6, E1-8, F1-6, G1-6</t>
  </si>
  <si>
    <t>LH22-22471</t>
  </si>
  <si>
    <t>A1-11, A13-21, A12(L)</t>
  </si>
  <si>
    <t>A18, A21, A20, A14</t>
  </si>
  <si>
    <t>A12[L]</t>
  </si>
  <si>
    <t>LH22-23130</t>
  </si>
  <si>
    <t>A1-26, B1-6, C1-6, D1-9, E1-2, F1</t>
  </si>
  <si>
    <t>LH22-23825</t>
  </si>
  <si>
    <t>LH22-25401</t>
  </si>
  <si>
    <t>A1-8, A11-27, B1-4, C1-7, D1-6, E1-7, A9-10(L)</t>
  </si>
  <si>
    <t>A22, A11</t>
  </si>
  <si>
    <t>B1</t>
  </si>
  <si>
    <t>B2</t>
  </si>
  <si>
    <t>LH22-26097</t>
  </si>
  <si>
    <t>US 20.09.2024</t>
  </si>
  <si>
    <t>LH22-26597</t>
  </si>
  <si>
    <t>LH22-26811</t>
  </si>
  <si>
    <t>A1-10, A13-28, B1-6, C1-10, D1-10, E1, F1-3, G1-2, A11-12(L)</t>
  </si>
  <si>
    <t>A11[L]</t>
  </si>
  <si>
    <t>LH22-27016</t>
  </si>
  <si>
    <t>A3, A7-27, B1-6, C1-8, D1-9, E1-3, F1-3, H1, G1, A1-2(L), A4-6(L)</t>
  </si>
  <si>
    <t>A2[L]</t>
  </si>
  <si>
    <t>A7, A8, A17, A3</t>
  </si>
  <si>
    <t>LH22-30011</t>
  </si>
  <si>
    <t>LH22-30932</t>
  </si>
  <si>
    <t>LH22-31633</t>
  </si>
  <si>
    <t>A1-33, B1-21, C1-27</t>
  </si>
  <si>
    <t>LH22-32601</t>
  </si>
  <si>
    <t>A1-28, B1-5, C1-3, D1-2</t>
  </si>
  <si>
    <t>LH22-32833</t>
  </si>
  <si>
    <t>US 20.09.24</t>
  </si>
  <si>
    <t>LH22-33269</t>
  </si>
  <si>
    <t>LH22-33706</t>
  </si>
  <si>
    <t>A1-30, B1-6, C1-5, D1-7, E1-2</t>
  </si>
  <si>
    <t>LH22-34591</t>
  </si>
  <si>
    <t>A1-A19, A21-22, B1-4, C1, D1, A20(L)</t>
  </si>
  <si>
    <t>A4, A20[L], A19</t>
  </si>
  <si>
    <t>A18, A16, A25</t>
  </si>
  <si>
    <t>LH22-35150</t>
  </si>
  <si>
    <t>A1-18, B1-3, C1</t>
  </si>
  <si>
    <t>LH22-36044</t>
  </si>
  <si>
    <t>A1-5, A8-23, B1-6, C1-14, D1-6, E1-4, F1-10, A6-7(L)</t>
  </si>
  <si>
    <t>A11, A18, A10</t>
  </si>
  <si>
    <t>LH22-36359</t>
  </si>
  <si>
    <t>A1-15, B1-6, C1-5, D1-6, E1, F1</t>
  </si>
  <si>
    <t>LH22-36561</t>
  </si>
  <si>
    <t>LH22-36562</t>
  </si>
  <si>
    <t>LH22-38732</t>
  </si>
  <si>
    <t>LH22-39488</t>
  </si>
  <si>
    <t>LH22-40652</t>
  </si>
  <si>
    <t>A1-4, A6-22, A5(L)</t>
  </si>
  <si>
    <t>LH22-41228</t>
  </si>
  <si>
    <t xml:space="preserve">A1-18  </t>
  </si>
  <si>
    <t>LH22-41347</t>
  </si>
  <si>
    <t>A9, A14</t>
  </si>
  <si>
    <t>LH22-41785</t>
  </si>
  <si>
    <t>LH22-41947</t>
  </si>
  <si>
    <t>LH22-42642</t>
  </si>
  <si>
    <t>LH22-43192</t>
  </si>
  <si>
    <t>A1-11, A14-19, A12-13(L)</t>
  </si>
  <si>
    <t>LH22-43304</t>
  </si>
  <si>
    <t>A1-2, A4-9, B1-6, C1-10, D1-12, E1-3, F1-4, G1, H1-3, A3(L)</t>
  </si>
  <si>
    <t>C7, E1, E2, F2, D7, D6</t>
  </si>
  <si>
    <t>A3[L]</t>
  </si>
  <si>
    <t>LH22-44563</t>
  </si>
  <si>
    <t>A1-18, B1-8, C1-8</t>
  </si>
  <si>
    <t>A9, A4, A15</t>
  </si>
  <si>
    <t>LH22-45474</t>
  </si>
  <si>
    <t>A1-11</t>
  </si>
  <si>
    <t>LH22-46291</t>
  </si>
  <si>
    <t>LH22-46442</t>
  </si>
  <si>
    <t>A1-23, B1-6, C1-6, D1-2</t>
  </si>
  <si>
    <t>C4</t>
  </si>
  <si>
    <t>LH22-46746</t>
  </si>
  <si>
    <t>A1-11, B1-3, C1-6, D1</t>
  </si>
  <si>
    <t>B7, B6, B5, A6, A13</t>
  </si>
  <si>
    <t>A18, A17, A16</t>
  </si>
  <si>
    <t>LH22-47260</t>
  </si>
  <si>
    <t>A1-18, B1-8, C1-2, D1, E1-3, F1-2, G1</t>
  </si>
  <si>
    <t>LH22-47769</t>
  </si>
  <si>
    <t>A1-15, B1-3, C1, D1, E1-2</t>
  </si>
  <si>
    <t>A15, A10, A12, B3</t>
  </si>
  <si>
    <t>LH22-48500</t>
  </si>
  <si>
    <t>A1-27, B1-6, C1-9</t>
  </si>
  <si>
    <t>LH22-48610</t>
  </si>
  <si>
    <t>LH22-50079</t>
  </si>
  <si>
    <t>A1-22, B1-6, C1-12, D1-6, E1-6, F1-2</t>
  </si>
  <si>
    <t>LH22-50762</t>
  </si>
  <si>
    <t>A1-15, B1-5, C1-3</t>
  </si>
  <si>
    <t>LH22-51153</t>
  </si>
  <si>
    <t>A1-32, B1-5</t>
  </si>
  <si>
    <t>LH22-52106</t>
  </si>
  <si>
    <t>A1-18, A23, A25-28, B1-4, A19-22(L), A24(L)</t>
  </si>
  <si>
    <t>A21[L]</t>
  </si>
  <si>
    <t>A23, A22[L]</t>
  </si>
  <si>
    <t>A26, A27</t>
  </si>
  <si>
    <t>A24[L]</t>
  </si>
  <si>
    <t>LH22-53488</t>
  </si>
  <si>
    <t>A1-5, A10-23, A6-9(L)</t>
  </si>
  <si>
    <t>LH22-54023</t>
  </si>
  <si>
    <t>A1-15, B1-3, C1-2, D1-2, E1</t>
  </si>
  <si>
    <t>A5, A8</t>
  </si>
  <si>
    <t>LH22-54086</t>
  </si>
  <si>
    <t>A1-16, B1-6, C1-7, D1-9</t>
  </si>
  <si>
    <t>LH22-54639</t>
  </si>
  <si>
    <t>A1-21, B1-5, C1-5, D1-6</t>
  </si>
  <si>
    <t>A17, A12, A18, A11</t>
  </si>
  <si>
    <t>LH22-54756</t>
  </si>
  <si>
    <t>A1-7, A10-29, B1-3, C1-3, A8-9(L)</t>
  </si>
  <si>
    <t>LH22-55048</t>
  </si>
  <si>
    <t>A1-6, A9-21, B1-9, C1-11, D1-6, E1-2, A7-8(L)</t>
  </si>
  <si>
    <t>A10, A11, A14</t>
  </si>
  <si>
    <t>LH23-00781</t>
  </si>
  <si>
    <t>A1-13, A18-23, A14-17(L)</t>
  </si>
  <si>
    <t>A20, A19, A18, A21, A22</t>
  </si>
  <si>
    <t>LH23-01012</t>
  </si>
  <si>
    <t>A1-18, A21-32, B1-5, C1-4, D1-5, E1, F1, G1, H1-4, A19-20(L)</t>
  </si>
  <si>
    <t>A15, A22</t>
  </si>
  <si>
    <t>LH23-02182</t>
  </si>
  <si>
    <t>A1-2, A5-10, B1-6, C1-7, D1-6, E1-4, F1-2, G1-3, A3-4(L)</t>
  </si>
  <si>
    <t>LH23-02372</t>
  </si>
  <si>
    <t>A1-17, B1-6, C1-10, D1-7, E1, F1-2, G1</t>
  </si>
  <si>
    <t>A8, A13</t>
  </si>
  <si>
    <t>LH23-03497</t>
  </si>
  <si>
    <t>A1-4, A6-18, B1-4, C1-6, D1-6, E1-5, A5(L)</t>
  </si>
  <si>
    <t>E5</t>
  </si>
  <si>
    <t>LH23-03602</t>
  </si>
  <si>
    <t>A1-14</t>
  </si>
  <si>
    <t>LH23-03603</t>
  </si>
  <si>
    <t>A1-12</t>
  </si>
  <si>
    <t>LH23-04422</t>
  </si>
  <si>
    <t>LH23-04766</t>
  </si>
  <si>
    <t>A1-30, B1-6, C1-2, D1-2</t>
  </si>
  <si>
    <t>A15, A18, A10, A12, A1, A9, A14, A13, A8, A7, A20</t>
  </si>
  <si>
    <t>LH23-05160</t>
  </si>
  <si>
    <t>A1-10, A13-23, B1-5, C1-4, D1-8, E1-2, A11-12(L)</t>
  </si>
  <si>
    <t>A20, A22, A17</t>
  </si>
  <si>
    <t>LH23-05325</t>
  </si>
  <si>
    <t>A1-2, A4-10, B1-6, C1-5, D1-7, E1-3, A3(L)</t>
  </si>
  <si>
    <t>LH23-06360</t>
  </si>
  <si>
    <t>A1-4, A7-23, A5-6(L)</t>
  </si>
  <si>
    <t>LH23-06835</t>
  </si>
  <si>
    <t>LH23-07275</t>
  </si>
  <si>
    <t>A1-10, A15-35, B1-11, C1, D1-3, A11-15(L)</t>
  </si>
  <si>
    <t>A14[L], A20, A28</t>
  </si>
  <si>
    <t>LH23-08157</t>
  </si>
  <si>
    <t>A1-4, B1-7, C1-3, D1, E1-9, F1-2, G1-3, H1-2</t>
  </si>
  <si>
    <t>E7</t>
  </si>
  <si>
    <t>LH23-08648</t>
  </si>
  <si>
    <t>A1-29</t>
  </si>
  <si>
    <t>LH23-08674</t>
  </si>
  <si>
    <t>A1-32</t>
  </si>
  <si>
    <t>LH23-09759</t>
  </si>
  <si>
    <t>LH23-10418</t>
  </si>
  <si>
    <t>A1-4, B1-3, C1-23</t>
  </si>
  <si>
    <t>C16</t>
  </si>
  <si>
    <t>C13</t>
  </si>
  <si>
    <t>LH23-13182</t>
  </si>
  <si>
    <t>A1-3, A6-12, A4-5(L)</t>
  </si>
  <si>
    <t>LH23-13184</t>
  </si>
  <si>
    <t>LH23-13432</t>
  </si>
  <si>
    <t>A1-5, A11-30, B1-6, C1-18, D1-11, A6-10(L)</t>
  </si>
  <si>
    <t>A14, A22, A23, A12</t>
  </si>
  <si>
    <t>C15</t>
  </si>
  <si>
    <t>D6</t>
  </si>
  <si>
    <t>C18</t>
  </si>
  <si>
    <t>LH23-14251</t>
  </si>
  <si>
    <t>A1-12, B1-4, C1-6, D1-6, E1, F1</t>
  </si>
  <si>
    <t>LH23-16229</t>
  </si>
  <si>
    <t>LH23-16362</t>
  </si>
  <si>
    <t>A1-8, B1-6, C1-11, D1-9, E1-2, F1, G1-2, H1-5</t>
  </si>
  <si>
    <t>LH23-17835</t>
  </si>
  <si>
    <t>A1-4, A7-26, B1-6, C1-3, D1-2, E1-5, A5-6(L)</t>
  </si>
  <si>
    <t xml:space="preserve">A7, A8, A10, </t>
  </si>
  <si>
    <t>LH23-18089</t>
  </si>
  <si>
    <t>A1-24, B1-6, C1-8, D1-9</t>
  </si>
  <si>
    <t>A4, A18</t>
  </si>
  <si>
    <t>LH23-18508</t>
  </si>
  <si>
    <t>A5, A4</t>
  </si>
  <si>
    <t>LH23-19496</t>
  </si>
  <si>
    <t>A1-2, B1-3, B5-8, C1-4, D1-4, B4(L)</t>
  </si>
  <si>
    <t>B4[L]</t>
  </si>
  <si>
    <t>LH23-20865</t>
  </si>
  <si>
    <t>A1-20</t>
  </si>
  <si>
    <t>A15, A16</t>
  </si>
  <si>
    <t>LH23-21725</t>
  </si>
  <si>
    <t>A1-5, A8-15, B1, C1-5, A6-7(L)</t>
  </si>
  <si>
    <t>LH23-21958</t>
  </si>
  <si>
    <t>A1-17, A20-29, A18-19(L)</t>
  </si>
  <si>
    <t>LH23-22831</t>
  </si>
  <si>
    <t>A1-29, B1-6, C1-4, D1-2, E1-5, F1</t>
  </si>
  <si>
    <t>LH23-28225</t>
  </si>
  <si>
    <t>A1-6, A11-28, A30-32, B1-6, C1, D1-2, A7-10(L), A29(L)</t>
  </si>
  <si>
    <t>LH23-29746</t>
  </si>
  <si>
    <t>A23-37</t>
  </si>
  <si>
    <t>A24, A32, A31</t>
  </si>
  <si>
    <t>LH23-30972</t>
  </si>
  <si>
    <t>A1-30, B1-8, C1-4</t>
  </si>
  <si>
    <t>A30, A25</t>
  </si>
  <si>
    <t>LH23-30987</t>
  </si>
  <si>
    <t>A1-30, B1-4</t>
  </si>
  <si>
    <t>A13, A11</t>
  </si>
  <si>
    <t>LH23-33631</t>
  </si>
  <si>
    <t>A1-2, A9-21, B1-9, C1-6, D1-10, E1-12, F1-3, A3-8(L)</t>
  </si>
  <si>
    <t>A18, A6[L], A5[L]</t>
  </si>
  <si>
    <t>LH23-34039</t>
  </si>
  <si>
    <t>A1-18, B1-17, C1-8</t>
  </si>
  <si>
    <t>LH23-34202</t>
  </si>
  <si>
    <t>A1-6, A9-14, A7-8(L)</t>
  </si>
  <si>
    <t>LH23-34437</t>
  </si>
  <si>
    <t>LH23-34894</t>
  </si>
  <si>
    <t>1-31, B1-5, C1-3, D1-9</t>
  </si>
  <si>
    <t>D4</t>
  </si>
  <si>
    <t>A12, A15</t>
  </si>
  <si>
    <t>LH23-34924</t>
  </si>
  <si>
    <t>A1-28</t>
  </si>
  <si>
    <t>LH23-35828</t>
  </si>
  <si>
    <t>A1-21, B1-4, C1-8, D1-10, E1-7, A23-25(L)</t>
  </si>
  <si>
    <t>A3, A21, A2, A4, A5, A19, A20</t>
  </si>
  <si>
    <t>LH23-36031</t>
  </si>
  <si>
    <t>LH23-37179</t>
  </si>
  <si>
    <t>A1-11, A16-17, B1-5, C1-2, D1-3, A12-15(L)</t>
  </si>
  <si>
    <t>A20, A18</t>
  </si>
  <si>
    <t>LH23-37405</t>
  </si>
  <si>
    <t>A1-18, A21-22, B1-4, C1-7, D1-10, E1-2, F1-3, G1-5, A19-20(L)</t>
  </si>
  <si>
    <t>A2, A18, A1, A3</t>
  </si>
  <si>
    <t>LH23-37410</t>
  </si>
  <si>
    <t>LH23-39426</t>
  </si>
  <si>
    <t>A1-16, B1</t>
  </si>
  <si>
    <t>LH23-41176</t>
  </si>
  <si>
    <t>A1-19, A20-21(L)</t>
  </si>
  <si>
    <t>A1, A14</t>
  </si>
  <si>
    <t>LH23-42062</t>
  </si>
  <si>
    <t>20.09.24</t>
  </si>
  <si>
    <t>LH23-42063</t>
  </si>
  <si>
    <t>A1-17, B1-4, C1-2, D1-3</t>
  </si>
  <si>
    <t>LH23-43590</t>
  </si>
  <si>
    <t>LH23-45054</t>
  </si>
  <si>
    <t>A1-27, B1-6, C1-2, D1-2, E1-4, F1, G1, H1</t>
  </si>
  <si>
    <t>F1</t>
  </si>
  <si>
    <t>LH23-45633</t>
  </si>
  <si>
    <t>A1-19, B1-6, C1-9</t>
  </si>
  <si>
    <t>LH23-46434</t>
  </si>
  <si>
    <t>A1-17, B1, C1-3, A18-19(L)</t>
  </si>
  <si>
    <t>LH23-46922</t>
  </si>
  <si>
    <t>A1-26, B1-6, C1-6, D1-2, E1-6, F1-5, G1-2, H1-6, I1-5, J1, K1-3</t>
  </si>
  <si>
    <t>B4</t>
  </si>
  <si>
    <t>B3, B5</t>
  </si>
  <si>
    <t>(M1)</t>
  </si>
  <si>
    <t>LH23-47098</t>
  </si>
  <si>
    <t>A1-19, A22-31, B1-6, C1-2, D1-3, A20-21(L)</t>
  </si>
  <si>
    <t>LH23-49909</t>
  </si>
  <si>
    <t>A1-31</t>
  </si>
  <si>
    <t>LH23-52644</t>
  </si>
  <si>
    <t>A1-13, A14(L)</t>
  </si>
  <si>
    <t>LH23-52907</t>
  </si>
  <si>
    <t>A1-33, B1-4, C1-2, D1-4, E1-5</t>
  </si>
  <si>
    <t>A20, A30, A33, A19, A24</t>
  </si>
  <si>
    <t>A17, A21, A18</t>
  </si>
  <si>
    <t>JH05-00892</t>
  </si>
  <si>
    <t>From Longitudinal 1 (Endometrial)</t>
  </si>
  <si>
    <t>A1-14, B1-4, C1-8, D1-9, E1</t>
  </si>
  <si>
    <t>A3, A4, A5, A6, A7, A8</t>
  </si>
  <si>
    <t>JH07-12086</t>
  </si>
  <si>
    <t>A1x23, A2x3, A3-6, A10, A8-18, A13 L2,B1-7, C1-4, IHCX14</t>
  </si>
  <si>
    <t>A4, A5, A6, A8, A10, A18</t>
  </si>
  <si>
    <t>LH08-17105</t>
  </si>
  <si>
    <t>1-2, IHC x3</t>
  </si>
  <si>
    <t>1, 2</t>
  </si>
  <si>
    <t>LH09-30013</t>
  </si>
  <si>
    <t>A1-23, B1-6, C1-7, D1-10, E, F, G, H, I</t>
  </si>
  <si>
    <t>A17, A18</t>
  </si>
  <si>
    <t>LH12-04256</t>
  </si>
  <si>
    <t>A1-15, B1-5, C1-8, IHCX4</t>
  </si>
  <si>
    <t>A10,A9</t>
  </si>
  <si>
    <t>A5, A6, A7, A8, A9, A10, A11</t>
  </si>
  <si>
    <t>LH13-33613</t>
  </si>
  <si>
    <t>A1-21, B1-7, C1-8, D1-10, IHC x2</t>
  </si>
  <si>
    <t>A10, A12, A14</t>
  </si>
  <si>
    <t>LH15-33065</t>
  </si>
  <si>
    <t>A, A1 smear x2, A2 smear x2, B1, B2</t>
  </si>
  <si>
    <t>A</t>
  </si>
  <si>
    <t>LH17-06635</t>
  </si>
  <si>
    <t>A1x3, A2x3, B1</t>
  </si>
  <si>
    <t>A2 L3</t>
  </si>
  <si>
    <t>A1 L2</t>
  </si>
  <si>
    <t>LH19-25044</t>
  </si>
  <si>
    <t>A1-3</t>
  </si>
  <si>
    <t>LH20-22801</t>
  </si>
  <si>
    <t>A1-4</t>
  </si>
  <si>
    <t>LH21-00478</t>
  </si>
  <si>
    <t>x</t>
  </si>
  <si>
    <t>A1-31, B1-6, C1-4, D1, E1-6 IHCX21</t>
  </si>
  <si>
    <t>A28</t>
  </si>
  <si>
    <t>LH21-00918</t>
  </si>
  <si>
    <t>A1-4, A7-12, A15, B1-6, C1-6, A5-6[L], A13-14[L]</t>
  </si>
  <si>
    <t>LH21-01647</t>
  </si>
  <si>
    <t>A1-6, A7-8[L], A9-22</t>
  </si>
  <si>
    <t>LH21-01672</t>
  </si>
  <si>
    <t>A3, L1, N1-3, G1-2 IHCX48</t>
  </si>
  <si>
    <t>LH21-02847</t>
  </si>
  <si>
    <t>A1-9, B1-5, C1-6</t>
  </si>
  <si>
    <t>B5</t>
  </si>
  <si>
    <t>A9, B1</t>
  </si>
  <si>
    <t>B3</t>
  </si>
  <si>
    <t>LH21-04400</t>
  </si>
  <si>
    <t>LH21-05048</t>
  </si>
  <si>
    <t>A1, A3[L], A5-9, B1-4, C1</t>
  </si>
  <si>
    <t>LH21-05376</t>
  </si>
  <si>
    <t>LH21-05633</t>
  </si>
  <si>
    <t>LH21-05742</t>
  </si>
  <si>
    <t>A1-2, A3[L], A5, A8-17, B1-4, C1-4, D1-8 IHCX1</t>
  </si>
  <si>
    <t>LH21-05922</t>
  </si>
  <si>
    <t>LH21-05989</t>
  </si>
  <si>
    <t>LH21-06085</t>
  </si>
  <si>
    <t>A1-14, B1-4, C1x2, C2, D1, E1</t>
  </si>
  <si>
    <t xml:space="preserve">A7 </t>
  </si>
  <si>
    <t xml:space="preserve">A9 </t>
  </si>
  <si>
    <t xml:space="preserve">A6 </t>
  </si>
  <si>
    <t xml:space="preserve">A8 </t>
  </si>
  <si>
    <t>LH21-06128</t>
  </si>
  <si>
    <t>LH21-06275</t>
  </si>
  <si>
    <t>A1-26, A27[L], B1-4, C2-8, D1-10, E1, F1-3, G1, H1</t>
  </si>
  <si>
    <t>A23, A24, A26</t>
  </si>
  <si>
    <t>LH21-06820</t>
  </si>
  <si>
    <t>A1-5, A6-7[L], A8-15 IHCX1[L]</t>
  </si>
  <si>
    <t>LH21-06883</t>
  </si>
  <si>
    <t>A1-6, B1-3, B4-5[L],B6-11, C1-7, D1-7</t>
  </si>
  <si>
    <t>B8</t>
  </si>
  <si>
    <t>LH21-07793</t>
  </si>
  <si>
    <t>A1-2, A3[L], A4-16, B1-8, C1-5</t>
  </si>
  <si>
    <t>LH21-07881</t>
  </si>
  <si>
    <t>A1-20, B1-4, C1-5, D1-4,E1-3</t>
  </si>
  <si>
    <t>LH21-08017</t>
  </si>
  <si>
    <t>LH21-08059</t>
  </si>
  <si>
    <t>A3-5, A5[L], A6-13</t>
  </si>
  <si>
    <t>A8, A7</t>
  </si>
  <si>
    <t>LH21-08099</t>
  </si>
  <si>
    <t>A1-5, A6[L], A9-16</t>
  </si>
  <si>
    <t>LH21-08787</t>
  </si>
  <si>
    <t>A7[L], IHCx1</t>
  </si>
  <si>
    <t>LH21-08798</t>
  </si>
  <si>
    <t>LH21-09144</t>
  </si>
  <si>
    <t>LH21-10277</t>
  </si>
  <si>
    <t>A1-20, B1-4, C1-11, D1-10, E1-3, F1-2, G1-8, IHCx18</t>
  </si>
  <si>
    <t>G7</t>
  </si>
  <si>
    <t>G6</t>
  </si>
  <si>
    <t>G5</t>
  </si>
  <si>
    <t>G8, G4, G3, G2, E3, C5</t>
  </si>
  <si>
    <t>LH21-10676</t>
  </si>
  <si>
    <t>A1-20, IHCX2</t>
  </si>
  <si>
    <t>A7, A5</t>
  </si>
  <si>
    <t>LH21-10715</t>
  </si>
  <si>
    <t>LH21-12066</t>
  </si>
  <si>
    <t>A1-4, A5-6[L], A7-16, B1-6, C1-2, D1-3, D[L], IHCx9</t>
  </si>
  <si>
    <t>D4[L]</t>
  </si>
  <si>
    <t>A7, A3, A8, A2, A1, A4, D3</t>
  </si>
  <si>
    <t>LH21-12128</t>
  </si>
  <si>
    <t>A1-4, A5-6[L], A7-19, B1-8, C1-11, D1-12, E1-4, IHCx34</t>
  </si>
  <si>
    <t>LH21-12410</t>
  </si>
  <si>
    <t>LH21-12523</t>
  </si>
  <si>
    <t>A1-2, A3[L], A7-17, B1-2, IHCx20</t>
  </si>
  <si>
    <t>LH21-12676</t>
  </si>
  <si>
    <t>LH21-12768</t>
  </si>
  <si>
    <t>LH21-13379</t>
  </si>
  <si>
    <t>A1-4, A5[L], A6-18, B1-6, C1-7, D1-8, E1, IHCx13</t>
  </si>
  <si>
    <t>LH21-13836</t>
  </si>
  <si>
    <t>A1-6, IHCX1</t>
  </si>
  <si>
    <t>LH21-14632</t>
  </si>
  <si>
    <t>LH21-15121</t>
  </si>
  <si>
    <t>A1-10, A11[L], A12-20, IHCx5</t>
  </si>
  <si>
    <t>LH21-16095</t>
  </si>
  <si>
    <t>A1-13, A14-15[L], A16-19</t>
  </si>
  <si>
    <t>LH21-16567</t>
  </si>
  <si>
    <t>LH21-18821</t>
  </si>
  <si>
    <t>LH21-18876</t>
  </si>
  <si>
    <t>A1-4, A5[L], A7, A11-18, B1-4, C1-6, D1-8, E1-2</t>
  </si>
  <si>
    <t>LH21-19138</t>
  </si>
  <si>
    <t>LH21-19536</t>
  </si>
  <si>
    <t>A1-6, A7-10[L], A11-25, B1-12, C1-4, D1-20, E1-16, F1-10, G1-9, H1-4, I1</t>
  </si>
  <si>
    <t>B8, B10, B12, B11, B7, B5, A14</t>
  </si>
  <si>
    <t>F10</t>
  </si>
  <si>
    <t>F9</t>
  </si>
  <si>
    <t>E15</t>
  </si>
  <si>
    <t>D17, D18, E16, G9, F4, G2</t>
  </si>
  <si>
    <t>F7, G6, G7</t>
  </si>
  <si>
    <t>LH21-20132</t>
  </si>
  <si>
    <t>A1-2, A5-8, A12-14, B1-6, C1-8, D1-9, E1, F1-4, IHCx2</t>
  </si>
  <si>
    <t>LH21-20332</t>
  </si>
  <si>
    <t>A1-14, B1-13, C1-12</t>
  </si>
  <si>
    <t>LH21-20720</t>
  </si>
  <si>
    <t>A1-2, A8-17, B1-4, C1-6, D1-5, E1-2, IHCx7</t>
  </si>
  <si>
    <t>LH21-21851</t>
  </si>
  <si>
    <t>LH21-22627</t>
  </si>
  <si>
    <t>A1-4, A4[l], A5-13, IHCx3</t>
  </si>
  <si>
    <t>LH21-22748</t>
  </si>
  <si>
    <t>A1, A3-14, B1-4, C1-5, D1-5, E1, IHCx2</t>
  </si>
  <si>
    <t>LH21-23029</t>
  </si>
  <si>
    <t>A1-4, A5[L], A6-15, B1-4, D1-5, E1-2, F1, G1-4,  H1-4</t>
  </si>
  <si>
    <t>LH21-23616</t>
  </si>
  <si>
    <t>LH21-23862</t>
  </si>
  <si>
    <t>A1-6, A7[L], A8-9, B1-9,  C1, C2[L], C3-8, D1, E1-7, F1-8, G1-3, IHCx7</t>
  </si>
  <si>
    <t>C2[L]</t>
  </si>
  <si>
    <t xml:space="preserve">A3, B5, C7, C4, C8, C6, B9, C3, B6 </t>
  </si>
  <si>
    <t>LH21-23864</t>
  </si>
  <si>
    <t>A1-20, B1-4, IHCx8</t>
  </si>
  <si>
    <t>A16, A4</t>
  </si>
  <si>
    <t>LH21-23979</t>
  </si>
  <si>
    <t>A1-16, A17[L], B1-4, C1-12, D1-7, E1-4, F1-2, G1-4, H1-8, I1-3, IHCx6</t>
  </si>
  <si>
    <t>LH21-24685</t>
  </si>
  <si>
    <t>LH21-25455</t>
  </si>
  <si>
    <t>LH21-25903</t>
  </si>
  <si>
    <t>A1-2, A3[L], A4-19. IHCx2[L]</t>
  </si>
  <si>
    <t>LH21-25997</t>
  </si>
  <si>
    <t>A1-5,A6-7[L], A8-20, B1-6, C1-8, D1-10, E1-2, IHCx12</t>
  </si>
  <si>
    <t>D7</t>
  </si>
  <si>
    <t>LH21-27277</t>
  </si>
  <si>
    <t>A1-7, A8-9[L], A17-27, B1-10, C1-9, IHCx11</t>
  </si>
  <si>
    <t>C9</t>
  </si>
  <si>
    <t>C8</t>
  </si>
  <si>
    <t>A19, A2</t>
  </si>
  <si>
    <t>LH21-27448</t>
  </si>
  <si>
    <t>A1-20, B1-6, C1-6, D1-6, E1, IHCx20</t>
  </si>
  <si>
    <t>LH21-27965</t>
  </si>
  <si>
    <t>A1-2, A3[L], A74-7, IHCx1[L]</t>
  </si>
  <si>
    <t>LH21-28044</t>
  </si>
  <si>
    <t>A1-13, A14[L], A15-20</t>
  </si>
  <si>
    <t>LH21-28412</t>
  </si>
  <si>
    <t>LH21-28480</t>
  </si>
  <si>
    <t>A1-3, A4[L], A5-14, B1-6, C1-6, D1-5, E1</t>
  </si>
  <si>
    <t>LH21-28614</t>
  </si>
  <si>
    <t>A1-4, A5[L], A6-16</t>
  </si>
  <si>
    <t>A7, A5[L]</t>
  </si>
  <si>
    <t>LH21-28788</t>
  </si>
  <si>
    <t>LH21-28848</t>
  </si>
  <si>
    <t>A1-2, A5-10, B1-4, C1-5, IHCx2, IHCx6[L]</t>
  </si>
  <si>
    <t>LH21-29719</t>
  </si>
  <si>
    <t>A1-10, A12-13[L], A13-18, B1-B7, C1-7, IHCx3 [L]</t>
  </si>
  <si>
    <t>A15, A18, A12[L]</t>
  </si>
  <si>
    <t>LH21-29833</t>
  </si>
  <si>
    <t>LH21-30135</t>
  </si>
  <si>
    <t>A4-5, A6-7[L], A8-9, A11-20, IHCx1</t>
  </si>
  <si>
    <t>LH21-30338</t>
  </si>
  <si>
    <t>A1-6, A7[L], A8-23, B1-6, C1-14, D1-9, IHC[L]x 1, IHCx1</t>
  </si>
  <si>
    <t>C9, B4, B2</t>
  </si>
  <si>
    <t>LH21-30451</t>
  </si>
  <si>
    <t>LH21-30452</t>
  </si>
  <si>
    <t>A1-2, A3[L], A4-9, B1-4, C1-5, D1-5, E1-3, F1, IHCx9</t>
  </si>
  <si>
    <t>LH21-31606</t>
  </si>
  <si>
    <t>A1-31, B1-6, C1-6, D1-7, E1-2, IHCx14</t>
  </si>
  <si>
    <t>LH21-32705</t>
  </si>
  <si>
    <t>A1-12, IHCx2</t>
  </si>
  <si>
    <t>LH21-32782</t>
  </si>
  <si>
    <t>A1-5, A6-7[L], A8-16</t>
  </si>
  <si>
    <t>LH21-32944</t>
  </si>
  <si>
    <t>A2-3[L]</t>
  </si>
  <si>
    <t>LH21-33049</t>
  </si>
  <si>
    <t>LH21-33122</t>
  </si>
  <si>
    <t>A1-4, A5[L], A6-14</t>
  </si>
  <si>
    <t>LH21-33530</t>
  </si>
  <si>
    <t>A1-28, B1-4, C1, D1-4, E1, F1, G1-9</t>
  </si>
  <si>
    <t>A7, A9, A19,, A4, A8, A5, A6</t>
  </si>
  <si>
    <t>G2</t>
  </si>
  <si>
    <t>B2, B1, G4, G5</t>
  </si>
  <si>
    <t>LH21-33898</t>
  </si>
  <si>
    <t>A1-3, A4[L], A5-10, IHCx1</t>
  </si>
  <si>
    <t>LH21-34655</t>
  </si>
  <si>
    <t>LH21-35753</t>
  </si>
  <si>
    <t>A1-4, A5[L], A5-17, IHCx8</t>
  </si>
  <si>
    <t>LH21-36623</t>
  </si>
  <si>
    <t>A1-9, A11-13, IHCx1</t>
  </si>
  <si>
    <t>LH21-36998</t>
  </si>
  <si>
    <t>LH21-37118</t>
  </si>
  <si>
    <t>LH21-37538</t>
  </si>
  <si>
    <t>A1-7, A8[L], A9-32, IHCx8, IHC[L]x1</t>
  </si>
  <si>
    <t>A10, A23, A28, A29, A25, A31, A30</t>
  </si>
  <si>
    <t>LH21-38024</t>
  </si>
  <si>
    <t>A1-7, A8-11[L], A12-20, B1-4, C1-20, D1-4, E1, IHCx11</t>
  </si>
  <si>
    <t>A15, A14</t>
  </si>
  <si>
    <t>C12</t>
  </si>
  <si>
    <t>D2, A16, A18</t>
  </si>
  <si>
    <t>LH21-38050</t>
  </si>
  <si>
    <t>y</t>
  </si>
  <si>
    <t>LH21-38392</t>
  </si>
  <si>
    <t>A17-18[L]</t>
  </si>
  <si>
    <t>LH21-38962</t>
  </si>
  <si>
    <t>LH21-39884</t>
  </si>
  <si>
    <t>A1-5, A7[L], A8-19, B1-6, C1-8, D1-6 ,E1-2, F1, G1, IHCx12</t>
  </si>
  <si>
    <t>LH21-40095</t>
  </si>
  <si>
    <t>LH21-40228</t>
  </si>
  <si>
    <t>A1-8, A9-10[L], A11-25, B1-6, C1-13, D1-9, E13, F1</t>
  </si>
  <si>
    <t>A11, A7, A3, A4, A8</t>
  </si>
  <si>
    <t>LH21-40442</t>
  </si>
  <si>
    <t>A1-16</t>
  </si>
  <si>
    <t>LH21-40489</t>
  </si>
  <si>
    <t>A1-17, B1-6, C1-5, D1-4, E1</t>
  </si>
  <si>
    <t>LH21-40950</t>
  </si>
  <si>
    <t>A1II-A6, A7[L], A8-18, B1-6, C1-7</t>
  </si>
  <si>
    <t>LH21-41579</t>
  </si>
  <si>
    <t>A1, A2[L], A3-12</t>
  </si>
  <si>
    <t>LH21-42424</t>
  </si>
  <si>
    <t>LH21-43408</t>
  </si>
  <si>
    <t>A1-8, B1-4, C1-5, D1-4, E13, F1</t>
  </si>
  <si>
    <t>LH21-43562</t>
  </si>
  <si>
    <t>A1-20, B1-15, C1-4, D1</t>
  </si>
  <si>
    <t>LH21-43784</t>
  </si>
  <si>
    <t>LH21-44009</t>
  </si>
  <si>
    <t>A1-11, A14-23, B1-4, C1-12, D1-18,E17</t>
  </si>
  <si>
    <t>LH21-44819</t>
  </si>
  <si>
    <t>A1-15</t>
  </si>
  <si>
    <t>LH21-44910</t>
  </si>
  <si>
    <t>LH21-45245</t>
  </si>
  <si>
    <t>A1-5, B1, B4-1, C1-6, D1-7, E1-9, F1-7, IHCx12</t>
  </si>
  <si>
    <t>B9</t>
  </si>
  <si>
    <t>F2</t>
  </si>
  <si>
    <t>F5</t>
  </si>
  <si>
    <t>B10, A5, B8, B12, F3, F7, F6, F4, B11, F1, B4, B6</t>
  </si>
  <si>
    <t>B7</t>
  </si>
  <si>
    <t>LH21-46468</t>
  </si>
  <si>
    <t>A1-15, A16-17[L], A18-25, B1-6, C1-2, IHCx10, IHCx6[L]</t>
  </si>
  <si>
    <t>A42, A40, A41, A21</t>
  </si>
  <si>
    <t>LH21-47262</t>
  </si>
  <si>
    <t>A1-25, B1-10, C1-8, IHCx7</t>
  </si>
  <si>
    <t>LH21-48170</t>
  </si>
  <si>
    <t>LH21-48540</t>
  </si>
  <si>
    <t>LH21-48544</t>
  </si>
  <si>
    <t>A1-2, A3[L], A4-19, B1-9, C1-9, IHCx1</t>
  </si>
  <si>
    <t>LH21-48790</t>
  </si>
  <si>
    <t>A1-23, A24[L], B1-3, C1-3</t>
  </si>
  <si>
    <t>A22, A20[L]</t>
  </si>
  <si>
    <t>LH21-48898</t>
  </si>
  <si>
    <t>A1-23, B1-4, C1-10, D1-14, E1-8, F1-2, G1-21, IHCx4</t>
  </si>
  <si>
    <t>LH21-49340</t>
  </si>
  <si>
    <t>A1-19, A20[L], B1-10, C1-8</t>
  </si>
  <si>
    <t>A13, A9</t>
  </si>
  <si>
    <t>LH22-03491</t>
  </si>
  <si>
    <t>A1-4, B1-2, C1-6, C8-10, C7(L)</t>
  </si>
  <si>
    <t>C6</t>
  </si>
  <si>
    <t>B1,B2</t>
  </si>
  <si>
    <t>C7[L]</t>
  </si>
  <si>
    <t>C7(L)</t>
  </si>
  <si>
    <t>LH22-19387</t>
  </si>
  <si>
    <t>A1-2, IHCX4</t>
  </si>
  <si>
    <t>LH25-00380</t>
  </si>
  <si>
    <t>A1-19, A20-21[L], A22-24, B1-7</t>
  </si>
  <si>
    <t>LH25-01172</t>
  </si>
  <si>
    <t>A1-4, A5-7[L], A8-21</t>
  </si>
  <si>
    <t xml:space="preserve">A10 </t>
  </si>
  <si>
    <t>LH25-02841</t>
  </si>
  <si>
    <t>A1-10, A11-13[L], A14-27, B1-4, C1-5, D1-3, E1, F1, G1</t>
  </si>
  <si>
    <t>LH25-03780</t>
  </si>
  <si>
    <t>A1-18, A21-23</t>
  </si>
  <si>
    <t>LH25-03786</t>
  </si>
  <si>
    <t>A1, B1, C1-4, C5[L] C6-19, D1</t>
  </si>
  <si>
    <t>C5[L]</t>
  </si>
  <si>
    <t>LH25-04722</t>
  </si>
  <si>
    <t>A1-10, A11-12[L], A13-18, B1-10, C1-8, D1-6</t>
  </si>
  <si>
    <t>LH25-04999</t>
  </si>
  <si>
    <t>A1-12, A13-14[L], A15-21, A22[L], A23-26, B1-4, C1, D1</t>
  </si>
  <si>
    <t>LH25-05243</t>
  </si>
  <si>
    <t>LH25-05247</t>
  </si>
  <si>
    <t>A1-20, A21-22[L]</t>
  </si>
  <si>
    <t>LH25-05248</t>
  </si>
  <si>
    <t>A1-9, A10-12[L], A13-17</t>
  </si>
  <si>
    <t>LH25-08034</t>
  </si>
  <si>
    <t>A1-13, A14-17[L], A18-29, B1-4, C1-5, D1-7, E1</t>
  </si>
  <si>
    <t>A21, A27, A28, A23, A26, A24, A20, A19, A29, A11, A10, A12, A22</t>
  </si>
  <si>
    <t>LH25-08487</t>
  </si>
  <si>
    <t>A1-4, A5[L], A6-23, B1-6, C1-3, D1-2</t>
  </si>
  <si>
    <t>LH25-10106</t>
  </si>
  <si>
    <t>A1-21, B1-3</t>
  </si>
  <si>
    <t>LH25-11349</t>
  </si>
  <si>
    <t>A1-22, B1-4, C1-7, D1-5, E1-3</t>
  </si>
  <si>
    <t>LH25-11814</t>
  </si>
  <si>
    <t>A1-8, A10-24, B1-3, C1-2</t>
  </si>
  <si>
    <t>LH25-11877</t>
  </si>
  <si>
    <t>LH25-11878</t>
  </si>
  <si>
    <t>A1-11, A12-14[L], A15-24</t>
  </si>
  <si>
    <t>LH25-12458</t>
  </si>
  <si>
    <t>A1-25, B1-4, C1-3, D1-3, E1</t>
  </si>
  <si>
    <t>LH25-12872</t>
  </si>
  <si>
    <t>A1-6, A7-10[L], A11-34, B1-6, C1-7, D1-6</t>
  </si>
  <si>
    <t>A6, A3</t>
  </si>
  <si>
    <t>LH25-13448</t>
  </si>
  <si>
    <t>A1-10, A11-12[L], A13, A14-15[L], A16-24, A25[L], B1, C1-4</t>
  </si>
  <si>
    <t>A18, A12[L], A14[L], A17, A20</t>
  </si>
  <si>
    <t>LH25-14286</t>
  </si>
  <si>
    <t>A1-15, B1-10, C1-5, D1-2</t>
  </si>
  <si>
    <t>LH25-14795</t>
  </si>
  <si>
    <t>A1-5, B1-10, C1-2, D1, E1-8, E9-10[L], E11-19</t>
  </si>
  <si>
    <t>E10[L]</t>
  </si>
  <si>
    <t>E9[L]</t>
  </si>
  <si>
    <t>E16</t>
  </si>
  <si>
    <t>E11</t>
  </si>
  <si>
    <t>E14, E19</t>
  </si>
  <si>
    <t>LH25-14799</t>
  </si>
  <si>
    <t>A1-2, A3[L], A4-14</t>
  </si>
  <si>
    <t>LH25-14801</t>
  </si>
  <si>
    <t>A1-8, A9-10[L], A11-16</t>
  </si>
  <si>
    <t>LH25-18181</t>
  </si>
  <si>
    <t>A1-10, A11-12[L], A13-23, B1-5, C1-8, D1-8, E1-3, F1-3, G1-2, H1-3</t>
  </si>
  <si>
    <t xml:space="preserve">A18, A21, A22, A9, A15, A20, A7, A8, A16, A23, </t>
  </si>
  <si>
    <t>C6, C4, C7, H1, C3, C5</t>
  </si>
  <si>
    <t>LH25-18537</t>
  </si>
  <si>
    <t>A1-8, A9[L], A10-15, B1-10, C1-6, D1-4, E1-8, F1-8, G1-2</t>
  </si>
  <si>
    <t>B10</t>
  </si>
  <si>
    <t>A15, A13, A14, B5, A12, B8, B7, A10, C3, C2, A11, A6, A3, A5, A1, A4, A2</t>
  </si>
  <si>
    <t>LH25-18949</t>
  </si>
  <si>
    <t>A1-16, A17-18[L], B1, C1</t>
  </si>
  <si>
    <t>LH25-19888</t>
  </si>
  <si>
    <t>A1-20, A21[L]</t>
  </si>
  <si>
    <t>LH25-20132</t>
  </si>
  <si>
    <t>LH25-21260</t>
  </si>
  <si>
    <t>A1-19, B1-4, C1-5, D1-4, E1-6, F1-6, G1-3</t>
  </si>
  <si>
    <t>E6</t>
  </si>
  <si>
    <t>E4, F4, F5, F2, F1, E3</t>
  </si>
  <si>
    <t> </t>
  </si>
  <si>
    <t>LH25-22327</t>
  </si>
  <si>
    <t>A1-17, B1x3, B2x3, B3x3, C1x3, C2x3</t>
  </si>
  <si>
    <t>LH25-22435</t>
  </si>
  <si>
    <t>A1-15, B1</t>
  </si>
  <si>
    <t>LH25-23041</t>
  </si>
  <si>
    <t>A1-22</t>
  </si>
  <si>
    <t>LH25-23881</t>
  </si>
  <si>
    <t>A1-26, B1-2, C1, D1, E1</t>
  </si>
  <si>
    <t>LH25-25569</t>
  </si>
  <si>
    <t>LH25-25755</t>
  </si>
  <si>
    <t>A1-2, B1-2, C1-19, C20-21[L], C22-25</t>
  </si>
  <si>
    <t>C23</t>
  </si>
  <si>
    <t>C24</t>
  </si>
  <si>
    <t>C22</t>
  </si>
  <si>
    <t>C25</t>
  </si>
  <si>
    <t>C21[L]</t>
  </si>
  <si>
    <t>C20[L]</t>
  </si>
  <si>
    <t>LH25-27525</t>
  </si>
  <si>
    <t>A1-27, A28[L], A29-33, A34[L], B1-4, C1-7, D1-9, E1-8</t>
  </si>
  <si>
    <t>LH25-27849</t>
  </si>
  <si>
    <t>A1-19, B1-4, C1-3, D1-2</t>
  </si>
  <si>
    <t>LH25-27946</t>
  </si>
  <si>
    <t>A1-2, A4, A5[L], A6-17</t>
  </si>
  <si>
    <t>LH25-27975</t>
  </si>
  <si>
    <t>LH25-28417</t>
  </si>
  <si>
    <t>A1-13, A14-17[L], A18-19, A20-21[L], A22, A23[L], A24-25, A26[L]</t>
  </si>
  <si>
    <t>A23[L], A17[L], A14[L], A21[L], A18, A19, A25</t>
  </si>
  <si>
    <t>LH25-28918</t>
  </si>
  <si>
    <t>LH25-29343</t>
  </si>
  <si>
    <t>LH25-30034</t>
  </si>
  <si>
    <t>A1-24, A25[L], A26, B1-4, C1-4, D1-5, E1-12, F1-2, G1-2</t>
  </si>
  <si>
    <t>A24, A20, A21, A17</t>
  </si>
  <si>
    <t>LH25-30218</t>
  </si>
  <si>
    <t>A1-19, B1-4</t>
  </si>
  <si>
    <t>T</t>
  </si>
  <si>
    <t>A6, A9</t>
  </si>
  <si>
    <t>LH25-30340</t>
  </si>
  <si>
    <t>A1-8, A9[L], A10-32, B1-4, C1-2, D1-2, E1-4, F1-3</t>
  </si>
  <si>
    <t>A20, A20, A19, A18, A12, A17, A13, A10</t>
  </si>
  <si>
    <t>LH25-31144</t>
  </si>
  <si>
    <t>A1-17, A18-19[L]</t>
  </si>
  <si>
    <t>LH25-32544</t>
  </si>
  <si>
    <t>A1-21, B1-4, C1-2, D1-5, E1, F1, G1</t>
  </si>
  <si>
    <t>A4, A2, A6, A21</t>
  </si>
  <si>
    <t>LH25-32924</t>
  </si>
  <si>
    <t>A1-21, B1-4, C1, D1</t>
  </si>
  <si>
    <t>LH25-34258</t>
  </si>
  <si>
    <t>A1-18, B1-5, C1, D1-7</t>
  </si>
  <si>
    <t>A12, A3, A2</t>
  </si>
  <si>
    <t>LH25-34276</t>
  </si>
  <si>
    <t>A1-6, B1 L1-3, C1 L1-3, D1 L1-3</t>
  </si>
  <si>
    <t>LH25-34281</t>
  </si>
  <si>
    <t>A1-15, A16[L], A17, A18[L], A19, B1-4, C1, D1-2</t>
  </si>
  <si>
    <t>LH25-34436</t>
  </si>
  <si>
    <t>A1-12, A13-19[L], A20-29, B1-4, C1-4</t>
  </si>
  <si>
    <t>A15[L], A16[L], A17[L], A19[L], A20, A21, A22, A23, A24, A26, A28, A29</t>
  </si>
  <si>
    <t>LH25-35432</t>
  </si>
  <si>
    <t>LH25-35448</t>
  </si>
  <si>
    <t>A1-6, A7[L], A8-22, B1-4, C1-3, D1-4</t>
  </si>
  <si>
    <t>LH25-35877</t>
  </si>
  <si>
    <t>A1-13, B1-5, C1-5, D1-4, E1-8, F1-4, G1-2</t>
  </si>
  <si>
    <t>LH25-35884</t>
  </si>
  <si>
    <t>LH25-36390</t>
  </si>
  <si>
    <t>LH25-36391</t>
  </si>
  <si>
    <t>LH25-37346</t>
  </si>
  <si>
    <t>A1-15, A16-19[L], A19-22, B1-5, C1, D1-2</t>
  </si>
  <si>
    <t>LH25-38613</t>
  </si>
  <si>
    <t>A1-31, B1-4, C1-6, D1-16, E1-6, F1-3, G1-5</t>
  </si>
  <si>
    <t>LH25-38732</t>
  </si>
  <si>
    <t>A1-17, B1-2, C1</t>
  </si>
  <si>
    <t>LH25-39862</t>
  </si>
  <si>
    <t>A1-16, A17-18[L], B1-4, C1-7, D1-2</t>
  </si>
  <si>
    <t>LH25-40768</t>
  </si>
  <si>
    <t>LH25-41022</t>
  </si>
  <si>
    <t>A14, A18, A22[L]</t>
  </si>
  <si>
    <t>LH25-42108</t>
  </si>
  <si>
    <t>A1-26</t>
  </si>
  <si>
    <t>A10, A6, A8</t>
  </si>
  <si>
    <t>LH25-42373</t>
  </si>
  <si>
    <t>A1-17, B1-4, C1-9, D1-3, E1, F1-5, G1-3</t>
  </si>
  <si>
    <t>LH25-42963</t>
  </si>
  <si>
    <t>A1-12, A13-16[L], A17, A18-20[L], A21, B1, C1-3</t>
  </si>
  <si>
    <t>A21, A11, A12</t>
  </si>
  <si>
    <t>A19[L], A20[L]</t>
  </si>
  <si>
    <t>A17, A16[L]</t>
  </si>
  <si>
    <t>LH25-44440</t>
  </si>
  <si>
    <t>A1-17, B1-4, C1-3, D1-2</t>
  </si>
  <si>
    <t>A5, A10</t>
  </si>
  <si>
    <t>LH25-44451</t>
  </si>
  <si>
    <t>A1-12, B1-2, C1-3, D1-3</t>
  </si>
  <si>
    <t>LH25-45558</t>
  </si>
  <si>
    <t>A1-24, A25-26[L], A27-36</t>
  </si>
  <si>
    <t>A33</t>
  </si>
  <si>
    <t>A29, A20, A34</t>
  </si>
  <si>
    <t>A31, A21, A30</t>
  </si>
  <si>
    <t>LH25-45559</t>
  </si>
  <si>
    <t>A1-19, A20-21[L], A22-27, B1-3, C1-2, D1-2</t>
  </si>
  <si>
    <t>A29[L]</t>
  </si>
  <si>
    <t>A25, A26, A27</t>
  </si>
  <si>
    <t>LH25-45560</t>
  </si>
  <si>
    <t>A1-16, B1-3, C1-2</t>
  </si>
  <si>
    <t>LH25-46001</t>
  </si>
  <si>
    <t>A1-3, A4-5[L], A6-19, B1, C1</t>
  </si>
  <si>
    <t>LH25-46393</t>
  </si>
  <si>
    <t>A1-20, B1-6, C1-5, D1-4, E1-5</t>
  </si>
  <si>
    <t>A20, A13</t>
  </si>
  <si>
    <t>LH25-46766</t>
  </si>
  <si>
    <t>A1-18, A19-20[L], A21-24, B1-3, C1-3</t>
  </si>
  <si>
    <t>A4, A3</t>
  </si>
  <si>
    <t>LH25-47597</t>
  </si>
  <si>
    <t>LH25-47800</t>
  </si>
  <si>
    <t>A1-14, A16-17, B1-2, C1-4, D1-3</t>
  </si>
  <si>
    <t>LH25-47868</t>
  </si>
  <si>
    <t>A1-20, B1-4, C1-2, D1-2</t>
  </si>
  <si>
    <t>LH25-49095</t>
  </si>
  <si>
    <t>A1-8, A9-10[L], A11-15, B1-2, C1-3</t>
  </si>
  <si>
    <t>A11-A14</t>
  </si>
  <si>
    <t>LH25-49274</t>
  </si>
  <si>
    <t>LH25-50849</t>
  </si>
  <si>
    <t>LH25-52670</t>
  </si>
  <si>
    <t>A1-3, A4-9[L], A10, A11-12[L], A13-20, B1-7, C1-4, D1-2</t>
  </si>
  <si>
    <t>A12[L], A4[L], A5[L], A3</t>
  </si>
  <si>
    <t>LH25-53454</t>
  </si>
  <si>
    <t>A1-4, A5-9[L], A10-25, B1-6</t>
  </si>
  <si>
    <t>A10, A11</t>
  </si>
  <si>
    <t>A19, A20, A21, A13</t>
  </si>
  <si>
    <t>LH25-53857</t>
  </si>
  <si>
    <t>A1-3, A6-18, B1-3, C1-2</t>
  </si>
  <si>
    <t>A12, A13</t>
  </si>
  <si>
    <t>LH25-55055</t>
  </si>
  <si>
    <t>A1-26, A27[L], B1-2, C1-2</t>
  </si>
  <si>
    <t>LH25-56191</t>
  </si>
  <si>
    <t>LH25-56208</t>
  </si>
  <si>
    <t>A1-14, A19-20, B1, C1</t>
  </si>
  <si>
    <t>Ship 1</t>
  </si>
  <si>
    <t>Ship 2</t>
  </si>
  <si>
    <t>Ship 3</t>
  </si>
  <si>
    <t>Ship 4</t>
  </si>
  <si>
    <t>Ship 1 (Extra)</t>
  </si>
  <si>
    <t>QC check</t>
  </si>
  <si>
    <t>Part Number</t>
  </si>
  <si>
    <t>Type</t>
  </si>
  <si>
    <t>1st</t>
  </si>
  <si>
    <t>2nd</t>
  </si>
  <si>
    <t>Primary</t>
  </si>
  <si>
    <t>CF</t>
  </si>
  <si>
    <t>NB</t>
  </si>
  <si>
    <t>Metastatic</t>
  </si>
  <si>
    <t>Number of cases</t>
  </si>
  <si>
    <t>Primary tumour blocks</t>
  </si>
  <si>
    <t>Metastatic tumour blocks</t>
  </si>
  <si>
    <t>Normal tissue blocks</t>
  </si>
  <si>
    <t>Total number of blocks</t>
  </si>
  <si>
    <t>RMI</t>
  </si>
  <si>
    <t>Move to Ovarian 2 (S3)</t>
  </si>
  <si>
    <t>Box number</t>
  </si>
  <si>
    <t>Number of Blocks recieved from CellNass</t>
  </si>
  <si>
    <t>No. of  small Blocks returned to CellNass</t>
  </si>
  <si>
    <t>No. of  large Blocks returned to CellNass</t>
  </si>
  <si>
    <t>Total No. of  Blocks returned to CellNass</t>
  </si>
  <si>
    <t>Full case return?</t>
  </si>
  <si>
    <t>Cohort ID</t>
  </si>
  <si>
    <t xml:space="preserve">Discrepancy </t>
  </si>
  <si>
    <t>Endometrial 3 (ship 3) [longitudinal 1 endo]</t>
  </si>
  <si>
    <t>LH Rx</t>
  </si>
  <si>
    <t>Matched Bx</t>
  </si>
  <si>
    <t>Slides selected</t>
  </si>
  <si>
    <t>LH21-42275</t>
  </si>
  <si>
    <t>A1, IHCx8</t>
  </si>
  <si>
    <t>LH21-43933</t>
  </si>
  <si>
    <t>LH22-603</t>
  </si>
  <si>
    <t>LH21-42084</t>
  </si>
  <si>
    <t>A1x2, IHCx11</t>
  </si>
  <si>
    <t>LH21-43702</t>
  </si>
  <si>
    <t>A1, B1, C1, IHCx17</t>
  </si>
  <si>
    <t>LH22-349</t>
  </si>
  <si>
    <t>LH21-45281</t>
  </si>
  <si>
    <t>A1, B1, IHCx8</t>
  </si>
  <si>
    <t>A1,B1</t>
  </si>
  <si>
    <t>LH21-39203</t>
  </si>
  <si>
    <t>LH21-47717</t>
  </si>
  <si>
    <t>A1, IHCx2</t>
  </si>
  <si>
    <t>LH22-07922</t>
  </si>
  <si>
    <t>LH22-02578</t>
  </si>
  <si>
    <t>LH22-02335</t>
  </si>
  <si>
    <t>LH22-06325</t>
  </si>
  <si>
    <t>A1, B1</t>
  </si>
  <si>
    <t>LH22-9903</t>
  </si>
  <si>
    <t>LH22-9616</t>
  </si>
  <si>
    <t>LH22-10855</t>
  </si>
  <si>
    <t>A1, B1, IHCx7</t>
  </si>
  <si>
    <t>LH22-14748</t>
  </si>
  <si>
    <t>LH22-13990</t>
  </si>
  <si>
    <t>LH22-23059</t>
  </si>
  <si>
    <t>LH22-28831</t>
  </si>
  <si>
    <t>LH22-24340</t>
  </si>
  <si>
    <t xml:space="preserve">A1x2 </t>
  </si>
  <si>
    <t>LH22-30057</t>
  </si>
  <si>
    <t>A1-2, IHCx7</t>
  </si>
  <si>
    <t>A1,A2</t>
  </si>
  <si>
    <t>LH22-29880</t>
  </si>
  <si>
    <t>A1-2, IHCx8</t>
  </si>
  <si>
    <t>LH22-30316</t>
  </si>
  <si>
    <t>IHCx8</t>
  </si>
  <si>
    <t>LH22-38208</t>
  </si>
  <si>
    <t>LH22-50196</t>
  </si>
  <si>
    <t>LH22-45334</t>
  </si>
  <si>
    <t>LH21-47124</t>
  </si>
  <si>
    <t>A1, IHCx9</t>
  </si>
  <si>
    <t xml:space="preserve">A1 </t>
  </si>
  <si>
    <t>LH22-45641</t>
  </si>
  <si>
    <t>A1x3, IHCx15</t>
  </si>
  <si>
    <t>LH22-52009</t>
  </si>
  <si>
    <t>LH22-49479</t>
  </si>
  <si>
    <t>A1, IHCx11</t>
  </si>
  <si>
    <t>LH22-53697</t>
  </si>
  <si>
    <t>LH22-49163</t>
  </si>
  <si>
    <t>A1x3, IHCx8</t>
  </si>
  <si>
    <t>LH22-47276</t>
  </si>
  <si>
    <t>A1x3, B1, IHCx7</t>
  </si>
  <si>
    <t>LH22-52017</t>
  </si>
  <si>
    <t>LH22-41199</t>
  </si>
  <si>
    <t>A1, IHCx3</t>
  </si>
  <si>
    <t>LH22-48112</t>
  </si>
  <si>
    <t>LH22-44579</t>
  </si>
  <si>
    <t>LH22-52131</t>
  </si>
  <si>
    <t>A1, IHCx7</t>
  </si>
  <si>
    <t>LH22-49967</t>
  </si>
  <si>
    <t>A1x2, IHCx6</t>
  </si>
  <si>
    <t>LH23-03639</t>
  </si>
  <si>
    <t>LH23-11817</t>
  </si>
  <si>
    <t>LH23-10621</t>
  </si>
  <si>
    <t>LH22-54183</t>
  </si>
  <si>
    <t>A1x3, IHCx9</t>
  </si>
  <si>
    <t>LH23-12033</t>
  </si>
  <si>
    <t>LH23-06495</t>
  </si>
  <si>
    <t>A1, B1, C1x6, IHCx6</t>
  </si>
  <si>
    <t>B1,C1</t>
  </si>
  <si>
    <t>LH23-18379</t>
  </si>
  <si>
    <t>LH23-21044</t>
  </si>
  <si>
    <t>A1-15, B1, B2x2, B3x3, C1, IHCx31</t>
  </si>
  <si>
    <t>A6,B3</t>
  </si>
  <si>
    <t>LH23-17658</t>
  </si>
  <si>
    <t>A1x3, IHCx7</t>
  </si>
  <si>
    <t>LH23-30233</t>
  </si>
  <si>
    <t>LH23-20340</t>
  </si>
  <si>
    <t>A1x3, B1, IHCx9</t>
  </si>
  <si>
    <t>LH23-24533</t>
  </si>
  <si>
    <t>LH23-29223</t>
  </si>
  <si>
    <t>LH23-28098</t>
  </si>
  <si>
    <t>A1x4, IHCx7</t>
  </si>
  <si>
    <t>LH23-28469</t>
  </si>
  <si>
    <t>A1x2, IHCx10</t>
  </si>
  <si>
    <t>LH23-31689</t>
  </si>
  <si>
    <t>A1, B1, IHCx6</t>
  </si>
  <si>
    <t>LH23-22646</t>
  </si>
  <si>
    <t>A1, IHCx6</t>
  </si>
  <si>
    <t>LH23-31195</t>
  </si>
  <si>
    <t>A1, B1x3, IHCx8</t>
  </si>
  <si>
    <t>LH23-37211</t>
  </si>
  <si>
    <t>LH23-37019</t>
  </si>
  <si>
    <t>A1x3, B1, B2, IHCx6</t>
  </si>
  <si>
    <t>A1,B2</t>
  </si>
  <si>
    <t>LH23-38156</t>
  </si>
  <si>
    <t>LH23-32793</t>
  </si>
  <si>
    <t>LH23-47314</t>
  </si>
  <si>
    <t>A1x3, B1-2, IHCx11</t>
  </si>
  <si>
    <t>LH23-45123</t>
  </si>
  <si>
    <t>LH23-47425</t>
  </si>
  <si>
    <t>A1, B1, C1, IHCx7</t>
  </si>
  <si>
    <t>LH23-49036</t>
  </si>
  <si>
    <t>LH23-47855</t>
  </si>
  <si>
    <t>A1-3, IHCx6</t>
  </si>
  <si>
    <t>LH24-00442</t>
  </si>
  <si>
    <t>A1, A2x2, IHCx6</t>
  </si>
  <si>
    <t>LH23-46369</t>
  </si>
  <si>
    <t>A1, A2, A3, IHCx5</t>
  </si>
  <si>
    <t>LH23-51812</t>
  </si>
  <si>
    <t>LH24-04680</t>
  </si>
  <si>
    <t>A1, IHCx12</t>
  </si>
  <si>
    <t>LH24-10030</t>
  </si>
  <si>
    <t>LH23-54344</t>
  </si>
  <si>
    <t>LH24-07059</t>
  </si>
  <si>
    <t>LH24-02953</t>
  </si>
  <si>
    <t>A1, B1, IHCx14</t>
  </si>
  <si>
    <t>LH24-07049</t>
  </si>
  <si>
    <t>LH24-05313</t>
  </si>
  <si>
    <t>LH24-13455</t>
  </si>
  <si>
    <t>LH24-01014</t>
  </si>
  <si>
    <t>LH24-18785</t>
  </si>
  <si>
    <t>LH24-10755</t>
  </si>
  <si>
    <t>LH24-02690</t>
  </si>
  <si>
    <t>LH24-13859</t>
  </si>
  <si>
    <t>A1, B1, C1, IHCx13</t>
  </si>
  <si>
    <t>LH24-14340</t>
  </si>
  <si>
    <t>LH24-16802</t>
  </si>
  <si>
    <t>LH23-51078</t>
  </si>
  <si>
    <t>A2-8, IHCx4</t>
  </si>
  <si>
    <t>LH24-21234</t>
  </si>
  <si>
    <t xml:space="preserve">LH24-18320 </t>
  </si>
  <si>
    <t>A1-4, B1, IHCx6</t>
  </si>
  <si>
    <t>LH24-20841</t>
  </si>
  <si>
    <t>A1, B1, IHCx10</t>
  </si>
  <si>
    <t>LH24-25643</t>
  </si>
  <si>
    <t>A1, B1, C1, IHCx9</t>
  </si>
  <si>
    <t>LH24-31068</t>
  </si>
  <si>
    <t>LH24-32530</t>
  </si>
  <si>
    <t>LH24-28216</t>
  </si>
  <si>
    <t>A1x2, IHCx12</t>
  </si>
  <si>
    <t>LH24-32699</t>
  </si>
  <si>
    <t>LH24-21942</t>
  </si>
  <si>
    <t>A1x2, IHCx8</t>
  </si>
  <si>
    <t>LH24-32705</t>
  </si>
  <si>
    <t>LH24-31496</t>
  </si>
  <si>
    <t>LH24-32442</t>
  </si>
  <si>
    <t>A1x3, B1-3, IHCx10</t>
  </si>
  <si>
    <t>A1,B1,B3</t>
  </si>
  <si>
    <t>LH24-31067</t>
  </si>
  <si>
    <t>LH24-36258</t>
  </si>
  <si>
    <t>LH24-37874</t>
  </si>
  <si>
    <t>LH24-36498</t>
  </si>
  <si>
    <t>A1, B1, IHCx17</t>
  </si>
  <si>
    <t>LH24-41871</t>
  </si>
  <si>
    <t>LH24-45587</t>
  </si>
  <si>
    <t>LH24-44283</t>
  </si>
  <si>
    <t>LH24-33176</t>
  </si>
  <si>
    <t xml:space="preserve">A1x3  </t>
  </si>
  <si>
    <t>LH24-43639</t>
  </si>
  <si>
    <t>LH24-50472</t>
  </si>
  <si>
    <t>LH24-44285</t>
  </si>
  <si>
    <t>LH24-44525</t>
  </si>
  <si>
    <t>A1, B1-2, IHCx9</t>
  </si>
  <si>
    <t>LH24-40335</t>
  </si>
  <si>
    <t>LH24-40532</t>
  </si>
  <si>
    <t>LH24-40716</t>
  </si>
  <si>
    <t>LH24-41869</t>
  </si>
  <si>
    <t>LH24-43154</t>
  </si>
  <si>
    <t>LH24-46342</t>
  </si>
  <si>
    <t>LH24-44335</t>
  </si>
  <si>
    <t xml:space="preserve">A1, B1 </t>
  </si>
  <si>
    <t>LH25-00985</t>
  </si>
  <si>
    <t>LH24-48130</t>
  </si>
  <si>
    <t>LH24-44330</t>
  </si>
  <si>
    <t>A1, B1x3</t>
  </si>
  <si>
    <t>LH25-01529</t>
  </si>
  <si>
    <t>LH25-00577</t>
  </si>
  <si>
    <t>A1-5</t>
  </si>
  <si>
    <t>A1, A2, A3, A4, A5</t>
  </si>
  <si>
    <t>LH24-52333</t>
  </si>
  <si>
    <t>LH24-51451</t>
  </si>
  <si>
    <t>A1-2, B1</t>
  </si>
  <si>
    <t>A1, A2, B1</t>
  </si>
  <si>
    <t>LH24-53467</t>
  </si>
  <si>
    <t>LH24-54147</t>
  </si>
  <si>
    <t>LH24-55528</t>
  </si>
  <si>
    <t>LH24-53682</t>
  </si>
  <si>
    <t>LH25-03614</t>
  </si>
  <si>
    <t>LH25-03508</t>
  </si>
  <si>
    <t>LH25-04944</t>
  </si>
  <si>
    <t>LH25-02032</t>
  </si>
  <si>
    <t>LH25-14884</t>
  </si>
  <si>
    <t>LH25-10114</t>
  </si>
  <si>
    <t>LH25-15869</t>
  </si>
  <si>
    <t>LH25-17213</t>
  </si>
  <si>
    <t>LH25-14185</t>
  </si>
  <si>
    <t>LH25-12264</t>
  </si>
  <si>
    <t>LH25-16148</t>
  </si>
  <si>
    <t>LH23-11570</t>
  </si>
  <si>
    <t>LH25-16746</t>
  </si>
  <si>
    <t>LH25-17635</t>
  </si>
  <si>
    <t>LH25-26720</t>
  </si>
  <si>
    <t>LH25-24038</t>
  </si>
  <si>
    <t>LH25-27462</t>
  </si>
  <si>
    <t>LH25-24261</t>
  </si>
  <si>
    <t>LH25-28902</t>
  </si>
  <si>
    <t>LH25-21878</t>
  </si>
  <si>
    <t>A1, B1, B2x2</t>
  </si>
  <si>
    <t>B1, B2</t>
  </si>
  <si>
    <t>LH25-24996</t>
  </si>
  <si>
    <t>LH25-27751</t>
  </si>
  <si>
    <t>LH25-24020</t>
  </si>
  <si>
    <t>A1x2, B1</t>
  </si>
  <si>
    <t>LH25-17633</t>
  </si>
  <si>
    <t>LH25-03665</t>
  </si>
  <si>
    <t>LH25-35516</t>
  </si>
  <si>
    <t>LH25-31187</t>
  </si>
  <si>
    <t>LH25-32069</t>
  </si>
  <si>
    <t>LH25-31728</t>
  </si>
  <si>
    <t>LH25-33034</t>
  </si>
  <si>
    <t>A1, B1, C1</t>
  </si>
  <si>
    <t xml:space="preserve">A1, B1, C1 </t>
  </si>
  <si>
    <t>LH25-37943</t>
  </si>
  <si>
    <t>LH25-32552</t>
  </si>
  <si>
    <t>LH25-37934</t>
  </si>
  <si>
    <t>LH25-33350</t>
  </si>
  <si>
    <t xml:space="preserve">B1 </t>
  </si>
  <si>
    <t>LH25-37229</t>
  </si>
  <si>
    <t>LH25-41852</t>
  </si>
  <si>
    <t>LH25-41573</t>
  </si>
  <si>
    <t>LH25-29680</t>
  </si>
  <si>
    <t>LH25-46242</t>
  </si>
  <si>
    <t>LH25-45627</t>
  </si>
  <si>
    <t>LH25-39322</t>
  </si>
  <si>
    <t>LH20-38149</t>
  </si>
  <si>
    <t>LH20-38944</t>
  </si>
  <si>
    <t>LH21-2161</t>
  </si>
  <si>
    <t>LH20-38344</t>
  </si>
  <si>
    <t>LH21-02544</t>
  </si>
  <si>
    <t>LH21-02881</t>
  </si>
  <si>
    <t>LH21-05045</t>
  </si>
  <si>
    <t>LH21-07914</t>
  </si>
  <si>
    <t>LH21-05219</t>
  </si>
  <si>
    <t>LH21-11642</t>
  </si>
  <si>
    <t>LH21-11939</t>
  </si>
  <si>
    <t>LH21-17295</t>
  </si>
  <si>
    <t>LH21-18633</t>
  </si>
  <si>
    <t>LH21-19963</t>
  </si>
  <si>
    <t>LH21-17703</t>
  </si>
  <si>
    <t>LH21-11738</t>
  </si>
  <si>
    <t>LH21-25982</t>
  </si>
  <si>
    <t>LH21-21137</t>
  </si>
  <si>
    <t>LH21-22201</t>
  </si>
  <si>
    <t>LH21-25121</t>
  </si>
  <si>
    <t>LH21-22066</t>
  </si>
  <si>
    <t>LH21-19761</t>
  </si>
  <si>
    <t>LH21-24412</t>
  </si>
  <si>
    <t>LH21-20916</t>
  </si>
  <si>
    <t>LH21-22789</t>
  </si>
  <si>
    <t>LH21-19762</t>
  </si>
  <si>
    <t>A1-5, B1</t>
  </si>
  <si>
    <t>LH21-25984</t>
  </si>
  <si>
    <t>LH21-27548</t>
  </si>
  <si>
    <t>LH21-29631</t>
  </si>
  <si>
    <t>LH21-34063</t>
  </si>
  <si>
    <t>LH21-37139</t>
  </si>
  <si>
    <t>LH21-37004</t>
  </si>
  <si>
    <t>LH21-41368</t>
  </si>
  <si>
    <t>LH21-40057</t>
  </si>
  <si>
    <t>LH21-38273</t>
  </si>
  <si>
    <t>LH21-41003</t>
  </si>
  <si>
    <t>Notes</t>
  </si>
  <si>
    <t>If Dissent N: Consent</t>
  </si>
  <si>
    <t>If Dissent N: Form Incomplete</t>
  </si>
  <si>
    <t>If Dissent N: Form missing</t>
  </si>
  <si>
    <t>P</t>
  </si>
  <si>
    <t>M</t>
  </si>
  <si>
    <t>All part types (fllopian tubes ovaries, uterus etc.) plus carcinosarcoma, carcinoma or adenocarcinoma in final diagnosis searched</t>
  </si>
  <si>
    <t>A couple of cases may overlap with Yong's cohort?</t>
  </si>
  <si>
    <t>all adenocarcinomas and carcinosarcomas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</si>
</sst>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809]dd\ mmmm\ yyyy;@"/>
  </numFmts>
  <fonts count="21"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6"/>
      <color rgb="FF7030A0"/>
      <name val="Calibri Light"/>
      <family val="2"/>
      <scheme val="major"/>
    </font>
    <font>
      <b/>
      <u/>
      <sz val="11"/>
      <color theme="1"/>
      <name val="Calibri Light"/>
      <family val="2"/>
      <scheme val="major"/>
    </font>
    <font>
      <b/>
      <u/>
      <sz val="11"/>
      <color rgb="FF000000"/>
      <name val="Calibri Light"/>
      <family val="2"/>
      <scheme val="major"/>
    </font>
    <font>
      <b/>
      <u/>
      <sz val="11"/>
      <color rgb="FFFF0000"/>
      <name val="Calibri Light"/>
      <family val="2"/>
      <scheme val="maj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scheme val="major"/>
    </font>
    <font>
      <sz val="11"/>
      <color rgb="FF242424"/>
      <name val="Aptos Narrow"/>
      <charset val="1"/>
    </font>
    <font>
      <sz val="10"/>
      <color rgb="FF000000"/>
      <name val="Calibri"/>
    </font>
    <font>
      <sz val="10"/>
      <color theme="1"/>
      <name val="Calibri"/>
    </font>
    <font>
      <b/>
      <sz val="12"/>
      <color theme="1"/>
      <name val="Calibri"/>
      <family val="2"/>
      <scheme val="minor"/>
    </font>
    <font>
      <sz val="12"/>
      <color theme="1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40BDC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2" fillId="0" borderId="0"/>
  </cellStyleXfs>
  <cellXfs count="112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Protection="1">
      <protection locked="0"/>
    </xf>
    <xf numFmtId="164" fontId="5" fillId="0" borderId="0" xfId="0" applyNumberFormat="1" applyFont="1" applyProtection="1">
      <protection locked="0"/>
    </xf>
    <xf numFmtId="164" fontId="5" fillId="0" borderId="0" xfId="0" applyNumberFormat="1" applyFont="1"/>
    <xf numFmtId="0" fontId="7" fillId="2" borderId="0" xfId="0" applyFont="1" applyFill="1"/>
    <xf numFmtId="0" fontId="7" fillId="0" borderId="0" xfId="0" applyFont="1"/>
    <xf numFmtId="0" fontId="10" fillId="5" borderId="2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2" xfId="0" applyFont="1" applyFill="1" applyBorder="1"/>
    <xf numFmtId="0" fontId="9" fillId="8" borderId="5" xfId="0" applyFont="1" applyFill="1" applyBorder="1" applyAlignment="1">
      <alignment horizontal="center" wrapText="1"/>
    </xf>
    <xf numFmtId="0" fontId="9" fillId="8" borderId="6" xfId="0" applyFont="1" applyFill="1" applyBorder="1" applyAlignment="1">
      <alignment horizontal="center" wrapText="1"/>
    </xf>
    <xf numFmtId="0" fontId="9" fillId="4" borderId="5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 wrapText="1"/>
    </xf>
    <xf numFmtId="0" fontId="9" fillId="4" borderId="6" xfId="0" applyFont="1" applyFill="1" applyBorder="1" applyAlignment="1">
      <alignment horizontal="center" wrapText="1"/>
    </xf>
    <xf numFmtId="0" fontId="10" fillId="5" borderId="5" xfId="0" applyFont="1" applyFill="1" applyBorder="1" applyAlignment="1">
      <alignment horizontal="center"/>
    </xf>
    <xf numFmtId="0" fontId="9" fillId="6" borderId="4" xfId="0" quotePrefix="1" applyFont="1" applyFill="1" applyBorder="1" applyAlignment="1">
      <alignment horizontal="center" wrapText="1"/>
    </xf>
    <xf numFmtId="0" fontId="9" fillId="6" borderId="5" xfId="0" quotePrefix="1" applyFont="1" applyFill="1" applyBorder="1" applyAlignment="1">
      <alignment horizontal="center" wrapText="1"/>
    </xf>
    <xf numFmtId="0" fontId="9" fillId="6" borderId="5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0" xfId="0" applyAlignment="1">
      <alignment horizontal="left"/>
    </xf>
    <xf numFmtId="0" fontId="10" fillId="9" borderId="2" xfId="0" applyFont="1" applyFill="1" applyBorder="1" applyAlignment="1">
      <alignment horizontal="center" wrapText="1"/>
    </xf>
    <xf numFmtId="0" fontId="10" fillId="9" borderId="5" xfId="0" applyFont="1" applyFill="1" applyBorder="1" applyAlignment="1">
      <alignment horizontal="center" wrapText="1"/>
    </xf>
    <xf numFmtId="0" fontId="9" fillId="7" borderId="3" xfId="0" applyFont="1" applyFill="1" applyBorder="1" applyAlignment="1">
      <alignment horizontal="center"/>
    </xf>
    <xf numFmtId="0" fontId="9" fillId="7" borderId="6" xfId="0" applyFont="1" applyFill="1" applyBorder="1" applyAlignment="1">
      <alignment horizontal="center"/>
    </xf>
    <xf numFmtId="0" fontId="10" fillId="9" borderId="3" xfId="0" applyFont="1" applyFill="1" applyBorder="1" applyAlignment="1">
      <alignment horizontal="center" wrapText="1"/>
    </xf>
    <xf numFmtId="0" fontId="10" fillId="9" borderId="6" xfId="0" applyFont="1" applyFill="1" applyBorder="1" applyAlignment="1">
      <alignment horizontal="center" wrapText="1"/>
    </xf>
    <xf numFmtId="0" fontId="9" fillId="6" borderId="2" xfId="0" quotePrefix="1" applyFont="1" applyFill="1" applyBorder="1" applyAlignment="1">
      <alignment horizontal="center" wrapText="1"/>
    </xf>
    <xf numFmtId="0" fontId="9" fillId="3" borderId="1" xfId="0" applyFont="1" applyFill="1" applyBorder="1" applyAlignment="1">
      <alignment wrapText="1"/>
    </xf>
    <xf numFmtId="0" fontId="9" fillId="3" borderId="2" xfId="0" applyFont="1" applyFill="1" applyBorder="1" applyAlignment="1">
      <alignment wrapText="1"/>
    </xf>
    <xf numFmtId="0" fontId="10" fillId="5" borderId="2" xfId="0" applyFont="1" applyFill="1" applyBorder="1"/>
    <xf numFmtId="0" fontId="10" fillId="5" borderId="5" xfId="0" applyFont="1" applyFill="1" applyBorder="1"/>
    <xf numFmtId="0" fontId="9" fillId="7" borderId="1" xfId="0" applyFont="1" applyFill="1" applyBorder="1" applyAlignment="1">
      <alignment horizontal="center" wrapText="1"/>
    </xf>
    <xf numFmtId="0" fontId="9" fillId="7" borderId="4" xfId="0" applyFont="1" applyFill="1" applyBorder="1" applyAlignment="1">
      <alignment horizontal="center" wrapText="1"/>
    </xf>
    <xf numFmtId="0" fontId="9" fillId="6" borderId="2" xfId="0" applyFont="1" applyFill="1" applyBorder="1" applyAlignment="1">
      <alignment wrapText="1"/>
    </xf>
    <xf numFmtId="0" fontId="9" fillId="6" borderId="5" xfId="0" applyFont="1" applyFill="1" applyBorder="1" applyAlignment="1">
      <alignment horizontal="center" wrapText="1"/>
    </xf>
    <xf numFmtId="0" fontId="9" fillId="3" borderId="4" xfId="0" applyFont="1" applyFill="1" applyBorder="1" applyAlignment="1">
      <alignment horizontal="center" wrapText="1"/>
    </xf>
    <xf numFmtId="0" fontId="9" fillId="3" borderId="5" xfId="0" applyFont="1" applyFill="1" applyBorder="1" applyAlignment="1">
      <alignment horizontal="center" wrapText="1"/>
    </xf>
    <xf numFmtId="0" fontId="9" fillId="8" borderId="2" xfId="0" applyFont="1" applyFill="1" applyBorder="1" applyAlignment="1">
      <alignment horizontal="center" wrapText="1"/>
    </xf>
    <xf numFmtId="0" fontId="9" fillId="8" borderId="3" xfId="0" applyFont="1" applyFill="1" applyBorder="1" applyAlignment="1">
      <alignment horizontal="center" wrapText="1"/>
    </xf>
    <xf numFmtId="0" fontId="9" fillId="4" borderId="1" xfId="0" applyFont="1" applyFill="1" applyBorder="1"/>
    <xf numFmtId="0" fontId="9" fillId="4" borderId="2" xfId="0" applyFont="1" applyFill="1" applyBorder="1"/>
    <xf numFmtId="0" fontId="9" fillId="4" borderId="3" xfId="0" applyFont="1" applyFill="1" applyBorder="1"/>
    <xf numFmtId="0" fontId="9" fillId="3" borderId="8" xfId="0" applyFont="1" applyFill="1" applyBorder="1" applyAlignment="1">
      <alignment horizontal="center" wrapText="1"/>
    </xf>
    <xf numFmtId="0" fontId="9" fillId="8" borderId="8" xfId="0" applyFont="1" applyFill="1" applyBorder="1" applyAlignment="1">
      <alignment horizontal="center" wrapText="1"/>
    </xf>
    <xf numFmtId="0" fontId="9" fillId="4" borderId="8" xfId="0" applyFont="1" applyFill="1" applyBorder="1" applyAlignment="1">
      <alignment horizontal="center" wrapText="1"/>
    </xf>
    <xf numFmtId="0" fontId="10" fillId="9" borderId="8" xfId="0" applyFont="1" applyFill="1" applyBorder="1" applyAlignment="1">
      <alignment horizontal="center" wrapText="1"/>
    </xf>
    <xf numFmtId="0" fontId="9" fillId="6" borderId="8" xfId="0" quotePrefix="1" applyFont="1" applyFill="1" applyBorder="1" applyAlignment="1">
      <alignment horizontal="center" wrapText="1"/>
    </xf>
    <xf numFmtId="0" fontId="9" fillId="6" borderId="8" xfId="0" applyFont="1" applyFill="1" applyBorder="1" applyAlignment="1">
      <alignment horizontal="center" wrapText="1"/>
    </xf>
    <xf numFmtId="0" fontId="9" fillId="7" borderId="8" xfId="0" applyFont="1" applyFill="1" applyBorder="1" applyAlignment="1">
      <alignment horizontal="center" wrapText="1"/>
    </xf>
    <xf numFmtId="0" fontId="9" fillId="4" borderId="8" xfId="0" applyFont="1" applyFill="1" applyBorder="1" applyAlignment="1">
      <alignment wrapText="1"/>
    </xf>
    <xf numFmtId="0" fontId="10" fillId="5" borderId="8" xfId="0" applyFont="1" applyFill="1" applyBorder="1" applyAlignment="1">
      <alignment wrapText="1"/>
    </xf>
    <xf numFmtId="0" fontId="10" fillId="5" borderId="8" xfId="0" applyFont="1" applyFill="1" applyBorder="1" applyAlignment="1">
      <alignment horizontal="center" wrapText="1"/>
    </xf>
    <xf numFmtId="0" fontId="7" fillId="0" borderId="8" xfId="0" applyFont="1" applyBorder="1" applyAlignment="1">
      <alignment wrapText="1"/>
    </xf>
    <xf numFmtId="0" fontId="13" fillId="0" borderId="0" xfId="0" applyFont="1"/>
    <xf numFmtId="0" fontId="5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6" fontId="5" fillId="0" borderId="0" xfId="0" applyNumberFormat="1" applyFont="1"/>
    <xf numFmtId="0" fontId="9" fillId="3" borderId="3" xfId="0" applyFont="1" applyFill="1" applyBorder="1" applyAlignment="1">
      <alignment wrapText="1"/>
    </xf>
    <xf numFmtId="0" fontId="9" fillId="3" borderId="6" xfId="0" applyFont="1" applyFill="1" applyBorder="1" applyAlignment="1">
      <alignment horizontal="center" wrapText="1"/>
    </xf>
    <xf numFmtId="0" fontId="5" fillId="10" borderId="0" xfId="0" applyFont="1" applyFill="1" applyProtection="1">
      <protection locked="0"/>
    </xf>
    <xf numFmtId="14" fontId="5" fillId="0" borderId="0" xfId="0" applyNumberFormat="1" applyFont="1"/>
    <xf numFmtId="0" fontId="6" fillId="0" borderId="9" xfId="0" applyFont="1" applyBorder="1"/>
    <xf numFmtId="0" fontId="1" fillId="0" borderId="0" xfId="0" applyFont="1"/>
    <xf numFmtId="0" fontId="5" fillId="2" borderId="0" xfId="0" applyFont="1" applyFill="1"/>
    <xf numFmtId="0" fontId="5" fillId="2" borderId="0" xfId="0" applyFont="1" applyFill="1" applyProtection="1">
      <protection locked="0"/>
    </xf>
    <xf numFmtId="164" fontId="5" fillId="2" borderId="0" xfId="0" applyNumberFormat="1" applyFont="1" applyFill="1" applyProtection="1">
      <protection locked="0"/>
    </xf>
    <xf numFmtId="164" fontId="5" fillId="2" borderId="0" xfId="0" applyNumberFormat="1" applyFont="1" applyFill="1"/>
    <xf numFmtId="0" fontId="7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9" xfId="0" applyFont="1" applyBorder="1" applyAlignment="1">
      <alignment horizontal="center"/>
    </xf>
    <xf numFmtId="0" fontId="5" fillId="10" borderId="0" xfId="0" applyFont="1" applyFill="1"/>
    <xf numFmtId="0" fontId="5" fillId="0" borderId="10" xfId="0" applyFont="1" applyBorder="1"/>
    <xf numFmtId="0" fontId="15" fillId="0" borderId="0" xfId="0" applyFont="1"/>
    <xf numFmtId="0" fontId="5" fillId="0" borderId="0" xfId="0" applyFont="1" applyAlignment="1" applyProtection="1">
      <alignment horizontal="left"/>
      <protection locked="0"/>
    </xf>
    <xf numFmtId="0" fontId="16" fillId="0" borderId="0" xfId="0" applyFont="1"/>
    <xf numFmtId="0" fontId="13" fillId="10" borderId="0" xfId="0" applyFont="1" applyFill="1"/>
    <xf numFmtId="0" fontId="5" fillId="11" borderId="0" xfId="0" applyFont="1" applyFill="1"/>
    <xf numFmtId="0" fontId="5" fillId="12" borderId="0" xfId="0" applyFont="1" applyFill="1"/>
    <xf numFmtId="0" fontId="18" fillId="0" borderId="0" xfId="0" applyFont="1" applyAlignment="1">
      <alignment wrapText="1"/>
    </xf>
    <xf numFmtId="0" fontId="17" fillId="0" borderId="0" xfId="0" applyFont="1" applyAlignment="1" applyProtection="1">
      <alignment horizontal="left"/>
      <protection locked="0"/>
    </xf>
    <xf numFmtId="0" fontId="17" fillId="0" borderId="0" xfId="0" applyFont="1"/>
    <xf numFmtId="0" fontId="18" fillId="0" borderId="10" xfId="0" applyFont="1" applyBorder="1" applyAlignment="1">
      <alignment wrapText="1"/>
    </xf>
    <xf numFmtId="14" fontId="13" fillId="0" borderId="0" xfId="0" applyNumberFormat="1" applyFont="1"/>
    <xf numFmtId="0" fontId="9" fillId="0" borderId="1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10" borderId="0" xfId="0" applyFont="1" applyFill="1" applyAlignment="1">
      <alignment horizontal="center"/>
    </xf>
    <xf numFmtId="0" fontId="5" fillId="13" borderId="0" xfId="0" applyFont="1" applyFill="1"/>
    <xf numFmtId="0" fontId="6" fillId="0" borderId="0" xfId="0" applyFont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left"/>
    </xf>
    <xf numFmtId="0" fontId="17" fillId="14" borderId="12" xfId="0" applyFont="1" applyFill="1" applyBorder="1" applyAlignment="1">
      <alignment wrapText="1"/>
    </xf>
    <xf numFmtId="0" fontId="19" fillId="0" borderId="0" xfId="0" applyFont="1"/>
    <xf numFmtId="0" fontId="19" fillId="0" borderId="0" xfId="0" applyFont="1" applyAlignment="1">
      <alignment horizontal="left"/>
    </xf>
    <xf numFmtId="0" fontId="2" fillId="0" borderId="13" xfId="0" applyFont="1" applyBorder="1" applyAlignment="1">
      <alignment horizontal="center" wrapText="1"/>
    </xf>
    <xf numFmtId="0" fontId="20" fillId="0" borderId="0" xfId="0" applyFont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14" xfId="0" applyFont="1" applyBorder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3" xfId="1" xr:uid="{F65F14EB-4DA5-4D36-9C88-49B63D030095}"/>
  </cellStyles>
  <dxfs count="2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[$-809]dd\ mmmm\ yyyy;@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[$-809]dd\ mmmm\ yyyy;@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[$-809]dd\ mmmm\ yyyy;@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[$-809]dd\ mmmm\ 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70957E05-AB34-4AAC-A938-26D2871358FC}"/>
  </tableStyles>
  <colors>
    <mruColors>
      <color rgb="FFB9FF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NNETT, Nicholas (LEEDS TEACHING HOSPITALS NHS TRUST)" id="{212F8A51-D53D-48BE-99DB-EDFB30BDEA89}" userId="S::n.bennett7@nhs.net::7f79b6ca-9579-41c7-ac49-041a823c0562" providerId="AD"/>
  <person displayName="FREER, Clare (LEEDS TEACHING HOSPITALS NHS TRUST)" id="{49AA44F0-5412-4B8E-AF85-CB97303C18C3}" userId="S::clare.freer2@nhs.net::38188dba-d054-4eda-9019-5e8a7b85df14" providerId="AD"/>
  <person displayName="ROGERSON, Grace (LEEDS TEACHING HOSPITALS NHS TRUST)" id="{0019B8B0-975B-48C4-8A96-CA368C4A0132}" userId="S::grace.rogerson2@nhs.net::a7527938-2579-44fa-a23c-847ea9c289f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B45E67-EE19-4C84-AA27-8AA0C7478BCB}" name="Table1" displayName="Table1" ref="A4:AU81" totalsRowShown="0" dataDxfId="226" headerRowBorderDxfId="225">
  <autoFilter ref="A4:AU81" xr:uid="{1CB45E67-EE19-4C84-AA27-8AA0C7478BCB}">
    <filterColumn colId="28">
      <filters>
        <filter val="A14"/>
        <filter val="A16"/>
        <filter val="A21"/>
        <filter val="B6"/>
        <filter val="C7"/>
      </filters>
    </filterColumn>
  </autoFilter>
  <tableColumns count="47">
    <tableColumn id="1" xr3:uid="{971E6262-2315-44B2-B71F-9D0593792DA7}" name="Rejected" dataDxfId="224"/>
    <tableColumn id="2" xr3:uid="{B4FC633A-3ECE-4143-8B8F-E5474BED9EB4}" name="Specimen number" dataDxfId="223"/>
    <tableColumn id="3" xr3:uid="{D897295A-8D6B-4A6A-8DD1-36C0B3DEA64F}" name="NHS numbers" dataDxfId="222"/>
    <tableColumn id="47" xr3:uid="{15F6707C-744A-428A-80C9-B7D210377196}" name="Tissue Pathway" dataDxfId="221"/>
    <tableColumn id="4" xr3:uid="{E56CB695-9F28-4205-BDF1-34BA3D6BF8FC}" name="Specimen List Notes" dataDxfId="220"/>
    <tableColumn id="5" xr3:uid="{B6618A93-6191-43F8-A08C-B237916DB590}" name="Patient Info Notes" dataDxfId="219"/>
    <tableColumn id="6" xr3:uid="{C2BBB61D-8BD7-4D23-BD7E-AB738310038B}" name="DOB" dataDxfId="218"/>
    <tableColumn id="7" xr3:uid="{8350A74B-13C4-4F3F-947E-34CF40191714}" name="Gender" dataDxfId="217"/>
    <tableColumn id="8" xr3:uid="{32933D10-A8E8-42E6-B5FF-4C4AD4AD40D2}" name="Dissent Y/N" dataDxfId="216"/>
    <tableColumn id="9" xr3:uid="{1B93F356-3408-46DC-A9EF-5E05E644726F}" name="Consent" dataDxfId="215"/>
    <tableColumn id="10" xr3:uid="{A0F6C7A9-A4B1-4012-B89A-71D00AD5EDEF}" name="Form Incomplete" dataDxfId="214"/>
    <tableColumn id="11" xr3:uid="{6F8AC06C-3F7C-43FB-B443-434DC692C79D}" name="Form missing" dataDxfId="213"/>
    <tableColumn id="12" xr3:uid="{29B55F6C-1571-4498-99E7-7FA1C3F32019}" name="No. small slides from CellNass" dataDxfId="212"/>
    <tableColumn id="13" xr3:uid="{0447CD09-087E-43F8-BF4D-E050C062F5D0}" name="No. large slides from CellNass" dataDxfId="211"/>
    <tableColumn id="14" xr3:uid="{E04A1A3D-D0F0-49A3-889F-6FF4212A9CD2}" name="Total no. of slides recieved from CellNass" dataDxfId="210"/>
    <tableColumn id="15" xr3:uid="{0C508936-44E5-4C13-8BC5-A09A33BF46E3}" name="Slides Collected" dataDxfId="209"/>
    <tableColumn id="16" xr3:uid="{01801408-C667-4F3E-A61F-520679A87852}" name="CoPath (SC)" dataDxfId="208"/>
    <tableColumn id="17" xr3:uid="{51B8E23F-F8C8-4D8A-8FD0-741E7290E6F0}" name="Slides Missing (if any…)" dataDxfId="207"/>
    <tableColumn id="18" xr3:uid="{84743F78-0C3E-4435-9C5B-90D9E49CD13E}" name="P1" dataDxfId="206"/>
    <tableColumn id="19" xr3:uid="{1A4A741D-6F28-4D46-AB34-A4AD3C3D58B5}" name="P2" dataDxfId="205"/>
    <tableColumn id="20" xr3:uid="{523BB813-1FC4-4961-9871-00C3BB3114F8}" name="P3" dataDxfId="204"/>
    <tableColumn id="21" xr3:uid="{8961B0A8-3CF9-4DD7-AF1E-24D547B94389}" name="P4" dataDxfId="203"/>
    <tableColumn id="22" xr3:uid="{547A0F3C-0DE8-4A4D-92B8-6A2EF3A8F3E7}" name="P5" dataDxfId="202"/>
    <tableColumn id="23" xr3:uid="{997D72AC-AC90-4D8B-B93C-D4C4951BBD04}" name="M1" dataDxfId="201"/>
    <tableColumn id="24" xr3:uid="{8D2A7B78-7D88-47D0-B238-8F6B6729B7A6}" name="M2" dataDxfId="200"/>
    <tableColumn id="25" xr3:uid="{08E4DCBE-5D01-4601-9263-5DE66303196F}" name="M3" dataDxfId="199"/>
    <tableColumn id="26" xr3:uid="{18894227-15DC-4383-90F0-E86269A04543}" name="M4" dataDxfId="198"/>
    <tableColumn id="27" xr3:uid="{87A6B9ED-3453-4B6E-993B-37AF30BDFB95}" name="M5" dataDxfId="197"/>
    <tableColumn id="28" xr3:uid="{EC70D995-044B-4860-9006-7C58CD9922D1}" name="N" dataDxfId="196"/>
    <tableColumn id="29" xr3:uid="{B03FDE41-54FB-4329-816F-4B0C2A799E6A}" name="S" dataDxfId="195"/>
    <tableColumn id="30" xr3:uid="{0417D3FF-607F-4B40-ABEF-F805A58DB7A7}" name="X" dataDxfId="194"/>
    <tableColumn id="31" xr3:uid="{C45EA81E-A988-4A40-974D-9CBDC87DB14B}" name="CoPath (SS)" dataDxfId="193"/>
    <tableColumn id="32" xr3:uid="{6D1F164F-A5E0-4E94-B2B9-535BD1B2A912}" name="Selected Slides Notes" dataDxfId="192"/>
    <tableColumn id="33" xr3:uid="{0502673B-E897-48CF-B76E-F3151E3B4D3A}" name="X Blocks in Archive" dataDxfId="191"/>
    <tableColumn id="34" xr3:uid="{696C34AE-3D6C-488F-89AB-984DCBF9CD40}" name="X Blocks missing from Archive" dataDxfId="190"/>
    <tableColumn id="35" xr3:uid="{C1074AAC-25F7-4733-BAD2-61CED611D650}" name="Blocks recieved from CellNass" dataDxfId="189"/>
    <tableColumn id="36" xr3:uid="{F3541951-CBE0-422A-A369-60131309652F}" name="Block Collection Notes" dataDxfId="188"/>
    <tableColumn id="37" xr3:uid="{0FB581D3-22E7-449F-90AB-A964E9EBEA1E}" name="BP1" dataDxfId="187"/>
    <tableColumn id="38" xr3:uid="{336033A0-9395-4F4B-A97F-E04E33D770CC}" name="BP2" dataDxfId="186"/>
    <tableColumn id="39" xr3:uid="{892D1592-A61A-4995-BBE2-7D1FAE0EA31E}" name="BM1" dataDxfId="185"/>
    <tableColumn id="40" xr3:uid="{04DB3397-365D-4480-8985-7B7366769029}" name="BM2" dataDxfId="184"/>
    <tableColumn id="41" xr3:uid="{084AF8C6-EB1A-459E-A804-92320873904F}" name="BN1" dataDxfId="183"/>
    <tableColumn id="42" xr3:uid="{6C7E9304-D5AC-4BC5-8FFD-BAC86D73092D}" name="CoPath (BC)" dataDxfId="182"/>
    <tableColumn id="43" xr3:uid="{DB56A819-9A19-43F4-AE68-C56EAEE92B68}" name="CoPath (Tristar)" dataDxfId="181"/>
    <tableColumn id="44" xr3:uid="{FCA8892A-FFB1-4F5F-902D-85719FBD2D42}" name="Block Shipment Notes" dataDxfId="180"/>
    <tableColumn id="45" xr3:uid="{26C0F983-E6CE-49DD-9DC7-9EAAEFE812E3}" name="Scanned?" dataDxfId="179"/>
    <tableColumn id="46" xr3:uid="{5482064D-8B36-4D08-A373-160CC1F5C311}" name="CoPath (post scan)" dataDxfId="178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544470-876A-4B1F-A1F5-13A51BD4963B}" name="Table13" displayName="Table13" ref="A4:AU158" totalsRowShown="0" dataDxfId="176" headerRowBorderDxfId="175">
  <autoFilter ref="A4:AU158" xr:uid="{1CB45E67-EE19-4C84-AA27-8AA0C7478BCB}">
    <filterColumn colId="15">
      <filters>
        <filter val="1-31, B1-5, C1-3, D1-9"/>
        <filter val="A1-10, A13-23, B1-5, C1-4, D1-8, E1-2, A11-12(L)"/>
        <filter val="A1-10, A13-28, B1-6, C1-10, D1-10, E1, F1-3, G1-2, A11-12(L)"/>
        <filter val="A1-10, A15-35, B1-11, C1, D1-3, A11-15(L)"/>
        <filter val="A1-11"/>
        <filter val="A1-11, A13-21, A12(L)"/>
        <filter val="A1-11, A14-19, A12-13(L)"/>
        <filter val="A1-11, A16-17, B1-5, C1-2, D1-3, A12-15(L)"/>
        <filter val="A1-11, B1-3, C1-6, D1"/>
        <filter val="A1-12"/>
        <filter val="A1-12, A14-34, B1-8, C1-11, D1-3, E1, F1-2, A13(L)"/>
        <filter val="A1-12, B1-4, C1-6, D1-6, E1, F1"/>
        <filter val="A1-12, B1-4, C1-9, D1-8, E1-2, F1-2, G1"/>
        <filter val="A1-13, A14(L)"/>
        <filter val="A1-13, A15-19, B1-5, C1-7, D1-8, E1-4, F1-2, G1, A14(L)"/>
        <filter val="A1-13, A18-23, A14-17(L)"/>
        <filter val="A1-13, B1-4, C1, D1-2, E1-4, F1"/>
        <filter val="A1-14"/>
        <filter val="A1-15, B1-3, C1, D1, E1-2"/>
        <filter val="A1-15, B1-3, C1-2, D1-2, E1"/>
        <filter val="A1-15, B1-3, C1-2, D1-5, E1, F1"/>
        <filter val="A1-15, B1-5, C1-3"/>
        <filter val="A1-15, B1-6, C1-5, D1-6, E1, F1"/>
        <filter val="A1-16, A19-22, B1-5, C1-10, D1-8, E1-6, A17-18(L)"/>
        <filter val="A1-16, B1"/>
        <filter val="A1-16, B1-6, C1-6, D1-7, E1-4"/>
        <filter val="A1-16, B1-6, C1-7, D1-9"/>
        <filter val="A1-16, B1-7, C1-7, D1-2, E1, F1-3, G1-6"/>
        <filter val="A1-17"/>
        <filter val="A1-17, A20-29, A18-19(L)"/>
        <filter val="A1-17, B1, C1-3, A18-19(L)"/>
        <filter val="A1-17, B1-4, C1-2, D1-3"/>
        <filter val="A1-17, B1-6, C1-10, D1-7, E1, F1-2, G1"/>
        <filter val="A1-17, B1-6, C1-4, D1-6, E1-8, F1-6, G1-6"/>
        <filter val="A1-18"/>
        <filter val="A1-18, A21-22, B1-4, C1-7, D1-10, E1-2, F1-3, G1-5, A19-20(L)"/>
        <filter val="A1-18, A21-32, B1-5, C1-4, D1-5, E1, F1, G1, H1-4, A19-20(L)"/>
        <filter val="A1-18, A23, A25-28, B1-4, A19-22(L), A24(L)"/>
        <filter val="A1-18, B1-17, C1-8"/>
        <filter val="A1-18, B1-3, C1"/>
        <filter val="A1-18, B1-8, C1-2, D1, E1-3, F1-2, G1"/>
        <filter val="A1-18, B1-8, C1-8"/>
        <filter val="A1-19"/>
        <filter val="A1-19, A20-21(L)"/>
        <filter val="A1-19, A22-31, B1-6, C1-2, D1-3, A20-21(L)"/>
        <filter val="A1-19, B1-4, C1-5, D1-6, E1"/>
        <filter val="A1-19, B1-6, C1-9"/>
        <filter val="A1-2, A4-10, B1-6, C1-5, D1-7, E1-3, A3(L)"/>
        <filter val="A1-2, A4-9, B1-6, C1-10, D1-12, E1-3, F1-4, G1, H1-3, A3(L)"/>
        <filter val="A1-2, A5-10, B1-6, C1-7, D1-6, E1-4, F1-2, G1-3, A3-4(L)"/>
        <filter val="A1-2, A9-21, B1-9, C1-6, D1-10, E1-12, F1-3, A3-8(L)"/>
        <filter val="A1-2, B1-3, B5-8, C1-4, D1-4, B4(L)"/>
        <filter val="A1-20"/>
        <filter val="A1-20, B1-7, C1-6, D1-7, E1-5"/>
        <filter val="A1-21"/>
        <filter val="A1-21, B1-4, C1-4, D1-5, E1-3, F1"/>
        <filter val="A1-21, B1-4, C1-8, D1-10, E1-7, A23-25(L)"/>
        <filter val="A1-21, B1-5, C1-5, D1-6"/>
        <filter val="A1-22, B1-6, C1-12, D1-6, E1-6, F1-2"/>
        <filter val="A1-23"/>
        <filter val="A1-23, B1-6, C1-6, D1-2"/>
        <filter val="A1-24"/>
        <filter val="A1-24, B1-6, C1-8, D1-9"/>
        <filter val="A1-25, B1-24, C1-6"/>
        <filter val="A1-26, B1-6, C1-6, D1-2, E1-6, F1-5, G1-2, H1-6, I1-5, J1, K1-3"/>
        <filter val="A1-26, B1-6, C1-6, D1-9, E1-2, F1"/>
        <filter val="A1-27"/>
        <filter val="A1-27, B1-6, C1-2, D1, E1, F1-3"/>
        <filter val="A1-27, B1-6, C1-2, D1-2, E1-4, F1, G1, H1"/>
        <filter val="A1-27, B1-6, C1-9"/>
        <filter val="A1-28"/>
        <filter val="A1-28, B1-5, C1-3, D1-2"/>
        <filter val="A1-29"/>
        <filter val="A1-29, B1-6, C1-4, D1-2, E1-5, F1"/>
        <filter val="A1-3, A5-15, B1-6, C1-11, D1-8, E1-2, F1-3, G1, H1, I1-4, J1, A4(L)"/>
        <filter val="A1-3, A6-12, A4-5(L)"/>
        <filter val="A1-30, B1, C1-2, D1-4"/>
        <filter val="A1-30, B1-4"/>
        <filter val="A1-30, B1-6, C1-2, D1-2"/>
        <filter val="A1-30, B1-6, C1-5, D1-7, E1-2"/>
        <filter val="A1-30, B1-8, C1-4"/>
        <filter val="A1-31"/>
        <filter val="A1-32"/>
        <filter val="A1-32, B1-5"/>
        <filter val="A1-33, B1-21, C1-27"/>
        <filter val="A1-33, B1-4, C1-2, D1-4, E1-5"/>
        <filter val="A1-34, A35-45, B1-6, C1, A35(L)"/>
        <filter val="A1-4, A6-17, B1-6, C1-4, D1-2, A5(L)"/>
        <filter val="A1-4, A6-18, B1-4, C1-6, D1-6, E1-5, A5(L)"/>
        <filter val="A1-4, A6-20, A5(L)"/>
        <filter val="A1-4, A6-22, A5(L)"/>
        <filter val="A1-4, A7-23, A5-6(L)"/>
        <filter val="A1-4, A7-26, B1-6, C1-3, D1-2, E1-5, A5-6(L)"/>
        <filter val="A1-4, A9-29, B1-8, C1-6, A5-8(L)"/>
        <filter val="A1-4, B1-3, C1-23"/>
        <filter val="A1-4, B1-7, C1-3, D1, E1-9, F1-2, G1-3, H1-2"/>
        <filter val="A1-5, A10-23, A6-9(L)"/>
        <filter val="A1-5, A10-32, B1-6, C1-8, D1-10, E1-5, A6-9(L)"/>
        <filter val="A1-5, A11-30, B1-6, C1-18, D1-11, A6-10(L)"/>
        <filter val="A1-5, A7-22, B1-18, C1-10, A6(L)"/>
        <filter val="A1-5, A8-15, B1, C1-5, A6-7(L)"/>
        <filter val="A1-5, A8-23, B1-6, C1-14, D1-6, E1-4, F1-10, A6-7(L)"/>
        <filter val="A1-5, A8-24, A6-7(L)"/>
        <filter val="A1-6, A11-28, A30-32, B1-6, C1, D1-2, A7-10(L), A29(L)"/>
        <filter val="A1-6, A11-28, B1-5, C1-6, D1-8, E1-8, F1-3, A7-10(L)"/>
        <filter val="A1-6, A11-35, A7-10(L)"/>
        <filter val="A1-6, A8-20, B1-4, C1-6, D1-6, A7(L)"/>
        <filter val="A1-6, A9-14, A7-8(L)"/>
        <filter val="A1-6, A9-21, B1-5, C1-9, D1-5, A7-8(L)"/>
        <filter val="A1-6, A9-21, B1-9, C1-11, D1-6, E1-2, A7-8(L)"/>
        <filter val="A1-7, A10-27, B1-6, C1-8, D1-6, E1-4, F1, G1-3, A9-10(L)"/>
        <filter val="A1-7, A10-29, B1-3, C1-3, A8-9(L)"/>
        <filter val="A1-7, A12-29, B1-6, C1-8, D1-7, A8-11(L)"/>
        <filter val="A1-8, A11-27, B1-4, C1-7, D1-6, E1-7, A9-10(L)"/>
        <filter val="A1-8, B1-6, C1-11, D1-9, E1-2, F1, G1-2, H1-5"/>
        <filter val="A1-A19, A21-22, B1-4, C1, D1, A20(L)"/>
        <filter val="A23-37"/>
        <filter val="A2-5, A8-32, B1-4, C1-10, D1-8, E1-3, F1-3, A1(L), A6-7(L)"/>
        <filter val="A3, A7-27, B1-6, C1-8, D1-9, E1-3, F1-3, H1, G1, A1-2(L), A4-6(L)"/>
      </filters>
    </filterColumn>
  </autoFilter>
  <tableColumns count="47">
    <tableColumn id="1" xr3:uid="{4ADCFAEC-D04A-436B-9BDD-8ACEED3E6010}" name="Rejected" dataDxfId="174"/>
    <tableColumn id="2" xr3:uid="{5F2F7920-1F60-4DE1-8254-62FB03C0A944}" name="Specimen number" dataDxfId="173"/>
    <tableColumn id="3" xr3:uid="{E21083FA-993F-4B25-90CE-EFB56F83E186}" name="NHS numbers" dataDxfId="172"/>
    <tableColumn id="47" xr3:uid="{5B5E2ECF-FFC6-4846-9ADF-C71684042876}" name="Tissue Pathway" dataDxfId="171"/>
    <tableColumn id="4" xr3:uid="{3F2E4CED-41C6-4DDF-B20A-2F58CA494618}" name="Specimen List Notes" dataDxfId="170"/>
    <tableColumn id="5" xr3:uid="{818AE66E-0B97-4571-BD10-8280068562B0}" name="Patient Info Notes" dataDxfId="169"/>
    <tableColumn id="6" xr3:uid="{11332C68-EB8E-4233-89C4-606958765E0D}" name="DOB" dataDxfId="168"/>
    <tableColumn id="7" xr3:uid="{A2C8C539-F60C-4F9E-BD5F-2AA7105B7E43}" name="Gender" dataDxfId="167"/>
    <tableColumn id="8" xr3:uid="{BE600CA5-2A58-479F-9325-1D28DAFEBD5F}" name="Dissent Y/N" dataDxfId="166"/>
    <tableColumn id="9" xr3:uid="{7E064DFF-E683-44D0-A99D-4028F0898E78}" name="Consent" dataDxfId="165"/>
    <tableColumn id="10" xr3:uid="{8BD26BC6-5D37-4F10-88C6-B18631C991F0}" name="Form Incomplete" dataDxfId="164"/>
    <tableColumn id="11" xr3:uid="{367E675A-93B4-4E01-8A1A-ACA797B8EB3C}" name="Form missing" dataDxfId="163"/>
    <tableColumn id="12" xr3:uid="{72C08B85-9730-4472-9E5E-092B0F9F743E}" name="No. small slides from CellNass" dataDxfId="162"/>
    <tableColumn id="13" xr3:uid="{F5A888BC-68A4-49EA-AFFA-62BD6DE3A1A3}" name="No. large slides from CellNass" dataDxfId="161"/>
    <tableColumn id="14" xr3:uid="{CD03815D-AAFF-4594-9E54-C3EE1D63E411}" name="Total no. of slides recieved from CellNass" dataDxfId="160"/>
    <tableColumn id="15" xr3:uid="{3CC3FB89-47BA-4BBF-9387-A777FC9CF5AF}" name="Slides Collected" dataDxfId="159"/>
    <tableColumn id="16" xr3:uid="{2FC3AD3B-8228-4FD4-84DA-6FE1A3B2445D}" name="CoPath (SC)" dataDxfId="158"/>
    <tableColumn id="17" xr3:uid="{BB32C4A6-0357-4C7C-B43E-AC6B355DD2B6}" name="Slides Missing (if any…)" dataDxfId="157"/>
    <tableColumn id="18" xr3:uid="{BC5DC858-9628-4DF5-A551-AD66455E48C7}" name="P1" dataDxfId="156"/>
    <tableColumn id="19" xr3:uid="{6D6EBB22-4A2C-47CC-8677-FC2AD0B09CDD}" name="P2" dataDxfId="155"/>
    <tableColumn id="20" xr3:uid="{1D402986-0BA7-4597-BF67-B01E19B253E4}" name="P3" dataDxfId="154"/>
    <tableColumn id="21" xr3:uid="{1B1BBED0-869B-490B-BD47-FC877D7A21CF}" name="P4" dataDxfId="153"/>
    <tableColumn id="22" xr3:uid="{B97921E5-1797-431E-973C-9746BAB90D74}" name="P5" dataDxfId="152"/>
    <tableColumn id="23" xr3:uid="{63E3D780-88AC-41AA-A340-0D99A795828F}" name="M1" dataDxfId="151"/>
    <tableColumn id="24" xr3:uid="{846C8E0D-7A69-4852-97C5-887674F9634F}" name="M2" dataDxfId="150"/>
    <tableColumn id="25" xr3:uid="{7A1F55B1-03E5-433C-9C75-469BF5EB6E0F}" name="M3" dataDxfId="149"/>
    <tableColumn id="26" xr3:uid="{B8850B0A-3DC9-48C3-819E-A7B9A3EC7A93}" name="M4" dataDxfId="148"/>
    <tableColumn id="27" xr3:uid="{EB3E1CA6-3D18-4B92-AF2D-22A205BE3391}" name="M5" dataDxfId="147"/>
    <tableColumn id="28" xr3:uid="{5A676AFA-E463-44A6-B08C-4F03A7FFC51B}" name="N" dataDxfId="146"/>
    <tableColumn id="29" xr3:uid="{45AB077B-0869-4FDE-92EC-5698F86B20F9}" name="S" dataDxfId="145"/>
    <tableColumn id="30" xr3:uid="{2501BC65-B571-4BC3-BF91-9D1FDC27356E}" name="X" dataDxfId="144"/>
    <tableColumn id="31" xr3:uid="{D446F2AF-6E71-4E9B-A352-3F045076DE33}" name="CoPath (SS)" dataDxfId="143"/>
    <tableColumn id="32" xr3:uid="{026906AD-270C-4673-8701-5FDE1D46156C}" name="Selected Slides Notes" dataDxfId="142"/>
    <tableColumn id="33" xr3:uid="{74B328B8-30E2-4B37-B65C-62C4991473EE}" name="X Blocks in Archive" dataDxfId="141"/>
    <tableColumn id="34" xr3:uid="{844C82FB-B65C-4B70-8F35-90B4D5BD463C}" name="X Blocks missing from Archive" dataDxfId="140"/>
    <tableColumn id="35" xr3:uid="{1A2CF4D3-F9CC-4398-9492-E4940A5B6AEE}" name="Blocks recieved from CellNass" dataDxfId="139"/>
    <tableColumn id="36" xr3:uid="{77CE0CA3-FE8A-4347-B8A5-89C877B0C2D2}" name="Block Collection Notes" dataDxfId="138"/>
    <tableColumn id="37" xr3:uid="{FCC13539-1847-4ADE-9C4D-B89F5AA70DF3}" name="BP1" dataDxfId="137"/>
    <tableColumn id="38" xr3:uid="{8D359B58-1B67-46C6-A7DA-D6A349F5DC69}" name="BP2" dataDxfId="136"/>
    <tableColumn id="39" xr3:uid="{0754B44A-6452-489C-9F9F-FC2B3948338A}" name="BM1" dataDxfId="135"/>
    <tableColumn id="40" xr3:uid="{589AD1B4-08A7-407E-ABF7-2A49B2098575}" name="BM2" dataDxfId="134"/>
    <tableColumn id="41" xr3:uid="{70241262-A200-406C-82D9-32221453ADEB}" name="BN1" dataDxfId="133"/>
    <tableColumn id="42" xr3:uid="{2D1AB8F9-D26B-4C21-B27A-EEF6A50EE35A}" name="CoPath (BC)" dataDxfId="132"/>
    <tableColumn id="43" xr3:uid="{A0589F6D-CF88-40DA-8ABA-6C05929AB5E0}" name="CoPath (Tristar)" dataDxfId="131"/>
    <tableColumn id="44" xr3:uid="{3B68DA1C-7BBD-4B58-BDB0-30A93AC09772}" name="Block Shipment Notes" dataDxfId="130"/>
    <tableColumn id="45" xr3:uid="{BB05D3AA-E9DF-454A-9276-E337A2428901}" name="Scanned?" dataDxfId="129"/>
    <tableColumn id="46" xr3:uid="{7C3F72DC-6C40-4305-AC62-7B4179554041}" name="CoPath (post scan)" dataDxfId="128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4598ED-96B0-4511-B2FD-227CB9A3065B}" name="Table134" displayName="Table134" ref="A4:AU132" totalsRowShown="0" dataDxfId="126" headerRowBorderDxfId="125">
  <autoFilter ref="A4:AU132" xr:uid="{1CB45E67-EE19-4C84-AA27-8AA0C7478BCB}">
    <filterColumn colId="0">
      <filters blank="1"/>
    </filterColumn>
  </autoFilter>
  <tableColumns count="47">
    <tableColumn id="1" xr3:uid="{382816A8-C3E7-476A-83F8-3B018BAB9D97}" name="Rejected" dataDxfId="124"/>
    <tableColumn id="2" xr3:uid="{6B44EA76-50B6-4FEC-A3EF-19B63F8B4EA9}" name="Specimen number" dataDxfId="123"/>
    <tableColumn id="3" xr3:uid="{9359AFBC-066F-4D92-9C8E-4BCBF074BC06}" name="NHS numbers" dataDxfId="122"/>
    <tableColumn id="47" xr3:uid="{2A17A5F7-1DEB-4D56-91CC-A6937352FD2D}" name="Tissue Pathway" dataDxfId="121"/>
    <tableColumn id="4" xr3:uid="{B677112A-0A06-4A2F-8232-DF535E6F1076}" name="Specimen List Notes" dataDxfId="120"/>
    <tableColumn id="5" xr3:uid="{675182BE-E337-4738-A669-448F576B4F78}" name="Patient Info Notes" dataDxfId="119"/>
    <tableColumn id="6" xr3:uid="{7F49B7DA-1710-46B2-A21F-358DD71AD5B9}" name="DOB" dataDxfId="118"/>
    <tableColumn id="7" xr3:uid="{FFC1BCE3-54F3-4A20-B64E-F15C5AB9BB2B}" name="Gender" dataDxfId="117"/>
    <tableColumn id="8" xr3:uid="{4A078870-C03C-4270-810B-1818C0ADEDAA}" name="Dissent Y/N" dataDxfId="116"/>
    <tableColumn id="9" xr3:uid="{7174C367-7DDC-4D66-B2C5-712B88E7406A}" name="Consent" dataDxfId="115"/>
    <tableColumn id="10" xr3:uid="{F3C39EFA-030D-4C32-B408-7FAEE673530D}" name="Form Incomplete" dataDxfId="114"/>
    <tableColumn id="11" xr3:uid="{81360306-FF1B-4ECD-8031-C21F6436432D}" name="Form missing" dataDxfId="113"/>
    <tableColumn id="12" xr3:uid="{1CB767B4-3CDC-4414-931C-FF60939E2074}" name="No. small slides from CellNass" dataDxfId="112"/>
    <tableColumn id="13" xr3:uid="{9E727CD5-253B-4CF1-A6D5-EC6AF6B392FC}" name="No. large slides from CellNass" dataDxfId="111"/>
    <tableColumn id="14" xr3:uid="{4C3E0AD1-8F03-4A5C-9127-AB018C4FCDE4}" name="Total no. of slides recieved from CellNass" dataDxfId="110"/>
    <tableColumn id="15" xr3:uid="{D68DB5A9-19EF-494B-A7E4-C18AF0FDC50F}" name="Slides Collected" dataDxfId="109"/>
    <tableColumn id="16" xr3:uid="{3010A2F5-E7A9-4D45-B4B6-481253FE3718}" name="CoPath (SC)" dataDxfId="108"/>
    <tableColumn id="17" xr3:uid="{FD70EF0A-ADC4-4DFA-B09C-E8ED8C32224F}" name="Slides Missing (if any…)" dataDxfId="107"/>
    <tableColumn id="18" xr3:uid="{55A53A77-B7D6-491C-990D-0D7A7079BE43}" name="P1" dataDxfId="106"/>
    <tableColumn id="19" xr3:uid="{E86367AD-563E-49E1-9C11-7A79ACC06A65}" name="P2" dataDxfId="105"/>
    <tableColumn id="20" xr3:uid="{BD8FD3DB-60EF-4AE7-B179-D8F07EA5AC14}" name="P3" dataDxfId="104"/>
    <tableColumn id="21" xr3:uid="{3DDE15C2-B21A-4C0C-98C2-8C24E66187A0}" name="P4" dataDxfId="103"/>
    <tableColumn id="22" xr3:uid="{2625B38A-1BE4-4984-8BFD-BEBA2168C64A}" name="P5" dataDxfId="102"/>
    <tableColumn id="23" xr3:uid="{9A77F04E-5DEC-48D9-883E-8E7A0E74D6F6}" name="M1" dataDxfId="101"/>
    <tableColumn id="24" xr3:uid="{E6D8234C-CBDB-4DA6-B391-2EA2E28D8B46}" name="M2" dataDxfId="100"/>
    <tableColumn id="25" xr3:uid="{F73004DB-0A04-42C7-80C1-93B61D7E76F3}" name="M3" dataDxfId="99"/>
    <tableColumn id="26" xr3:uid="{73E9DD84-9EB7-4C32-BBF5-23282EE909AF}" name="M4" dataDxfId="98"/>
    <tableColumn id="27" xr3:uid="{F5F9AF8E-9BC3-43B0-B93B-0E75C44041A7}" name="M5" dataDxfId="97"/>
    <tableColumn id="28" xr3:uid="{6E78CBBA-BC1D-4E4E-B6F3-E9061FBFDC44}" name="N" dataDxfId="96"/>
    <tableColumn id="29" xr3:uid="{0E0C5603-E8A5-470A-9BB2-B30CB2D1FB47}" name="S" dataDxfId="95"/>
    <tableColumn id="30" xr3:uid="{2E195C5E-03CF-45BF-8232-B0AABA9DC3CB}" name="X" dataDxfId="94"/>
    <tableColumn id="31" xr3:uid="{A180F0A6-16AC-40AE-B9A2-437BB467B23A}" name="CoPath (SS)" dataDxfId="93"/>
    <tableColumn id="32" xr3:uid="{50F592CF-D476-48F1-B280-D80714AD0880}" name="Selected Slides Notes" dataDxfId="92"/>
    <tableColumn id="33" xr3:uid="{1E26B92E-C4A8-473A-AEF6-B2E9997717CC}" name="X Blocks in Archive" dataDxfId="91"/>
    <tableColumn id="34" xr3:uid="{6B5531EA-6CD0-49E1-857C-D3E3B04C4B64}" name="X Blocks missing from Archive" dataDxfId="90"/>
    <tableColumn id="35" xr3:uid="{4B91F883-4115-4F51-9F5C-55054EB4B78C}" name="Blocks recieved from CellNass" dataDxfId="89"/>
    <tableColumn id="36" xr3:uid="{E1ACA8FC-219F-4AFD-8B00-08322B19F763}" name="Block Collection Notes" dataDxfId="88"/>
    <tableColumn id="37" xr3:uid="{4FE3E188-E585-41F7-B6A7-8499BC330B1F}" name="BP1" dataDxfId="87"/>
    <tableColumn id="38" xr3:uid="{AC1E55DF-4A59-4424-99EE-3251A1112B7C}" name="BP2" dataDxfId="86"/>
    <tableColumn id="39" xr3:uid="{D575B536-A0CB-4934-8CBA-F9190BAA41DB}" name="BM1" dataDxfId="85"/>
    <tableColumn id="40" xr3:uid="{B445163E-234C-4600-933D-C1D449876C11}" name="BM2" dataDxfId="84"/>
    <tableColumn id="41" xr3:uid="{08D563EE-6A71-4E33-8EE9-F846F3350726}" name="BN1" dataDxfId="83"/>
    <tableColumn id="42" xr3:uid="{3CE03584-B0F3-4138-977D-131CD7426D25}" name="CoPath (BC)" dataDxfId="82"/>
    <tableColumn id="43" xr3:uid="{BF47F2FD-388A-4869-B844-3A0D2F628473}" name="CoPath (Tristar)" dataDxfId="81"/>
    <tableColumn id="44" xr3:uid="{71718A01-F59D-4C9D-85AE-554D78270E04}" name="Block Shipment Notes" dataDxfId="80"/>
    <tableColumn id="45" xr3:uid="{3684180C-7F1F-4073-AC30-342209C49FBF}" name="Scanned?" dataDxfId="79"/>
    <tableColumn id="46" xr3:uid="{AF2E6D59-BEB1-473A-A0F7-A8EF33BC9774}" name="CoPath (post scan)" dataDxfId="78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AF717C-2034-4BEE-99E0-5119A2581A60}" name="Table1345" displayName="Table1345" ref="A4:AU92" totalsRowShown="0" dataDxfId="76" headerRowBorderDxfId="75">
  <autoFilter ref="A4:AU92" xr:uid="{1CB45E67-EE19-4C84-AA27-8AA0C7478BCB}"/>
  <tableColumns count="47">
    <tableColumn id="1" xr3:uid="{F2488410-8BA7-4CCB-B557-346B04179C5A}" name="Rejected" dataDxfId="74"/>
    <tableColumn id="2" xr3:uid="{95D9747A-1484-42FB-8232-F0428CE11016}" name="Specimen number" dataDxfId="73"/>
    <tableColumn id="3" xr3:uid="{D4159BE8-7B65-44B6-9220-307DE167C793}" name="NHS numbers" dataDxfId="72"/>
    <tableColumn id="47" xr3:uid="{3CFEFF3E-CD78-4171-9741-4E7A8E8B98CB}" name="Tissue Pathway" dataDxfId="71"/>
    <tableColumn id="4" xr3:uid="{C20C7A53-B6F6-4BC7-9A8C-B4D407778F69}" name="Specimen List Notes" dataDxfId="70"/>
    <tableColumn id="5" xr3:uid="{9189F72D-11AC-4F28-AB96-AABBEFA32C49}" name="Patient Info Notes" dataDxfId="69"/>
    <tableColumn id="6" xr3:uid="{31BD2714-1B33-4F89-89C0-A4EDFA35ECEF}" name="DOB" dataDxfId="68"/>
    <tableColumn id="7" xr3:uid="{56430347-F468-4305-9742-F257D960B926}" name="Gender" dataDxfId="67"/>
    <tableColumn id="8" xr3:uid="{B1542552-21E6-4A2C-B2DD-1E6472447B15}" name="Dissent Y/N" dataDxfId="66"/>
    <tableColumn id="9" xr3:uid="{F7B3301C-0FBA-4646-988B-BEF3FDF2CB84}" name="Consent" dataDxfId="65"/>
    <tableColumn id="10" xr3:uid="{7A8801FE-2743-4A7D-A142-3C43BD6E8B24}" name="Form Incomplete" dataDxfId="64"/>
    <tableColumn id="11" xr3:uid="{3EDDD671-C3B8-4C60-8912-BEBFBB9B5C6B}" name="Form missing" dataDxfId="63"/>
    <tableColumn id="12" xr3:uid="{B107ADD5-1ED3-4E3F-896A-D49A470E19DE}" name="No. small slides from CellNass" dataDxfId="62"/>
    <tableColumn id="13" xr3:uid="{9B2D9D66-67DE-49F6-9203-53A09E1F8089}" name="No. large slides from CellNass" dataDxfId="61"/>
    <tableColumn id="14" xr3:uid="{B08FC88E-96B1-44D1-81FE-6BF3EB96A8E6}" name="Total no. of slides recieved from CellNass" dataDxfId="60"/>
    <tableColumn id="15" xr3:uid="{1D45EA7A-E569-43FD-BDF4-510328913F3F}" name="Slides Collected" dataDxfId="59"/>
    <tableColumn id="16" xr3:uid="{ABF6E1C0-8651-465B-AB6C-A187F87F9D80}" name="CoPath (SC)" dataDxfId="58"/>
    <tableColumn id="17" xr3:uid="{ED4D5F27-5BE5-44F0-AC89-02E9E475804E}" name="Slides Missing (if any…)" dataDxfId="57"/>
    <tableColumn id="18" xr3:uid="{8007FC1F-0C5C-4586-8378-E944A502573A}" name="P1" dataDxfId="56"/>
    <tableColumn id="19" xr3:uid="{F1B1BA7B-5C91-4918-81CF-F5C19B6C2FA4}" name="P2" dataDxfId="55"/>
    <tableColumn id="20" xr3:uid="{67671E59-33E7-46F8-A434-D5EB4DB1AA9E}" name="P3" dataDxfId="54"/>
    <tableColumn id="21" xr3:uid="{FBCD3E05-22CD-4BCE-B533-081B3B6877FB}" name="P4" dataDxfId="53"/>
    <tableColumn id="22" xr3:uid="{523B4F2E-BC50-445D-AEEA-B5C9CE90A56B}" name="P5" dataDxfId="52"/>
    <tableColumn id="23" xr3:uid="{CF5629FE-48F7-4229-80F0-B06BA4D45E88}" name="M1" dataDxfId="51"/>
    <tableColumn id="24" xr3:uid="{8AD79EFB-4D62-445C-9907-C349FCFEAD58}" name="M2" dataDxfId="50"/>
    <tableColumn id="25" xr3:uid="{FB0A734E-4D0F-4E38-83F6-90EA6920D6DC}" name="M3" dataDxfId="49"/>
    <tableColumn id="26" xr3:uid="{958EB8F7-149A-42E0-BA3D-B54D455078D4}" name="M4" dataDxfId="48"/>
    <tableColumn id="27" xr3:uid="{8931E0CC-0B45-491D-A476-C675999C4D09}" name="M5" dataDxfId="47"/>
    <tableColumn id="28" xr3:uid="{7B46D6BF-ACB1-4261-AD7C-B2338DF302A3}" name="N" dataDxfId="46"/>
    <tableColumn id="29" xr3:uid="{3AE52370-3D27-4105-A876-7DC08893EF73}" name="S" dataDxfId="45"/>
    <tableColumn id="30" xr3:uid="{98F4EB21-679D-40DD-9237-663DF7F535BC}" name="X" dataDxfId="44"/>
    <tableColumn id="31" xr3:uid="{13B3D2E6-146B-49D1-A3D5-9C57E20892A4}" name="CoPath (SS)" dataDxfId="43"/>
    <tableColumn id="32" xr3:uid="{F7B5B618-2437-49D0-921C-BCB4126F66E7}" name="Selected Slides Notes" dataDxfId="42"/>
    <tableColumn id="33" xr3:uid="{157A4DA8-6DCD-455C-807F-ACD6C1A4C60E}" name="X Blocks in Archive" dataDxfId="41"/>
    <tableColumn id="34" xr3:uid="{ABFD2401-32B1-45B1-9BC6-944B27D96F42}" name="X Blocks missing from Archive" dataDxfId="40"/>
    <tableColumn id="35" xr3:uid="{6E7BEDBD-D249-4EE6-9C8E-F582B9E5C5BC}" name="Blocks recieved from CellNass" dataDxfId="39"/>
    <tableColumn id="36" xr3:uid="{4D8ED33B-8882-49B4-8D5F-32149E35288C}" name="Block Collection Notes" dataDxfId="38"/>
    <tableColumn id="37" xr3:uid="{92F86BF6-F199-4193-AEC7-A50F6EDCA192}" name="BP1" dataDxfId="37"/>
    <tableColumn id="38" xr3:uid="{E4D6AC09-1FB1-4BBC-9471-55DDFA03BBA7}" name="BP2" dataDxfId="36"/>
    <tableColumn id="39" xr3:uid="{3236BCF4-121A-4AC4-A967-B73DD31A13E1}" name="BM1" dataDxfId="35"/>
    <tableColumn id="40" xr3:uid="{0FE69B9D-80D9-41DC-B9DD-E380DE479445}" name="BM2" dataDxfId="34"/>
    <tableColumn id="41" xr3:uid="{EA36786E-50AC-4D84-8266-194C859C1C0B}" name="BN1" dataDxfId="33"/>
    <tableColumn id="42" xr3:uid="{23A97EF1-4D59-4F13-A889-139597BE41DA}" name="CoPath (BC)" dataDxfId="32"/>
    <tableColumn id="43" xr3:uid="{9042CDB4-1E1E-414A-B447-6B6C63B6A21D}" name="CoPath (Tristar)" dataDxfId="31"/>
    <tableColumn id="44" xr3:uid="{B689D4C5-1834-41AE-8471-F4506FDC707E}" name="Block Shipment Notes" dataDxfId="30"/>
    <tableColumn id="45" xr3:uid="{130E7449-D224-4D99-9234-182EDB0ACD3C}" name="Scanned?" dataDxfId="29"/>
    <tableColumn id="46" xr3:uid="{9AE3BC38-E6EB-43C6-A179-21EB796160A2}" name="CoPath (post scan)" dataDxfId="28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5-10-30T10:23:57.89" personId="{49AA44F0-5412-4B8E-AF85-CB97303C18C3}" id="{121B136F-9F81-418A-BDD9-914DA65245BF}">
    <text>Might be with Yong &amp; Ingas cohort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0" dT="2025-11-14T16:33:26.46" personId="{49AA44F0-5412-4B8E-AF85-CB97303C18C3}" id="{A76A9083-3699-4654-BCD2-A3B182D94DCD}">
    <text>Sent in  Endometrial 2 (MMR proficient)</text>
  </threadedComment>
  <threadedComment ref="B14" dT="2025-11-14T16:34:12.04" personId="{49AA44F0-5412-4B8E-AF85-CB97303C18C3}" id="{EBA276AB-30D9-416F-B97F-CF6E7555F094}">
    <text>sent in  Endometrial 2 (MMR deficient)</text>
  </threadedComment>
  <threadedComment ref="B19" dT="2025-11-14T16:34:32.04" personId="{49AA44F0-5412-4B8E-AF85-CB97303C18C3}" id="{D0D253B9-B83C-4171-8158-09F064075886}">
    <text>sent in  Endometrial 2 (MMR deficient)</text>
  </threadedComment>
  <threadedComment ref="B21" dT="2025-11-14T16:35:10.45" personId="{49AA44F0-5412-4B8E-AF85-CB97303C18C3}" id="{13DCEF30-663D-493F-816E-804B4788AD4F}">
    <text>Sent in Longitudinal 1 (Endometrial)</text>
  </threadedComment>
  <threadedComment ref="B23" dT="2025-11-14T16:35:27.87" personId="{49AA44F0-5412-4B8E-AF85-CB97303C18C3}" id="{0699D142-67B5-4ED4-9DF5-2A80355FDF25}">
    <text>Sent in  Endometrial 2 (MMR proficient)</text>
  </threadedComment>
  <threadedComment ref="B24" dT="2025-11-14T16:35:32.50" personId="{49AA44F0-5412-4B8E-AF85-CB97303C18C3}" id="{12CD92CA-33CB-4474-AE36-DE5F457E1E11}">
    <text>Sent in  Endometrial 2 (MMR proficient)</text>
  </threadedComment>
  <threadedComment ref="B25" dT="2025-12-14T10:24:25.81" personId="{49AA44F0-5412-4B8E-AF85-CB97303C18C3}" id="{18E24F34-AFDA-46C4-AA46-B12C2E3538DD}">
    <text>Ovarian cancer, moved to Ovarian 1</text>
  </threadedComment>
  <threadedComment ref="B26" dT="2025-11-14T16:36:03.13" personId="{49AA44F0-5412-4B8E-AF85-CB97303C18C3}" id="{4C65D7E4-5C22-4F52-B97C-1430B01E6616}">
    <text>Sent in  Endometrial 2 (MMR deficient)</text>
  </threadedComment>
  <threadedComment ref="B32" dT="2025-11-14T16:36:43.38" personId="{49AA44F0-5412-4B8E-AF85-CB97303C18C3}" id="{E9F92A1D-F227-44D5-846A-225CE9D48B97}">
    <text>sent in  Endometrial 2 (MMR proficient)</text>
  </threadedComment>
  <threadedComment ref="B33" dT="2025-11-14T16:36:52.55" personId="{49AA44F0-5412-4B8E-AF85-CB97303C18C3}" id="{FA226BE7-4894-497E-8659-32E528581AF9}">
    <text>sent in  Endometrial 2 (MMR deficient)</text>
  </threadedComment>
  <threadedComment ref="P34" dT="2026-02-18T08:35:12.31" personId="{212F8A51-D53D-48BE-99DB-EDFB30BDEA89}" id="{8E734D2A-215A-46F3-9FAD-EE8BC5C0D7E6}">
    <text>full reject case</text>
  </threadedComment>
  <threadedComment ref="S34" dT="2026-02-18T07:16:32.72" personId="{212F8A51-D53D-48BE-99DB-EDFB30BDEA89}" id="{35245D8E-B5E8-4EF2-883F-AD571DE231E9}">
    <text>lh22-14883</text>
  </threadedComment>
  <threadedComment ref="AE34" dT="2026-02-18T07:16:51.11" personId="{212F8A51-D53D-48BE-99DB-EDFB30BDEA89}" id="{05804482-0CA9-4B2C-B935-741C28CA284D}">
    <text>lh22-14883</text>
  </threadedComment>
  <threadedComment ref="AL34" dT="2026-02-18T08:36:45.96" personId="{212F8A51-D53D-48BE-99DB-EDFB30BDEA89}" id="{83D11198-4D76-4973-B9C5-4B503367516C}">
    <text>don't send</text>
  </threadedComment>
  <threadedComment ref="B35" dT="2025-11-14T16:37:01.36" personId="{49AA44F0-5412-4B8E-AF85-CB97303C18C3}" id="{0D9C0BBD-F861-478B-833B-63CEFD0E958A}">
    <text>sent in  Endometrial 2 (MMR deficient)</text>
  </threadedComment>
  <threadedComment ref="B50" dT="2025-11-14T16:37:34.96" personId="{49AA44F0-5412-4B8E-AF85-CB97303C18C3}" id="{5CE791BE-ACB9-4892-B75E-C0DFE7CBEFFA}">
    <text>sent in  Endometrial 2 (MMR deficient)</text>
  </threadedComment>
  <threadedComment ref="B52" dT="2025-11-14T16:37:50.88" personId="{49AA44F0-5412-4B8E-AF85-CB97303C18C3}" id="{46394B79-666E-402D-BB3A-4AC5F90EC481}">
    <text>Yong &amp; Inga</text>
  </threadedComment>
  <threadedComment ref="B54" dT="2025-11-14T16:38:29.76" personId="{49AA44F0-5412-4B8E-AF85-CB97303C18C3}" id="{01F56F04-0B28-4641-AAB2-E9AC725F17BA}">
    <text>Normal tissue sent in  Normal tissue 2 (Ovary) LDS0003727</text>
  </threadedComment>
  <threadedComment ref="B57" dT="2025-11-14T16:38:44.59" personId="{49AA44F0-5412-4B8E-AF85-CB97303C18C3}" id="{A204FDD6-756A-4A22-BB49-8012BBA3DC71}">
    <text>sent in  Endometrial 2 (MMR proficient)</text>
  </threadedComment>
  <threadedComment ref="B60" dT="2025-11-14T16:39:07.65" personId="{49AA44F0-5412-4B8E-AF85-CB97303C18C3}" id="{45C644CE-B2F2-4715-A0AE-99854ED610FC}">
    <text>Yong &amp; Inga</text>
  </threadedComment>
  <threadedComment ref="B61" dT="2025-11-14T16:43:14.25" personId="{49AA44F0-5412-4B8E-AF85-CB97303C18C3}" id="{8E6D1614-7D9B-4B79-89B3-33F24BF02777}">
    <text>sent in  Endometrial 2 (MMR deficient)</text>
  </threadedComment>
  <threadedComment ref="B67" dT="2025-11-14T16:44:12.39" personId="{49AA44F0-5412-4B8E-AF85-CB97303C18C3}" id="{37ACD061-A6B7-48DD-B76F-A97374414457}">
    <text>sent in  Endometrial 2 (MMR deficient)</text>
  </threadedComment>
  <threadedComment ref="B68" dT="2025-11-14T16:41:02.42" personId="{49AA44F0-5412-4B8E-AF85-CB97303C18C3}" id="{26F4B943-9614-44E4-B78B-13FF52C32687}">
    <text>sent in HGNEC 1 (ship 2)</text>
  </threadedComment>
  <threadedComment ref="B69" dT="2025-11-14T16:47:18.69" personId="{49AA44F0-5412-4B8E-AF85-CB97303C18C3}" id="{EDA713F4-EADA-4A6E-BD30-2B55F19A1F56}">
    <text>Yong &amp; Inga</text>
  </threadedComment>
  <threadedComment ref="B74" dT="2025-11-14T16:41:59.04" personId="{49AA44F0-5412-4B8E-AF85-CB97303C18C3}" id="{2D474ABA-3393-4F8C-B2C5-329819F95346}">
    <text>sent in  Endometrial 2 (MMR proficient)</text>
  </threadedComment>
  <threadedComment ref="B75" dT="2025-11-14T16:47:25.27" personId="{49AA44F0-5412-4B8E-AF85-CB97303C18C3}" id="{1BE3C03B-9323-4978-BB8E-5F10634DB3B1}">
    <text>Yong &amp; Inga</text>
  </threadedComment>
  <threadedComment ref="B76" dT="2025-11-14T16:42:25.69" personId="{49AA44F0-5412-4B8E-AF85-CB97303C18C3}" id="{2C3C9E01-A56F-483E-B244-F74C4EF50952}">
    <text>sent in  Endometrial 2 (MMR proficient)</text>
  </threadedComment>
  <threadedComment ref="B81" dT="2025-11-14T16:44:34.83" personId="{49AA44F0-5412-4B8E-AF85-CB97303C18C3}" id="{8748DC57-FBB2-4C99-9DA5-329DAAC8FC52}">
    <text>sent in  Endometrial 2 (MMR deficient)</text>
  </threadedComment>
  <threadedComment ref="AN83" dT="2026-01-09T09:04:28.77" personId="{49AA44F0-5412-4B8E-AF85-CB97303C18C3}" id="{ED356A03-C1F5-43AE-99A7-BC89FE13083C}">
    <text>Any mets available? Use best one as 'X' block</text>
  </threadedComment>
  <threadedComment ref="B87" dT="2025-11-14T16:44:53.73" personId="{49AA44F0-5412-4B8E-AF85-CB97303C18C3}" id="{E080A47A-45D5-4CAD-982C-66676B044FAE}">
    <text xml:space="preserve"> Endometrial 2 (MMR deficient)</text>
  </threadedComment>
  <threadedComment ref="B105" dT="2025-11-14T16:47:37.64" personId="{49AA44F0-5412-4B8E-AF85-CB97303C18C3}" id="{506C25E2-FCFE-49D2-807E-456346819E76}">
    <text>Yong &amp; Inga</text>
  </threadedComment>
  <threadedComment ref="B115" dT="2025-11-14T16:47:44.31" personId="{49AA44F0-5412-4B8E-AF85-CB97303C18C3}" id="{6848206B-025E-467C-9FB5-60FD535D88EF}">
    <text>Yong &amp; Inga</text>
  </threadedComment>
  <threadedComment ref="B121" dT="2025-11-14T16:47:52.73" personId="{49AA44F0-5412-4B8E-AF85-CB97303C18C3}" id="{1C39559A-A25C-49BB-BBD4-2E995B3D26B5}">
    <text>Yong &amp; Inga</text>
  </threadedComment>
  <threadedComment ref="B138" dT="2025-11-14T16:45:38.56" personId="{49AA44F0-5412-4B8E-AF85-CB97303C18C3}" id="{5594CF19-1791-498A-8558-0AD8D1758964}">
    <text>sent in  Biopsies and resections (Endometrial)</text>
  </threadedComment>
  <threadedComment ref="B148" dT="2025-11-14T16:48:06.20" personId="{49AA44F0-5412-4B8E-AF85-CB97303C18C3}" id="{041299F2-1D82-484D-9E50-150E3229A50A}">
    <text>Yong &amp; Inga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0" dT="2026-03-23T09:55:29.53" personId="{49AA44F0-5412-4B8E-AF85-CB97303C18C3}" id="{FD2B2E94-7323-4DAF-B4C8-22973AAA8C54}">
    <text>Yong + Inga</text>
  </threadedComment>
  <threadedComment ref="B21" dT="2026-03-23T09:55:40.93" personId="{49AA44F0-5412-4B8E-AF85-CB97303C18C3}" id="{038D0DF2-C6EF-4BB3-A43C-7C4D07004AA1}">
    <text>Yong + Inga</text>
  </threadedComment>
  <threadedComment ref="B22" dT="2026-03-23T09:55:37.43" personId="{49AA44F0-5412-4B8E-AF85-CB97303C18C3}" id="{15FDCE6A-FECA-41C7-B43C-F72E7DBC441B}">
    <text>Yong + Inga</text>
  </threadedComment>
  <threadedComment ref="P22" dT="2026-02-08T09:16:44.30" personId="{49AA44F0-5412-4B8E-AF85-CB97303C18C3}" id="{23F3C2E3-BE35-4DA5-A710-959C00CAF242}">
    <text>This needs to be copathed</text>
  </threadedComment>
  <threadedComment ref="B23" dT="2026-01-19T10:07:39.06" personId="{212F8A51-D53D-48BE-99DB-EDFB30BDEA89}" id="{9876BBA7-743E-4C8E-B959-238F429989B3}">
    <text>Duplicate LH number, is this correct</text>
  </threadedComment>
  <threadedComment ref="B24" dT="2026-01-19T07:45:03.50" personId="{49AA44F0-5412-4B8E-AF85-CB97303C18C3}" id="{9A7E2140-19CE-4E48-8801-1583C06E2863}">
    <text>sent in  Endometrial 2 (MMR proficient)</text>
  </threadedComment>
  <threadedComment ref="B26" dT="2026-01-19T07:45:21.58" personId="{49AA44F0-5412-4B8E-AF85-CB97303C18C3}" id="{7DE83F7C-0B49-4EAD-B3ED-FA681DCCEC3D}">
    <text xml:space="preserve"> sent in Endometrial 1 (ship 2)</text>
  </threadedComment>
  <threadedComment ref="B27" dT="2026-01-19T07:45:48.10" personId="{49AA44F0-5412-4B8E-AF85-CB97303C18C3}" id="{0D631DAA-A606-4996-926E-69C562FBCC62}">
    <text>sent in  Endometrial 2 (MMR proficient)</text>
  </threadedComment>
  <threadedComment ref="B28" dT="2026-02-08T09:12:36.70" personId="{49AA44F0-5412-4B8E-AF85-CB97303C18C3}" id="{C5D633FF-D370-4468-8E7A-758DE615340F}" done="1">
    <text>Wrong case collected</text>
  </threadedComment>
  <threadedComment ref="B29" dT="2026-03-23T09:55:44.14" personId="{49AA44F0-5412-4B8E-AF85-CB97303C18C3}" id="{A727517E-BE22-4B10-987C-F74B71528D92}">
    <text>Yong + Inga</text>
  </threadedComment>
  <threadedComment ref="B35" dT="2026-01-19T07:47:14.18" personId="{49AA44F0-5412-4B8E-AF85-CB97303C18C3}" id="{8454540E-007C-4B96-B6B8-F9B2DEF65CAE}">
    <text xml:space="preserve"> Sent in Endometrial 2 (MMR deficient)</text>
  </threadedComment>
  <threadedComment ref="B39" dT="2026-01-19T07:47:26.10" personId="{49AA44F0-5412-4B8E-AF85-CB97303C18C3}" id="{07AD19A3-1704-4068-985C-4C2FDBF8A370}">
    <text>Sent in Endometrial 2 (MMR deficient)</text>
  </threadedComment>
  <threadedComment ref="B40" dT="2026-01-19T07:49:20.84" personId="{49AA44F0-5412-4B8E-AF85-CB97303C18C3}" id="{3541FDC7-EC3D-4594-9F9C-E24BC4AD2893}">
    <text>sent in  Endometrial 2 (MMR proficient)</text>
  </threadedComment>
  <threadedComment ref="B41" dT="2026-03-23T09:51:47.86" personId="{49AA44F0-5412-4B8E-AF85-CB97303C18C3}" id="{92C51D28-597D-40C9-83BC-E76220C74F45}">
    <text>sent in Pembro/Nivo 2022-2023 Misc</text>
  </threadedComment>
  <threadedComment ref="B43" dT="2026-01-19T07:49:33.77" personId="{49AA44F0-5412-4B8E-AF85-CB97303C18C3}" id="{2EA70FCD-CAA4-4905-9107-9B6CC26DCAF3}">
    <text>sent in  Endometrial 2 (MMR proficient)</text>
  </threadedComment>
  <threadedComment ref="B46" dT="2026-01-19T07:46:38.02" personId="{49AA44F0-5412-4B8E-AF85-CB97303C18C3}" id="{E70CAD05-E52E-43C8-A1C7-41F8A51D6297}">
    <text xml:space="preserve"> sent in Endometrial 1 (ship 2)</text>
  </threadedComment>
  <threadedComment ref="B48" dT="2026-01-19T07:46:16.82" personId="{49AA44F0-5412-4B8E-AF85-CB97303C18C3}" id="{1F45223B-0F98-4352-8C4A-409670C01621}">
    <text>Sent in Biopsies and resections (Endometrial)</text>
  </threadedComment>
  <threadedComment ref="B49" dT="2026-03-23T09:55:47.48" personId="{49AA44F0-5412-4B8E-AF85-CB97303C18C3}" id="{D04DBB75-B0D5-42D1-BAA1-B886B74786FC}">
    <text>Yong + Inga</text>
  </threadedComment>
  <threadedComment ref="B52" dT="2026-03-23T09:55:52.71" personId="{49AA44F0-5412-4B8E-AF85-CB97303C18C3}" id="{81EE04FA-F022-4C89-99A4-696BE1FD574D}">
    <text>Yong + Inga</text>
  </threadedComment>
  <threadedComment ref="B55" dT="2026-03-23T09:55:56.25" personId="{49AA44F0-5412-4B8E-AF85-CB97303C18C3}" id="{E46F24D5-807B-4003-A5DD-3DFD98EE9E7D}">
    <text>Yong + Inga</text>
  </threadedComment>
  <threadedComment ref="B56" dT="2026-01-19T07:49:45.99" personId="{49AA44F0-5412-4B8E-AF85-CB97303C18C3}" id="{12B6328B-111E-4C97-9F8C-967C4A3011A5}">
    <text>sent in  Endometrial 2 (MMR proficient)</text>
  </threadedComment>
  <threadedComment ref="B58" dT="2026-03-23T09:55:59.26" personId="{49AA44F0-5412-4B8E-AF85-CB97303C18C3}" id="{8FAF68B4-B9C6-4E0A-B701-456D8114E552}">
    <text>Yong + Inga</text>
  </threadedComment>
  <threadedComment ref="B63" dT="2026-01-19T07:47:38.36" personId="{49AA44F0-5412-4B8E-AF85-CB97303C18C3}" id="{E95272F0-5C41-47D1-B961-DF5ACB0AAE22}">
    <text>Sent in Endometrial 2 (MMR deficient)</text>
  </threadedComment>
  <threadedComment ref="B65" dT="2026-03-23T09:56:02.21" personId="{49AA44F0-5412-4B8E-AF85-CB97303C18C3}" id="{418EC3B4-36AD-4C20-9D5E-B66E622F1707}">
    <text>Yong + Inga</text>
  </threadedComment>
  <threadedComment ref="B71" dT="2026-01-19T07:47:49.33" personId="{49AA44F0-5412-4B8E-AF85-CB97303C18C3}" id="{69D787A4-4D2A-4BAD-9F0A-5C9D3064A9D2}">
    <text>Sent in Endometrial 2 (MMR deficient)</text>
  </threadedComment>
  <threadedComment ref="B72" dT="2026-01-19T07:50:00.73" personId="{49AA44F0-5412-4B8E-AF85-CB97303C18C3}" id="{F52465B3-3251-4CF3-94BB-750D45CD9D24}">
    <text>sent in  Endometrial 2 (MMR proficient)</text>
  </threadedComment>
  <threadedComment ref="B79" dT="2026-03-23T09:56:06.28" personId="{49AA44F0-5412-4B8E-AF85-CB97303C18C3}" id="{64A93E00-83D1-4A9A-8A96-B9E0E4595FE8}">
    <text>Yong + Inga</text>
  </threadedComment>
  <threadedComment ref="B82" dT="2026-01-19T07:48:04.05" personId="{49AA44F0-5412-4B8E-AF85-CB97303C18C3}" id="{EA4DC233-77E2-48E7-B533-8E4D1D108E2F}">
    <text>Sent in Endometrial 2 (MMR deficient)</text>
  </threadedComment>
  <threadedComment ref="B85" dT="2026-03-23T09:56:12.48" personId="{49AA44F0-5412-4B8E-AF85-CB97303C18C3}" id="{C6696425-F8EC-4767-B9D1-619A79558B46}">
    <text>Yong + Inga</text>
  </threadedComment>
  <threadedComment ref="B88" dT="2026-01-19T07:48:16.91" personId="{49AA44F0-5412-4B8E-AF85-CB97303C18C3}" id="{68B174F8-191B-42B9-882F-439B5714B9B1}">
    <text>Sent in Endometrial 2 (MMR deficient)</text>
  </threadedComment>
  <threadedComment ref="B93" dT="2026-03-23T09:56:15.75" personId="{49AA44F0-5412-4B8E-AF85-CB97303C18C3}" id="{E6D7288E-42FA-4E0C-A344-62B8DB7B6055}">
    <text>Yong + Inga</text>
  </threadedComment>
  <threadedComment ref="B94" dT="2026-03-23T09:56:18.50" personId="{49AA44F0-5412-4B8E-AF85-CB97303C18C3}" id="{AEE45852-2932-41B7-9A99-3D508293CED7}">
    <text>Yong + Inga</text>
  </threadedComment>
  <threadedComment ref="B98" dT="2026-01-19T07:50:19.54" personId="{49AA44F0-5412-4B8E-AF85-CB97303C18C3}" id="{2B7B0881-8ED1-4BE7-A7EA-020DC997A0AD}">
    <text>sent in  Endometrial 2 (MMR proficient)</text>
  </threadedComment>
  <threadedComment ref="B101" dT="2026-01-19T07:50:34.62" personId="{49AA44F0-5412-4B8E-AF85-CB97303C18C3}" id="{F8A39B63-7852-4CFF-A693-CF8C0A60EE34}">
    <text>sent in  Endometrial 2 (MMR proficient)</text>
  </threadedComment>
  <threadedComment ref="B102" dT="2026-01-19T07:48:32.63" personId="{49AA44F0-5412-4B8E-AF85-CB97303C18C3}" id="{FB643DFB-43AC-4A78-A530-5977651DBE85}">
    <text>Sent in Endometrial 2 (MMR deficient)</text>
  </threadedComment>
  <threadedComment ref="B106" dT="2026-03-23T09:56:24.32" personId="{49AA44F0-5412-4B8E-AF85-CB97303C18C3}" id="{3D04F700-58F1-470A-A54B-25BD5F89E265}">
    <text>Yong + Inga</text>
  </threadedComment>
  <threadedComment ref="B107" dT="2026-01-19T07:48:49.60" personId="{49AA44F0-5412-4B8E-AF85-CB97303C18C3}" id="{80A463CA-E455-44F2-A858-85ECD7436CA5}">
    <text>Sent in Endometrial 2 (MMR deficient)</text>
  </threadedComment>
  <threadedComment ref="B109" dT="2026-03-23T09:56:27.14" personId="{49AA44F0-5412-4B8E-AF85-CB97303C18C3}" id="{51C3816B-1953-4ECB-B48B-A36B08A061CC}">
    <text>Yong + Inga</text>
  </threadedComment>
  <threadedComment ref="B115" dT="2026-01-19T07:50:47.65" personId="{49AA44F0-5412-4B8E-AF85-CB97303C18C3}" id="{147891D6-7F59-4E5E-B5BD-037F05ACF1D5}">
    <text>sent in  Endometrial 2 (MMR proficient)</text>
  </threadedComment>
  <threadedComment ref="B116" dT="2026-03-02T08:07:25.83" personId="{212F8A51-D53D-48BE-99DB-EDFB30BDEA89}" id="{DC05D420-8D1F-45F6-BB9C-01C6CBD3F018}">
    <text>slides selected were for case below - need to check if this is a full reject</text>
  </threadedComment>
  <threadedComment ref="B118" dT="2026-01-19T07:51:00.84" personId="{49AA44F0-5412-4B8E-AF85-CB97303C18C3}" id="{F2D12596-F4A2-47FB-A8D1-E32A01A403B8}">
    <text>sent in  Endometrial 2 (MMR proficient)</text>
  </threadedComment>
  <threadedComment ref="B125" dT="2026-03-23T09:56:31.65" personId="{49AA44F0-5412-4B8E-AF85-CB97303C18C3}" id="{0570B667-5522-4D32-9981-A5643BA516AC}">
    <text>Yong + Inga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D71" dT="2026-02-19T10:22:14.25" personId="{212F8A51-D53D-48BE-99DB-EDFB30BDEA89}" id="{EED30D26-4E22-4EA5-8BBD-8628A0858A49}">
    <text>x?</text>
  </threadedComment>
  <threadedComment ref="S79" dT="2026-03-02T08:05:33.70" personId="{49AA44F0-5412-4B8E-AF85-CB97303C18C3}" id="{6D3C4458-7434-402F-8EAF-16800DBEAA1E}">
    <text>Ovarian synchronous tumour, move to Ovarian 2 (ship 4)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G167" dT="2026-05-27T06:54:52.64" personId="{212F8A51-D53D-48BE-99DB-EDFB30BDEA89}" id="{00C50921-B6C2-495C-82EA-55B4402E82D5}">
    <text xml:space="preserve">accidentally scraped the 3 of A23 off, written on in pen, in case of a query that it's A2 not A23 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19" dT="2026-02-18T08:37:36.44" personId="{212F8A51-D53D-48BE-99DB-EDFB30BDEA89}" id="{80A1F877-F18E-4A65-B5E6-010006106C8B}">
    <text>collection sheet input wrong, case rejected</text>
  </threadedComment>
  <threadedComment ref="A34" dT="2025-11-14T16:38:29.76" personId="{49AA44F0-5412-4B8E-AF85-CB97303C18C3}" id="{09C12CD5-9410-4DBA-BB08-62B0347B4921}">
    <text>Normal tissue sent in  Normal tissue 2 (Ovary) LDS0003727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B14" dT="2024-11-22T07:51:45.84" personId="{212F8A51-D53D-48BE-99DB-EDFB30BDEA89}" id="{2FCA04A2-4344-4A35-9C83-DE058D9FC082}">
    <text>BROKEN, DNS</text>
  </threadedComment>
  <threadedComment ref="AG38" dT="2024-11-22T15:53:32.91" personId="{0019B8B0-975B-48C4-8A96-CA368C4A0132}" id="{1EA2C75F-9B9E-4FC1-BA49-21A12C903D3E}">
    <text>ALL BLOCKS REMOVED BY ROULSON ON 09.08.2017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92"/>
  <sheetViews>
    <sheetView tabSelected="1" zoomScale="180" zoomScaleNormal="180" workbookViewId="0">
      <pane xSplit="5" ySplit="4" topLeftCell="Y37" activePane="bottomRight" state="frozen"/>
      <selection pane="bottomRight" activeCell="A57" sqref="A57:XFD57"/>
      <selection pane="bottomLeft"/>
      <selection pane="topRight"/>
    </sheetView>
  </sheetViews>
  <sheetFormatPr defaultColWidth="9" defaultRowHeight="15" customHeight="1"/>
  <cols>
    <col min="1" max="2" width="9" style="6" customWidth="1"/>
    <col min="3" max="4" width="13" style="6" customWidth="1"/>
    <col min="5" max="5" width="9" style="6" customWidth="1"/>
    <col min="6" max="6" width="16.25" style="6" customWidth="1"/>
    <col min="7" max="7" width="17.25" style="6" customWidth="1"/>
    <col min="8" max="8" width="9" style="6" customWidth="1"/>
    <col min="9" max="9" width="13.625" style="6" customWidth="1"/>
    <col min="10" max="10" width="9" style="6" customWidth="1"/>
    <col min="11" max="12" width="13" style="6" customWidth="1"/>
    <col min="13" max="15" width="19.875" style="6" customWidth="1"/>
    <col min="16" max="16" width="37.125" style="6" customWidth="1"/>
    <col min="17" max="17" width="13.75" style="6" customWidth="1"/>
    <col min="18" max="18" width="24.375" style="6" customWidth="1"/>
    <col min="19" max="22" width="9" style="6" customWidth="1"/>
    <col min="23" max="23" width="56.625" style="6" bestFit="1" customWidth="1"/>
    <col min="24" max="25" width="9" style="6" customWidth="1"/>
    <col min="26" max="27" width="7.125" style="6" customWidth="1"/>
    <col min="28" max="28" width="6.125" style="6" bestFit="1" customWidth="1"/>
    <col min="29" max="29" width="6.875" style="6" customWidth="1"/>
    <col min="30" max="30" width="7.125" style="6" customWidth="1"/>
    <col min="31" max="31" width="9" style="6" customWidth="1"/>
    <col min="32" max="32" width="13.625" style="6" customWidth="1"/>
    <col min="33" max="33" width="20.375" style="6" customWidth="1"/>
    <col min="34" max="35" width="9" style="6" customWidth="1"/>
    <col min="36" max="36" width="19.875" style="6" customWidth="1"/>
    <col min="37" max="37" width="22.75" style="6" customWidth="1"/>
    <col min="38" max="38" width="9" style="6" customWidth="1"/>
    <col min="39" max="46" width="9" style="6"/>
    <col min="47" max="47" width="19.875" style="6" bestFit="1" customWidth="1"/>
    <col min="48" max="16384" width="9" style="6"/>
  </cols>
  <sheetData>
    <row r="1" spans="1:47" s="11" customFormat="1" ht="21">
      <c r="A1" s="10"/>
      <c r="B1" s="11" t="s">
        <v>0</v>
      </c>
      <c r="AH1" s="110" t="s">
        <v>1</v>
      </c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</row>
    <row r="2" spans="1:47" ht="12.75"/>
    <row r="3" spans="1:47" s="11" customFormat="1" ht="21.75" customHeight="1">
      <c r="A3" s="35"/>
      <c r="B3" s="36"/>
      <c r="C3" s="36"/>
      <c r="D3" s="36"/>
      <c r="E3" s="69"/>
      <c r="F3" s="45"/>
      <c r="G3" s="45" t="s">
        <v>2</v>
      </c>
      <c r="H3" s="46"/>
      <c r="I3" s="47"/>
      <c r="J3" s="48"/>
      <c r="K3" s="48" t="s">
        <v>3</v>
      </c>
      <c r="L3" s="49"/>
      <c r="M3" s="28"/>
      <c r="N3" s="28"/>
      <c r="O3" s="32"/>
      <c r="P3" s="37"/>
      <c r="Q3" s="12"/>
      <c r="R3" s="12"/>
      <c r="S3" s="37" t="s">
        <v>4</v>
      </c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12"/>
      <c r="AG3" s="12"/>
      <c r="AH3" s="13"/>
      <c r="AI3" s="14"/>
      <c r="AJ3" s="34"/>
      <c r="AK3" s="14"/>
      <c r="AL3" s="14" t="s">
        <v>5</v>
      </c>
      <c r="AM3" s="14"/>
      <c r="AN3" s="14"/>
      <c r="AO3" s="14"/>
      <c r="AP3" s="14"/>
      <c r="AQ3" s="14"/>
      <c r="AR3" s="14"/>
      <c r="AS3" s="41"/>
      <c r="AT3" s="39"/>
      <c r="AU3" s="30"/>
    </row>
    <row r="4" spans="1:47" s="11" customFormat="1" ht="31.5" customHeight="1">
      <c r="A4" s="43" t="s">
        <v>6</v>
      </c>
      <c r="B4" s="44" t="s">
        <v>7</v>
      </c>
      <c r="C4" s="44" t="s">
        <v>8</v>
      </c>
      <c r="D4" s="44" t="s">
        <v>9</v>
      </c>
      <c r="E4" s="70" t="s">
        <v>10</v>
      </c>
      <c r="F4" s="15" t="s">
        <v>11</v>
      </c>
      <c r="G4" s="15" t="s">
        <v>12</v>
      </c>
      <c r="H4" s="16" t="s">
        <v>13</v>
      </c>
      <c r="I4" s="18" t="s">
        <v>14</v>
      </c>
      <c r="J4" s="17" t="s">
        <v>15</v>
      </c>
      <c r="K4" s="18" t="s">
        <v>16</v>
      </c>
      <c r="L4" s="19" t="s">
        <v>17</v>
      </c>
      <c r="M4" s="29" t="s">
        <v>18</v>
      </c>
      <c r="N4" s="29" t="s">
        <v>19</v>
      </c>
      <c r="O4" s="33" t="s">
        <v>20</v>
      </c>
      <c r="P4" s="38" t="s">
        <v>21</v>
      </c>
      <c r="Q4" s="20" t="s">
        <v>22</v>
      </c>
      <c r="R4" s="20" t="s">
        <v>23</v>
      </c>
      <c r="S4" s="20" t="s">
        <v>24</v>
      </c>
      <c r="T4" s="20" t="s">
        <v>25</v>
      </c>
      <c r="U4" s="20" t="s">
        <v>26</v>
      </c>
      <c r="V4" s="20" t="s">
        <v>27</v>
      </c>
      <c r="W4" s="20" t="s">
        <v>28</v>
      </c>
      <c r="X4" s="20" t="s">
        <v>29</v>
      </c>
      <c r="Y4" s="20" t="s">
        <v>30</v>
      </c>
      <c r="Z4" s="20" t="s">
        <v>31</v>
      </c>
      <c r="AA4" s="20" t="s">
        <v>32</v>
      </c>
      <c r="AB4" s="20" t="s">
        <v>33</v>
      </c>
      <c r="AC4" s="20" t="s">
        <v>34</v>
      </c>
      <c r="AD4" s="20" t="s">
        <v>35</v>
      </c>
      <c r="AE4" s="20" t="s">
        <v>36</v>
      </c>
      <c r="AF4" s="20" t="s">
        <v>37</v>
      </c>
      <c r="AG4" s="20" t="s">
        <v>38</v>
      </c>
      <c r="AH4" s="21" t="s">
        <v>39</v>
      </c>
      <c r="AI4" s="22" t="s">
        <v>40</v>
      </c>
      <c r="AJ4" s="22" t="s">
        <v>41</v>
      </c>
      <c r="AK4" s="22" t="s">
        <v>42</v>
      </c>
      <c r="AL4" s="23" t="s">
        <v>43</v>
      </c>
      <c r="AM4" s="23" t="s">
        <v>44</v>
      </c>
      <c r="AN4" s="23" t="s">
        <v>45</v>
      </c>
      <c r="AO4" s="23" t="s">
        <v>46</v>
      </c>
      <c r="AP4" s="23" t="s">
        <v>47</v>
      </c>
      <c r="AQ4" s="23" t="s">
        <v>48</v>
      </c>
      <c r="AR4" s="23" t="s">
        <v>49</v>
      </c>
      <c r="AS4" s="42" t="s">
        <v>50</v>
      </c>
      <c r="AT4" s="40" t="s">
        <v>51</v>
      </c>
      <c r="AU4" s="31" t="s">
        <v>52</v>
      </c>
    </row>
    <row r="5" spans="1:47" ht="15" hidden="1" customHeight="1">
      <c r="B5" s="7" t="s">
        <v>53</v>
      </c>
      <c r="C5" s="7">
        <v>6248841055</v>
      </c>
      <c r="D5" s="7" t="s">
        <v>54</v>
      </c>
      <c r="E5" s="7"/>
      <c r="F5" s="7"/>
      <c r="G5" s="8">
        <v>17960</v>
      </c>
      <c r="H5" s="7" t="s">
        <v>55</v>
      </c>
      <c r="I5" s="6" t="s">
        <v>34</v>
      </c>
      <c r="K5" s="6" t="s">
        <v>36</v>
      </c>
      <c r="P5" s="6" t="s">
        <v>56</v>
      </c>
      <c r="Q5" s="6" t="s">
        <v>57</v>
      </c>
      <c r="S5" s="6" t="s">
        <v>58</v>
      </c>
      <c r="T5" s="6" t="s">
        <v>59</v>
      </c>
      <c r="U5" s="6" t="s">
        <v>60</v>
      </c>
      <c r="V5" s="6" t="s">
        <v>61</v>
      </c>
      <c r="W5" s="6" t="s">
        <v>62</v>
      </c>
      <c r="X5" s="6" t="s">
        <v>63</v>
      </c>
      <c r="AE5" s="6" t="s">
        <v>64</v>
      </c>
      <c r="AH5" s="6" t="s">
        <v>64</v>
      </c>
      <c r="AL5" s="6" t="s">
        <v>58</v>
      </c>
      <c r="AN5" s="6" t="s">
        <v>63</v>
      </c>
      <c r="AQ5" s="99" t="s">
        <v>57</v>
      </c>
      <c r="AR5" s="6" t="s">
        <v>57</v>
      </c>
      <c r="AU5" s="67" t="s">
        <v>57</v>
      </c>
    </row>
    <row r="6" spans="1:47" ht="15" hidden="1" customHeight="1">
      <c r="B6" s="7" t="s">
        <v>65</v>
      </c>
      <c r="C6" s="7">
        <v>4583573626</v>
      </c>
      <c r="D6" s="7" t="s">
        <v>54</v>
      </c>
      <c r="E6" s="7"/>
      <c r="F6" s="7"/>
      <c r="G6" s="8">
        <v>20680</v>
      </c>
      <c r="H6" s="7" t="s">
        <v>55</v>
      </c>
      <c r="I6" s="6" t="s">
        <v>34</v>
      </c>
      <c r="J6" s="6" t="s">
        <v>36</v>
      </c>
      <c r="P6" s="6" t="s">
        <v>66</v>
      </c>
      <c r="Q6" s="6" t="s">
        <v>57</v>
      </c>
      <c r="S6" s="6" t="s">
        <v>67</v>
      </c>
      <c r="AE6" s="6" t="s">
        <v>68</v>
      </c>
      <c r="AH6" s="6" t="s">
        <v>68</v>
      </c>
      <c r="AL6" s="6" t="s">
        <v>67</v>
      </c>
      <c r="AQ6" s="99" t="s">
        <v>57</v>
      </c>
      <c r="AR6" s="6" t="s">
        <v>57</v>
      </c>
      <c r="AU6" s="67" t="s">
        <v>57</v>
      </c>
    </row>
    <row r="7" spans="1:47" ht="15" hidden="1" customHeight="1">
      <c r="B7" s="7" t="s">
        <v>69</v>
      </c>
      <c r="C7" s="7">
        <v>4126079866</v>
      </c>
      <c r="D7" s="7" t="s">
        <v>54</v>
      </c>
      <c r="E7" s="7"/>
      <c r="F7" s="7"/>
      <c r="G7" s="8">
        <v>24313</v>
      </c>
      <c r="H7" s="7" t="s">
        <v>55</v>
      </c>
      <c r="I7" s="6" t="s">
        <v>34</v>
      </c>
      <c r="L7" s="6" t="s">
        <v>36</v>
      </c>
      <c r="P7" s="6" t="s">
        <v>70</v>
      </c>
      <c r="Q7" s="6" t="s">
        <v>57</v>
      </c>
      <c r="S7" s="6" t="s">
        <v>71</v>
      </c>
      <c r="T7" s="6" t="s">
        <v>72</v>
      </c>
      <c r="AE7" s="6" t="s">
        <v>73</v>
      </c>
      <c r="AH7" s="6" t="s">
        <v>73</v>
      </c>
      <c r="AL7" s="6" t="s">
        <v>71</v>
      </c>
      <c r="AM7" s="6" t="s">
        <v>72</v>
      </c>
      <c r="AQ7" s="99" t="s">
        <v>57</v>
      </c>
      <c r="AR7" s="6" t="s">
        <v>57</v>
      </c>
      <c r="AU7" s="67" t="s">
        <v>57</v>
      </c>
    </row>
    <row r="8" spans="1:47" ht="15" hidden="1" customHeight="1">
      <c r="B8" s="7" t="s">
        <v>74</v>
      </c>
      <c r="C8" s="7">
        <v>4387943858</v>
      </c>
      <c r="D8" s="7" t="s">
        <v>54</v>
      </c>
      <c r="E8" s="7"/>
      <c r="F8" s="7"/>
      <c r="G8" s="8">
        <v>16607</v>
      </c>
      <c r="H8" s="7" t="s">
        <v>55</v>
      </c>
      <c r="I8" s="6" t="s">
        <v>34</v>
      </c>
      <c r="K8" s="6" t="s">
        <v>36</v>
      </c>
      <c r="P8" s="6" t="s">
        <v>75</v>
      </c>
      <c r="Q8" s="6" t="s">
        <v>57</v>
      </c>
      <c r="S8" s="6" t="s">
        <v>72</v>
      </c>
      <c r="T8" s="6" t="s">
        <v>76</v>
      </c>
      <c r="U8" s="6" t="s">
        <v>77</v>
      </c>
      <c r="V8" s="6" t="s">
        <v>71</v>
      </c>
      <c r="W8" s="6" t="s">
        <v>78</v>
      </c>
      <c r="AE8" s="6" t="s">
        <v>79</v>
      </c>
      <c r="AH8" s="6" t="s">
        <v>79</v>
      </c>
      <c r="AL8" s="6" t="s">
        <v>72</v>
      </c>
      <c r="AM8" s="6" t="s">
        <v>76</v>
      </c>
      <c r="AQ8" s="99" t="s">
        <v>57</v>
      </c>
      <c r="AR8" s="6" t="s">
        <v>57</v>
      </c>
      <c r="AU8" s="67" t="s">
        <v>57</v>
      </c>
    </row>
    <row r="9" spans="1:47" ht="15" hidden="1" customHeight="1">
      <c r="B9" s="7" t="s">
        <v>80</v>
      </c>
      <c r="C9" s="7">
        <v>4583521243</v>
      </c>
      <c r="D9" s="7" t="s">
        <v>54</v>
      </c>
      <c r="E9" s="7"/>
      <c r="G9" s="8">
        <v>20475</v>
      </c>
      <c r="H9" s="7" t="s">
        <v>55</v>
      </c>
      <c r="I9" s="6" t="s">
        <v>34</v>
      </c>
      <c r="K9" s="6" t="s">
        <v>36</v>
      </c>
      <c r="P9" s="6" t="s">
        <v>66</v>
      </c>
      <c r="Q9" s="6" t="s">
        <v>57</v>
      </c>
      <c r="S9" s="6" t="s">
        <v>81</v>
      </c>
      <c r="AE9" s="6" t="s">
        <v>82</v>
      </c>
      <c r="AH9" s="6" t="s">
        <v>82</v>
      </c>
      <c r="AL9" s="6" t="s">
        <v>81</v>
      </c>
      <c r="AQ9" s="99" t="s">
        <v>57</v>
      </c>
      <c r="AR9" s="6" t="s">
        <v>57</v>
      </c>
      <c r="AU9" s="67" t="s">
        <v>57</v>
      </c>
    </row>
    <row r="10" spans="1:47" ht="15" hidden="1" customHeight="1">
      <c r="B10" s="7" t="s">
        <v>83</v>
      </c>
      <c r="C10" s="7">
        <v>4308919983</v>
      </c>
      <c r="D10" s="7" t="s">
        <v>54</v>
      </c>
      <c r="E10" s="7"/>
      <c r="F10" s="7"/>
      <c r="G10" s="8">
        <v>17684</v>
      </c>
      <c r="H10" s="7" t="s">
        <v>55</v>
      </c>
      <c r="I10" s="6" t="s">
        <v>34</v>
      </c>
      <c r="K10" s="6" t="s">
        <v>36</v>
      </c>
      <c r="P10" s="6" t="s">
        <v>84</v>
      </c>
      <c r="Q10" s="6" t="s">
        <v>57</v>
      </c>
      <c r="S10" s="6" t="s">
        <v>85</v>
      </c>
      <c r="T10" s="6" t="s">
        <v>86</v>
      </c>
      <c r="U10" s="6" t="s">
        <v>87</v>
      </c>
      <c r="V10" s="6" t="s">
        <v>88</v>
      </c>
      <c r="W10" s="6" t="s">
        <v>89</v>
      </c>
      <c r="AD10" s="6" t="s">
        <v>63</v>
      </c>
      <c r="AE10" s="6" t="s">
        <v>82</v>
      </c>
      <c r="AH10" s="6" t="s">
        <v>82</v>
      </c>
      <c r="AL10" s="6" t="s">
        <v>85</v>
      </c>
      <c r="AM10" s="6" t="s">
        <v>86</v>
      </c>
      <c r="AQ10" s="99" t="s">
        <v>57</v>
      </c>
      <c r="AR10" s="6" t="s">
        <v>57</v>
      </c>
      <c r="AU10" s="67" t="s">
        <v>57</v>
      </c>
    </row>
    <row r="11" spans="1:47" ht="15" hidden="1" customHeight="1">
      <c r="B11" s="6" t="s">
        <v>90</v>
      </c>
      <c r="C11" s="6">
        <v>4520692482</v>
      </c>
      <c r="D11" s="7" t="s">
        <v>54</v>
      </c>
      <c r="G11" s="72">
        <v>18768</v>
      </c>
      <c r="H11" s="6" t="s">
        <v>55</v>
      </c>
      <c r="I11" s="6" t="s">
        <v>34</v>
      </c>
      <c r="L11" s="6" t="s">
        <v>36</v>
      </c>
      <c r="P11" s="6" t="s">
        <v>91</v>
      </c>
      <c r="Q11" s="6" t="s">
        <v>57</v>
      </c>
      <c r="S11" s="6" t="s">
        <v>92</v>
      </c>
      <c r="AE11" s="6" t="s">
        <v>93</v>
      </c>
      <c r="AH11" s="6" t="s">
        <v>93</v>
      </c>
      <c r="AL11" s="6" t="s">
        <v>92</v>
      </c>
      <c r="AQ11" s="99" t="s">
        <v>57</v>
      </c>
      <c r="AR11" s="6" t="s">
        <v>57</v>
      </c>
      <c r="AU11" s="67" t="s">
        <v>57</v>
      </c>
    </row>
    <row r="12" spans="1:47" ht="15" hidden="1" customHeight="1">
      <c r="B12" s="7" t="s">
        <v>94</v>
      </c>
      <c r="C12" s="7">
        <v>4506303407</v>
      </c>
      <c r="D12" s="7" t="s">
        <v>54</v>
      </c>
      <c r="E12" s="7"/>
      <c r="F12" s="7"/>
      <c r="G12" s="8">
        <v>20950</v>
      </c>
      <c r="H12" s="7" t="s">
        <v>55</v>
      </c>
      <c r="I12" s="6" t="s">
        <v>34</v>
      </c>
      <c r="L12" s="6" t="s">
        <v>36</v>
      </c>
      <c r="P12" s="6" t="s">
        <v>95</v>
      </c>
      <c r="Q12" s="6" t="s">
        <v>57</v>
      </c>
      <c r="S12" s="6" t="s">
        <v>96</v>
      </c>
      <c r="T12" s="6" t="s">
        <v>97</v>
      </c>
      <c r="U12" s="6" t="s">
        <v>67</v>
      </c>
      <c r="AE12" s="6" t="s">
        <v>68</v>
      </c>
      <c r="AH12" s="6" t="s">
        <v>68</v>
      </c>
      <c r="AL12" s="6" t="s">
        <v>96</v>
      </c>
      <c r="AM12" s="6" t="s">
        <v>97</v>
      </c>
      <c r="AQ12" s="99" t="s">
        <v>57</v>
      </c>
      <c r="AR12" s="6" t="s">
        <v>57</v>
      </c>
      <c r="AU12" s="67" t="s">
        <v>57</v>
      </c>
    </row>
    <row r="13" spans="1:47" ht="15" hidden="1" customHeight="1">
      <c r="B13" s="7" t="s">
        <v>98</v>
      </c>
      <c r="C13" s="7">
        <v>4227858534</v>
      </c>
      <c r="D13" s="7" t="s">
        <v>54</v>
      </c>
      <c r="E13" s="7"/>
      <c r="F13" s="7"/>
      <c r="G13" s="8">
        <v>16212</v>
      </c>
      <c r="H13" s="7" t="s">
        <v>55</v>
      </c>
      <c r="I13" s="6" t="s">
        <v>34</v>
      </c>
      <c r="K13" s="6" t="s">
        <v>36</v>
      </c>
      <c r="P13" s="6" t="s">
        <v>99</v>
      </c>
      <c r="Q13" s="6" t="s">
        <v>57</v>
      </c>
      <c r="S13" s="6" t="s">
        <v>97</v>
      </c>
      <c r="T13" s="6" t="s">
        <v>77</v>
      </c>
      <c r="U13" s="6" t="s">
        <v>71</v>
      </c>
      <c r="AD13" s="6" t="s">
        <v>100</v>
      </c>
      <c r="AE13" s="6" t="s">
        <v>81</v>
      </c>
      <c r="AH13" s="6" t="s">
        <v>97</v>
      </c>
      <c r="AI13" s="6" t="s">
        <v>81</v>
      </c>
      <c r="AL13" s="6" t="s">
        <v>77</v>
      </c>
      <c r="AM13" s="6" t="s">
        <v>71</v>
      </c>
      <c r="AQ13" s="99" t="s">
        <v>57</v>
      </c>
      <c r="AR13" s="6" t="s">
        <v>57</v>
      </c>
      <c r="AU13" s="67" t="s">
        <v>57</v>
      </c>
    </row>
    <row r="14" spans="1:47" ht="15" hidden="1" customHeight="1">
      <c r="B14" s="71" t="s">
        <v>101</v>
      </c>
      <c r="C14" s="7">
        <v>4861502489</v>
      </c>
      <c r="D14" s="7" t="s">
        <v>54</v>
      </c>
      <c r="E14" s="7"/>
      <c r="F14" s="7"/>
      <c r="G14" s="8">
        <v>22965</v>
      </c>
      <c r="H14" s="7" t="s">
        <v>55</v>
      </c>
      <c r="I14" s="6" t="s">
        <v>34</v>
      </c>
      <c r="L14" s="6" t="s">
        <v>36</v>
      </c>
      <c r="R14" s="6" t="s">
        <v>102</v>
      </c>
      <c r="AQ14" s="67"/>
      <c r="AU14" s="67"/>
    </row>
    <row r="15" spans="1:47" ht="15" hidden="1" customHeight="1">
      <c r="B15" s="7" t="s">
        <v>103</v>
      </c>
      <c r="C15" s="7">
        <v>6399471273</v>
      </c>
      <c r="D15" s="7" t="s">
        <v>54</v>
      </c>
      <c r="E15" s="7"/>
      <c r="F15" s="7"/>
      <c r="G15" s="8">
        <v>28542</v>
      </c>
      <c r="H15" s="7" t="s">
        <v>55</v>
      </c>
      <c r="I15" s="6" t="s">
        <v>34</v>
      </c>
      <c r="J15" s="6" t="s">
        <v>36</v>
      </c>
      <c r="P15" s="6" t="s">
        <v>104</v>
      </c>
      <c r="Q15" s="6" t="s">
        <v>57</v>
      </c>
      <c r="AD15" s="6" t="s">
        <v>105</v>
      </c>
      <c r="AQ15" s="67"/>
      <c r="AU15" s="67" t="s">
        <v>57</v>
      </c>
    </row>
    <row r="16" spans="1:47" ht="15" hidden="1" customHeight="1">
      <c r="B16" s="7" t="s">
        <v>106</v>
      </c>
      <c r="C16" s="7">
        <v>7056829619</v>
      </c>
      <c r="D16" s="7" t="s">
        <v>54</v>
      </c>
      <c r="E16" s="7"/>
      <c r="F16" s="7"/>
      <c r="G16" s="8">
        <v>26255</v>
      </c>
      <c r="H16" s="7" t="s">
        <v>55</v>
      </c>
      <c r="I16" s="6" t="s">
        <v>34</v>
      </c>
      <c r="J16" s="6" t="s">
        <v>36</v>
      </c>
      <c r="P16" s="6" t="s">
        <v>107</v>
      </c>
      <c r="Q16" s="6" t="s">
        <v>57</v>
      </c>
      <c r="S16" s="6" t="s">
        <v>64</v>
      </c>
      <c r="T16" s="6" t="s">
        <v>108</v>
      </c>
      <c r="U16" s="6" t="s">
        <v>96</v>
      </c>
      <c r="AD16" s="6" t="s">
        <v>109</v>
      </c>
      <c r="AE16" s="6" t="s">
        <v>73</v>
      </c>
      <c r="AH16" s="6" t="s">
        <v>73</v>
      </c>
      <c r="AL16" s="6" t="s">
        <v>64</v>
      </c>
      <c r="AM16" s="6" t="s">
        <v>108</v>
      </c>
      <c r="AQ16" s="99" t="s">
        <v>57</v>
      </c>
      <c r="AR16" s="6" t="s">
        <v>57</v>
      </c>
      <c r="AU16" s="67" t="s">
        <v>57</v>
      </c>
    </row>
    <row r="17" spans="2:47" ht="15" hidden="1" customHeight="1">
      <c r="B17" s="7" t="s">
        <v>110</v>
      </c>
      <c r="C17" s="7">
        <v>4582831745</v>
      </c>
      <c r="D17" s="7" t="s">
        <v>54</v>
      </c>
      <c r="E17" s="7"/>
      <c r="F17" s="7"/>
      <c r="G17" s="8">
        <v>20006</v>
      </c>
      <c r="H17" s="7" t="s">
        <v>55</v>
      </c>
      <c r="I17" s="6" t="s">
        <v>34</v>
      </c>
      <c r="K17" s="6" t="s">
        <v>36</v>
      </c>
      <c r="P17" s="6" t="s">
        <v>111</v>
      </c>
      <c r="Q17" s="6" t="s">
        <v>57</v>
      </c>
      <c r="S17" s="6" t="s">
        <v>92</v>
      </c>
      <c r="T17" s="6" t="s">
        <v>93</v>
      </c>
      <c r="AD17" s="6" t="s">
        <v>112</v>
      </c>
      <c r="AE17" s="6" t="s">
        <v>113</v>
      </c>
      <c r="AH17" s="6" t="s">
        <v>113</v>
      </c>
      <c r="AL17" s="6" t="s">
        <v>92</v>
      </c>
      <c r="AM17" s="6" t="s">
        <v>93</v>
      </c>
      <c r="AQ17" s="99" t="s">
        <v>57</v>
      </c>
      <c r="AR17" s="6" t="s">
        <v>57</v>
      </c>
      <c r="AU17" s="67" t="s">
        <v>57</v>
      </c>
    </row>
    <row r="18" spans="2:47" ht="15" hidden="1" customHeight="1">
      <c r="B18" s="7" t="s">
        <v>114</v>
      </c>
      <c r="C18" s="7">
        <v>4983128964</v>
      </c>
      <c r="D18" s="7" t="s">
        <v>54</v>
      </c>
      <c r="E18" s="7"/>
      <c r="F18" s="7"/>
      <c r="G18" s="8">
        <v>17546</v>
      </c>
      <c r="H18" s="7" t="s">
        <v>55</v>
      </c>
      <c r="I18" s="6" t="s">
        <v>34</v>
      </c>
      <c r="J18" s="6" t="s">
        <v>36</v>
      </c>
      <c r="P18" s="6" t="s">
        <v>115</v>
      </c>
      <c r="Q18" s="6" t="s">
        <v>57</v>
      </c>
      <c r="S18" s="6" t="s">
        <v>92</v>
      </c>
      <c r="T18" s="6" t="s">
        <v>72</v>
      </c>
      <c r="U18" s="6" t="s">
        <v>71</v>
      </c>
      <c r="V18" s="6" t="s">
        <v>116</v>
      </c>
      <c r="AD18" s="6" t="s">
        <v>117</v>
      </c>
      <c r="AE18" s="6" t="s">
        <v>73</v>
      </c>
      <c r="AH18" s="6" t="s">
        <v>73</v>
      </c>
      <c r="AL18" s="6" t="s">
        <v>92</v>
      </c>
      <c r="AM18" s="6" t="s">
        <v>72</v>
      </c>
      <c r="AQ18" s="99" t="s">
        <v>57</v>
      </c>
      <c r="AR18" s="6" t="s">
        <v>57</v>
      </c>
      <c r="AU18" s="67" t="s">
        <v>57</v>
      </c>
    </row>
    <row r="19" spans="2:47" ht="15" hidden="1" customHeight="1">
      <c r="B19" s="7" t="s">
        <v>118</v>
      </c>
      <c r="C19" s="7">
        <v>4124337949</v>
      </c>
      <c r="D19" s="7" t="s">
        <v>54</v>
      </c>
      <c r="E19" s="7"/>
      <c r="F19" s="7"/>
      <c r="G19" s="8">
        <v>25228</v>
      </c>
      <c r="H19" s="7" t="s">
        <v>55</v>
      </c>
      <c r="I19" s="6" t="s">
        <v>34</v>
      </c>
      <c r="K19" s="6" t="s">
        <v>36</v>
      </c>
      <c r="P19" s="6" t="s">
        <v>119</v>
      </c>
      <c r="Q19" s="6" t="s">
        <v>57</v>
      </c>
      <c r="AD19" s="6" t="s">
        <v>78</v>
      </c>
      <c r="AQ19" s="67"/>
      <c r="AU19" s="67" t="s">
        <v>57</v>
      </c>
    </row>
    <row r="20" spans="2:47" ht="15" hidden="1" customHeight="1">
      <c r="B20" s="7" t="s">
        <v>120</v>
      </c>
      <c r="C20" s="7">
        <v>4848984335</v>
      </c>
      <c r="D20" s="7" t="s">
        <v>54</v>
      </c>
      <c r="E20" s="7"/>
      <c r="F20" s="7"/>
      <c r="G20" s="8">
        <v>21800</v>
      </c>
      <c r="H20" s="7" t="s">
        <v>55</v>
      </c>
      <c r="I20" s="6" t="s">
        <v>34</v>
      </c>
      <c r="K20" s="6" t="s">
        <v>36</v>
      </c>
      <c r="P20" s="6" t="s">
        <v>121</v>
      </c>
      <c r="Q20" s="6" t="s">
        <v>57</v>
      </c>
      <c r="S20" s="6" t="s">
        <v>60</v>
      </c>
      <c r="AE20" s="6" t="s">
        <v>59</v>
      </c>
      <c r="AH20" s="6" t="s">
        <v>59</v>
      </c>
      <c r="AL20" s="6" t="s">
        <v>60</v>
      </c>
      <c r="AQ20" s="99" t="s">
        <v>57</v>
      </c>
      <c r="AR20" s="6" t="s">
        <v>57</v>
      </c>
      <c r="AU20" s="67" t="s">
        <v>57</v>
      </c>
    </row>
    <row r="21" spans="2:47" ht="15" hidden="1" customHeight="1">
      <c r="B21" s="7" t="s">
        <v>122</v>
      </c>
      <c r="C21" s="7">
        <v>6516637261</v>
      </c>
      <c r="D21" s="7" t="s">
        <v>54</v>
      </c>
      <c r="E21" s="7"/>
      <c r="F21" s="7"/>
      <c r="G21" s="8">
        <v>27367</v>
      </c>
      <c r="H21" s="7" t="s">
        <v>55</v>
      </c>
      <c r="I21" s="6" t="s">
        <v>34</v>
      </c>
      <c r="L21" s="6" t="s">
        <v>36</v>
      </c>
      <c r="P21" s="6" t="s">
        <v>123</v>
      </c>
      <c r="Q21" s="6" t="s">
        <v>57</v>
      </c>
      <c r="S21" s="6" t="s">
        <v>68</v>
      </c>
      <c r="T21" s="6" t="s">
        <v>67</v>
      </c>
      <c r="U21" s="6" t="s">
        <v>85</v>
      </c>
      <c r="V21" s="6" t="s">
        <v>97</v>
      </c>
      <c r="AE21" s="6" t="s">
        <v>124</v>
      </c>
      <c r="AH21" s="6" t="s">
        <v>124</v>
      </c>
      <c r="AL21" s="6" t="s">
        <v>68</v>
      </c>
      <c r="AM21" s="6" t="s">
        <v>67</v>
      </c>
      <c r="AQ21" s="99" t="s">
        <v>57</v>
      </c>
      <c r="AR21" s="6" t="s">
        <v>57</v>
      </c>
      <c r="AU21" s="67" t="s">
        <v>57</v>
      </c>
    </row>
    <row r="22" spans="2:47" ht="15" hidden="1" customHeight="1">
      <c r="B22" s="7" t="s">
        <v>125</v>
      </c>
      <c r="C22" s="7">
        <v>4582575463</v>
      </c>
      <c r="D22" s="7" t="s">
        <v>54</v>
      </c>
      <c r="E22" s="7"/>
      <c r="F22" s="7"/>
      <c r="G22" s="8">
        <v>19844</v>
      </c>
      <c r="H22" s="7" t="s">
        <v>55</v>
      </c>
      <c r="I22" s="6" t="s">
        <v>34</v>
      </c>
      <c r="J22" s="6" t="s">
        <v>36</v>
      </c>
      <c r="P22" s="6" t="s">
        <v>126</v>
      </c>
      <c r="Q22" s="6" t="s">
        <v>57</v>
      </c>
      <c r="S22" s="6" t="s">
        <v>93</v>
      </c>
      <c r="AE22" s="6" t="s">
        <v>92</v>
      </c>
      <c r="AH22" s="6" t="s">
        <v>92</v>
      </c>
      <c r="AL22" s="6" t="s">
        <v>93</v>
      </c>
      <c r="AQ22" s="99" t="s">
        <v>57</v>
      </c>
      <c r="AR22" s="6" t="s">
        <v>57</v>
      </c>
      <c r="AU22" s="67" t="s">
        <v>57</v>
      </c>
    </row>
    <row r="23" spans="2:47" ht="15" hidden="1" customHeight="1">
      <c r="B23" s="7" t="s">
        <v>127</v>
      </c>
      <c r="C23" s="7">
        <v>7055112729</v>
      </c>
      <c r="D23" s="7" t="s">
        <v>54</v>
      </c>
      <c r="E23" s="7"/>
      <c r="F23" s="7"/>
      <c r="G23" s="8">
        <v>26409</v>
      </c>
      <c r="H23" s="7" t="s">
        <v>55</v>
      </c>
      <c r="I23" s="6" t="s">
        <v>34</v>
      </c>
      <c r="J23" s="6" t="s">
        <v>36</v>
      </c>
      <c r="P23" s="6" t="s">
        <v>128</v>
      </c>
      <c r="Q23" s="6" t="s">
        <v>57</v>
      </c>
      <c r="S23" s="6" t="s">
        <v>85</v>
      </c>
      <c r="T23" s="6" t="s">
        <v>86</v>
      </c>
      <c r="AD23" s="6" t="s">
        <v>129</v>
      </c>
      <c r="AE23" s="6" t="s">
        <v>82</v>
      </c>
      <c r="AH23" s="6" t="s">
        <v>82</v>
      </c>
      <c r="AL23" s="6" t="s">
        <v>85</v>
      </c>
      <c r="AM23" s="6" t="s">
        <v>86</v>
      </c>
      <c r="AQ23" s="99" t="s">
        <v>57</v>
      </c>
      <c r="AR23" s="6" t="s">
        <v>57</v>
      </c>
      <c r="AU23" s="67" t="s">
        <v>57</v>
      </c>
    </row>
    <row r="24" spans="2:47" ht="15" hidden="1" customHeight="1">
      <c r="B24" s="7" t="s">
        <v>130</v>
      </c>
      <c r="C24" s="7">
        <v>4627804253</v>
      </c>
      <c r="D24" s="7" t="s">
        <v>54</v>
      </c>
      <c r="E24" s="7"/>
      <c r="F24" s="7"/>
      <c r="G24" s="8">
        <v>17912</v>
      </c>
      <c r="H24" s="7" t="s">
        <v>55</v>
      </c>
      <c r="I24" s="6" t="s">
        <v>34</v>
      </c>
      <c r="J24" s="6" t="s">
        <v>36</v>
      </c>
      <c r="P24" s="6" t="s">
        <v>131</v>
      </c>
      <c r="AQ24" s="67"/>
      <c r="AU24" s="67"/>
    </row>
    <row r="25" spans="2:47" ht="15" hidden="1" customHeight="1">
      <c r="B25" s="7" t="s">
        <v>132</v>
      </c>
      <c r="C25" s="7">
        <v>4861746388</v>
      </c>
      <c r="D25" s="7" t="s">
        <v>54</v>
      </c>
      <c r="E25" s="7"/>
      <c r="F25" s="7"/>
      <c r="G25" s="8">
        <v>22623</v>
      </c>
      <c r="H25" s="7" t="s">
        <v>55</v>
      </c>
      <c r="I25" s="6" t="s">
        <v>34</v>
      </c>
      <c r="J25" s="6" t="s">
        <v>36</v>
      </c>
      <c r="P25" s="6" t="s">
        <v>133</v>
      </c>
      <c r="Q25" s="6" t="s">
        <v>57</v>
      </c>
      <c r="AD25" s="6" t="s">
        <v>134</v>
      </c>
      <c r="AE25" s="6" t="s">
        <v>68</v>
      </c>
      <c r="AQ25" s="67"/>
      <c r="AU25" s="67" t="s">
        <v>57</v>
      </c>
    </row>
    <row r="26" spans="2:47" ht="15" hidden="1" customHeight="1">
      <c r="B26" s="7" t="s">
        <v>135</v>
      </c>
      <c r="C26" s="7">
        <v>4382167558</v>
      </c>
      <c r="D26" s="7" t="s">
        <v>54</v>
      </c>
      <c r="E26" s="7"/>
      <c r="F26" s="7"/>
      <c r="G26" s="8">
        <v>15156</v>
      </c>
      <c r="H26" s="7" t="s">
        <v>55</v>
      </c>
      <c r="I26" s="6" t="s">
        <v>34</v>
      </c>
      <c r="K26" s="6" t="s">
        <v>36</v>
      </c>
      <c r="P26" s="6" t="s">
        <v>136</v>
      </c>
      <c r="Q26" s="6" t="s">
        <v>57</v>
      </c>
      <c r="S26" s="6" t="s">
        <v>137</v>
      </c>
      <c r="T26" s="6" t="s">
        <v>73</v>
      </c>
      <c r="U26" s="6" t="s">
        <v>64</v>
      </c>
      <c r="V26" s="6" t="s">
        <v>116</v>
      </c>
      <c r="AE26" s="6" t="s">
        <v>81</v>
      </c>
      <c r="AH26" s="6" t="s">
        <v>81</v>
      </c>
      <c r="AL26" s="6" t="s">
        <v>137</v>
      </c>
      <c r="AM26" s="6" t="s">
        <v>73</v>
      </c>
      <c r="AQ26" s="99" t="s">
        <v>57</v>
      </c>
      <c r="AR26" s="6" t="s">
        <v>57</v>
      </c>
      <c r="AU26" s="67" t="s">
        <v>57</v>
      </c>
    </row>
    <row r="27" spans="2:47" ht="15" hidden="1" customHeight="1">
      <c r="B27" s="7" t="s">
        <v>138</v>
      </c>
      <c r="C27" s="7">
        <v>4765896579</v>
      </c>
      <c r="D27" s="7" t="s">
        <v>54</v>
      </c>
      <c r="E27" s="7"/>
      <c r="F27" s="7"/>
      <c r="G27" s="8">
        <v>23273</v>
      </c>
      <c r="H27" s="7" t="s">
        <v>55</v>
      </c>
      <c r="I27" s="6" t="s">
        <v>34</v>
      </c>
      <c r="K27" s="6" t="s">
        <v>36</v>
      </c>
      <c r="P27" s="6" t="s">
        <v>139</v>
      </c>
      <c r="Q27" s="6" t="s">
        <v>57</v>
      </c>
      <c r="S27" s="6" t="s">
        <v>140</v>
      </c>
      <c r="T27" s="6" t="s">
        <v>141</v>
      </c>
      <c r="AE27" s="6" t="s">
        <v>142</v>
      </c>
      <c r="AH27" s="6" t="s">
        <v>142</v>
      </c>
      <c r="AL27" s="6" t="s">
        <v>140</v>
      </c>
      <c r="AM27" s="6" t="s">
        <v>141</v>
      </c>
      <c r="AQ27" s="99" t="s">
        <v>57</v>
      </c>
      <c r="AR27" s="6" t="s">
        <v>57</v>
      </c>
      <c r="AU27" s="67" t="s">
        <v>57</v>
      </c>
    </row>
    <row r="28" spans="2:47" ht="15" hidden="1" customHeight="1">
      <c r="B28" s="7" t="s">
        <v>143</v>
      </c>
      <c r="C28" s="7">
        <v>4125384088</v>
      </c>
      <c r="D28" s="7" t="s">
        <v>54</v>
      </c>
      <c r="E28" s="7"/>
      <c r="F28" s="7"/>
      <c r="G28" s="8">
        <v>24408</v>
      </c>
      <c r="H28" s="7" t="s">
        <v>55</v>
      </c>
      <c r="I28" s="6" t="s">
        <v>34</v>
      </c>
      <c r="J28" s="6" t="s">
        <v>36</v>
      </c>
      <c r="P28" s="6" t="s">
        <v>144</v>
      </c>
      <c r="Q28" s="6" t="s">
        <v>57</v>
      </c>
      <c r="S28" s="6" t="s">
        <v>59</v>
      </c>
      <c r="T28" s="6" t="s">
        <v>67</v>
      </c>
      <c r="AE28" s="6" t="s">
        <v>61</v>
      </c>
      <c r="AH28" s="6" t="s">
        <v>61</v>
      </c>
      <c r="AL28" s="6" t="s">
        <v>59</v>
      </c>
      <c r="AM28" s="6" t="s">
        <v>67</v>
      </c>
      <c r="AQ28" s="99" t="s">
        <v>57</v>
      </c>
      <c r="AR28" s="6" t="s">
        <v>57</v>
      </c>
      <c r="AU28" s="67" t="s">
        <v>57</v>
      </c>
    </row>
    <row r="29" spans="2:47" ht="15" hidden="1" customHeight="1">
      <c r="B29" s="7" t="s">
        <v>145</v>
      </c>
      <c r="C29" s="7">
        <v>4606274476</v>
      </c>
      <c r="D29" s="7" t="s">
        <v>54</v>
      </c>
      <c r="E29" s="7"/>
      <c r="F29" s="7"/>
      <c r="G29" s="8">
        <v>19206</v>
      </c>
      <c r="H29" s="7" t="s">
        <v>55</v>
      </c>
      <c r="I29" s="6" t="s">
        <v>34</v>
      </c>
      <c r="K29" s="6" t="s">
        <v>36</v>
      </c>
      <c r="P29" s="6" t="s">
        <v>146</v>
      </c>
      <c r="Q29" s="6" t="s">
        <v>57</v>
      </c>
      <c r="S29" s="6" t="s">
        <v>92</v>
      </c>
      <c r="T29" s="6" t="s">
        <v>64</v>
      </c>
      <c r="U29" s="6" t="s">
        <v>73</v>
      </c>
      <c r="V29" s="6" t="s">
        <v>137</v>
      </c>
      <c r="AE29" s="6" t="s">
        <v>81</v>
      </c>
      <c r="AH29" s="6" t="s">
        <v>81</v>
      </c>
      <c r="AL29" s="6" t="s">
        <v>92</v>
      </c>
      <c r="AM29" s="6" t="s">
        <v>64</v>
      </c>
      <c r="AQ29" s="99" t="s">
        <v>57</v>
      </c>
      <c r="AR29" s="6" t="s">
        <v>57</v>
      </c>
      <c r="AU29" s="67" t="s">
        <v>57</v>
      </c>
    </row>
    <row r="30" spans="2:47" ht="15" hidden="1" customHeight="1">
      <c r="B30" s="7" t="s">
        <v>147</v>
      </c>
      <c r="C30" s="7">
        <v>6386204557</v>
      </c>
      <c r="D30" s="7" t="s">
        <v>54</v>
      </c>
      <c r="E30" s="7"/>
      <c r="F30" s="7"/>
      <c r="G30" s="8">
        <v>24797</v>
      </c>
      <c r="H30" s="7" t="s">
        <v>55</v>
      </c>
      <c r="I30" s="6" t="s">
        <v>34</v>
      </c>
      <c r="K30" s="6" t="s">
        <v>36</v>
      </c>
      <c r="P30" s="6" t="s">
        <v>148</v>
      </c>
      <c r="Q30" s="6" t="s">
        <v>57</v>
      </c>
      <c r="S30" s="6" t="s">
        <v>149</v>
      </c>
      <c r="T30" s="6" t="s">
        <v>150</v>
      </c>
      <c r="U30" s="6" t="s">
        <v>151</v>
      </c>
      <c r="V30" s="6" t="s">
        <v>113</v>
      </c>
      <c r="W30" s="6" t="s">
        <v>152</v>
      </c>
      <c r="AD30" s="6" t="s">
        <v>153</v>
      </c>
      <c r="AE30" s="6" t="s">
        <v>81</v>
      </c>
      <c r="AH30" s="6" t="s">
        <v>81</v>
      </c>
      <c r="AL30" s="6" t="s">
        <v>149</v>
      </c>
      <c r="AM30" s="6" t="s">
        <v>151</v>
      </c>
      <c r="AQ30" s="99" t="s">
        <v>57</v>
      </c>
      <c r="AR30" s="6" t="s">
        <v>57</v>
      </c>
      <c r="AU30" s="67" t="s">
        <v>57</v>
      </c>
    </row>
    <row r="31" spans="2:47" ht="15" hidden="1" customHeight="1">
      <c r="B31" s="7" t="s">
        <v>154</v>
      </c>
      <c r="C31" s="7">
        <v>6247771878</v>
      </c>
      <c r="D31" s="7" t="s">
        <v>54</v>
      </c>
      <c r="E31" s="7"/>
      <c r="F31" s="7"/>
      <c r="G31" s="8">
        <v>16594</v>
      </c>
      <c r="H31" s="7" t="s">
        <v>55</v>
      </c>
      <c r="I31" s="6" t="s">
        <v>34</v>
      </c>
      <c r="J31" s="6" t="s">
        <v>36</v>
      </c>
      <c r="P31" s="6" t="s">
        <v>155</v>
      </c>
      <c r="Q31" s="6" t="s">
        <v>57</v>
      </c>
      <c r="S31" s="6" t="s">
        <v>156</v>
      </c>
      <c r="T31" s="6" t="s">
        <v>157</v>
      </c>
      <c r="U31" s="6" t="s">
        <v>158</v>
      </c>
      <c r="V31" s="6" t="s">
        <v>159</v>
      </c>
      <c r="AE31" s="6" t="s">
        <v>160</v>
      </c>
      <c r="AH31" s="6" t="s">
        <v>160</v>
      </c>
      <c r="AL31" s="6" t="s">
        <v>156</v>
      </c>
      <c r="AM31" s="6" t="s">
        <v>157</v>
      </c>
      <c r="AQ31" s="99" t="s">
        <v>57</v>
      </c>
      <c r="AR31" s="6" t="s">
        <v>57</v>
      </c>
      <c r="AU31" s="67" t="s">
        <v>57</v>
      </c>
    </row>
    <row r="32" spans="2:47" ht="15" hidden="1" customHeight="1">
      <c r="B32" s="7" t="s">
        <v>161</v>
      </c>
      <c r="C32" s="7">
        <v>4388766682</v>
      </c>
      <c r="D32" s="7" t="s">
        <v>54</v>
      </c>
      <c r="E32" s="7"/>
      <c r="F32" s="7"/>
      <c r="G32" s="8">
        <v>14712</v>
      </c>
      <c r="H32" s="7" t="s">
        <v>55</v>
      </c>
      <c r="I32" s="6" t="s">
        <v>34</v>
      </c>
      <c r="L32" s="6" t="s">
        <v>36</v>
      </c>
      <c r="P32" s="6" t="s">
        <v>162</v>
      </c>
      <c r="Q32" s="6" t="s">
        <v>57</v>
      </c>
      <c r="S32" s="6" t="s">
        <v>163</v>
      </c>
      <c r="T32" s="6" t="s">
        <v>85</v>
      </c>
      <c r="U32" s="6" t="s">
        <v>59</v>
      </c>
      <c r="V32" s="6" t="s">
        <v>86</v>
      </c>
      <c r="W32" s="6" t="s">
        <v>164</v>
      </c>
      <c r="AD32" s="6" t="s">
        <v>165</v>
      </c>
      <c r="AE32" s="6" t="s">
        <v>166</v>
      </c>
      <c r="AH32" s="6" t="s">
        <v>166</v>
      </c>
      <c r="AL32" s="6" t="s">
        <v>163</v>
      </c>
      <c r="AM32" s="6" t="s">
        <v>85</v>
      </c>
      <c r="AQ32" s="99" t="s">
        <v>57</v>
      </c>
      <c r="AR32" s="6" t="s">
        <v>57</v>
      </c>
      <c r="AU32" s="67" t="s">
        <v>57</v>
      </c>
    </row>
    <row r="33" spans="2:47" ht="15" hidden="1" customHeight="1">
      <c r="B33" s="7" t="s">
        <v>167</v>
      </c>
      <c r="C33" s="7">
        <v>4505327973</v>
      </c>
      <c r="D33" s="7" t="s">
        <v>54</v>
      </c>
      <c r="E33" s="7"/>
      <c r="F33" s="7"/>
      <c r="G33" s="8">
        <v>17887</v>
      </c>
      <c r="H33" s="7" t="s">
        <v>55</v>
      </c>
      <c r="I33" s="6" t="s">
        <v>34</v>
      </c>
      <c r="K33" s="6" t="s">
        <v>36</v>
      </c>
      <c r="P33" s="6" t="s">
        <v>168</v>
      </c>
      <c r="Q33" s="6" t="s">
        <v>57</v>
      </c>
      <c r="AD33" s="6" t="s">
        <v>169</v>
      </c>
      <c r="AQ33" s="67"/>
      <c r="AU33" s="67" t="s">
        <v>57</v>
      </c>
    </row>
    <row r="34" spans="2:47" ht="15" hidden="1" customHeight="1">
      <c r="B34" s="7" t="s">
        <v>170</v>
      </c>
      <c r="C34" s="7">
        <v>6308549495</v>
      </c>
      <c r="D34" s="7" t="s">
        <v>54</v>
      </c>
      <c r="E34" s="7"/>
      <c r="F34" s="7"/>
      <c r="G34" s="8">
        <v>22567</v>
      </c>
      <c r="H34" s="7" t="s">
        <v>55</v>
      </c>
      <c r="I34" s="6" t="s">
        <v>34</v>
      </c>
      <c r="K34" s="6" t="s">
        <v>36</v>
      </c>
      <c r="P34" s="6" t="s">
        <v>171</v>
      </c>
      <c r="Q34" s="6" t="s">
        <v>57</v>
      </c>
      <c r="S34" s="6" t="s">
        <v>96</v>
      </c>
      <c r="T34" s="6" t="s">
        <v>172</v>
      </c>
      <c r="U34" s="6" t="s">
        <v>173</v>
      </c>
      <c r="V34" s="6" t="s">
        <v>68</v>
      </c>
      <c r="W34" s="6" t="s">
        <v>174</v>
      </c>
      <c r="AE34" s="6" t="s">
        <v>175</v>
      </c>
      <c r="AH34" s="6" t="s">
        <v>175</v>
      </c>
      <c r="AL34" s="6" t="s">
        <v>96</v>
      </c>
      <c r="AM34" s="6" t="s">
        <v>172</v>
      </c>
      <c r="AQ34" s="99" t="s">
        <v>57</v>
      </c>
      <c r="AR34" s="6" t="s">
        <v>57</v>
      </c>
      <c r="AU34" s="67" t="s">
        <v>57</v>
      </c>
    </row>
    <row r="35" spans="2:47" ht="15" hidden="1" customHeight="1">
      <c r="B35" s="7" t="s">
        <v>176</v>
      </c>
      <c r="C35" s="7">
        <v>4509304897</v>
      </c>
      <c r="D35" s="7" t="s">
        <v>54</v>
      </c>
      <c r="E35" s="7"/>
      <c r="F35" s="7"/>
      <c r="G35" s="8">
        <v>17595</v>
      </c>
      <c r="H35" s="7" t="s">
        <v>55</v>
      </c>
      <c r="I35" s="6" t="s">
        <v>34</v>
      </c>
      <c r="K35" s="6" t="s">
        <v>36</v>
      </c>
      <c r="P35" s="6" t="s">
        <v>177</v>
      </c>
      <c r="Q35" s="6" t="s">
        <v>57</v>
      </c>
      <c r="S35" s="6" t="s">
        <v>92</v>
      </c>
      <c r="T35" s="6" t="s">
        <v>81</v>
      </c>
      <c r="U35" s="6" t="s">
        <v>137</v>
      </c>
      <c r="AE35" s="6" t="s">
        <v>73</v>
      </c>
      <c r="AH35" s="6" t="s">
        <v>73</v>
      </c>
      <c r="AL35" s="6" t="s">
        <v>92</v>
      </c>
      <c r="AM35" s="6" t="s">
        <v>81</v>
      </c>
      <c r="AQ35" s="99" t="s">
        <v>57</v>
      </c>
      <c r="AR35" s="6" t="s">
        <v>57</v>
      </c>
      <c r="AU35" s="67" t="s">
        <v>57</v>
      </c>
    </row>
    <row r="36" spans="2:47" ht="15" hidden="1" customHeight="1">
      <c r="B36" s="7" t="s">
        <v>178</v>
      </c>
      <c r="C36" s="7">
        <v>4124276028</v>
      </c>
      <c r="D36" s="7" t="s">
        <v>54</v>
      </c>
      <c r="E36" s="7"/>
      <c r="F36" s="7"/>
      <c r="G36" s="8">
        <v>32318</v>
      </c>
      <c r="H36" s="7" t="s">
        <v>55</v>
      </c>
      <c r="I36" s="6" t="s">
        <v>34</v>
      </c>
      <c r="J36" s="6" t="s">
        <v>36</v>
      </c>
      <c r="P36" s="6" t="s">
        <v>179</v>
      </c>
      <c r="Q36" s="6" t="s">
        <v>57</v>
      </c>
      <c r="S36" s="6" t="s">
        <v>81</v>
      </c>
      <c r="T36" s="6" t="s">
        <v>73</v>
      </c>
      <c r="U36" s="6" t="s">
        <v>137</v>
      </c>
      <c r="V36" s="6" t="s">
        <v>82</v>
      </c>
      <c r="AE36" s="6" t="s">
        <v>93</v>
      </c>
      <c r="AH36" s="6" t="s">
        <v>93</v>
      </c>
      <c r="AL36" s="6" t="s">
        <v>81</v>
      </c>
      <c r="AM36" s="6" t="s">
        <v>73</v>
      </c>
      <c r="AQ36" s="99" t="s">
        <v>57</v>
      </c>
      <c r="AR36" s="6" t="s">
        <v>57</v>
      </c>
      <c r="AU36" s="67" t="s">
        <v>57</v>
      </c>
    </row>
    <row r="37" spans="2:47" ht="15" customHeight="1">
      <c r="B37" s="7" t="s">
        <v>180</v>
      </c>
      <c r="C37" s="7">
        <v>4826428073</v>
      </c>
      <c r="D37" s="7" t="s">
        <v>54</v>
      </c>
      <c r="E37" s="7"/>
      <c r="F37" s="7"/>
      <c r="G37" s="8">
        <v>21501</v>
      </c>
      <c r="H37" s="7" t="s">
        <v>55</v>
      </c>
      <c r="I37" s="6" t="s">
        <v>34</v>
      </c>
      <c r="K37" s="6" t="s">
        <v>36</v>
      </c>
      <c r="P37" s="6" t="s">
        <v>181</v>
      </c>
      <c r="Q37" s="6" t="s">
        <v>57</v>
      </c>
      <c r="AC37" s="6" t="s">
        <v>182</v>
      </c>
      <c r="AE37" s="6" t="s">
        <v>82</v>
      </c>
      <c r="AG37" s="6" t="s">
        <v>183</v>
      </c>
      <c r="AQ37" s="67"/>
      <c r="AU37" s="67" t="s">
        <v>57</v>
      </c>
    </row>
    <row r="38" spans="2:47" ht="15" customHeight="1">
      <c r="B38" s="7" t="s">
        <v>184</v>
      </c>
      <c r="C38" s="7">
        <v>4582177468</v>
      </c>
      <c r="D38" s="7" t="s">
        <v>54</v>
      </c>
      <c r="E38" s="7"/>
      <c r="F38" s="7"/>
      <c r="G38" s="8">
        <v>22121</v>
      </c>
      <c r="H38" s="7" t="s">
        <v>55</v>
      </c>
      <c r="I38" s="6" t="s">
        <v>34</v>
      </c>
      <c r="K38" s="6" t="s">
        <v>36</v>
      </c>
      <c r="P38" s="6" t="s">
        <v>185</v>
      </c>
      <c r="Q38" s="6" t="s">
        <v>57</v>
      </c>
      <c r="S38" s="6" t="s">
        <v>78</v>
      </c>
      <c r="AC38" s="6" t="s">
        <v>67</v>
      </c>
      <c r="AE38" s="6" t="s">
        <v>173</v>
      </c>
      <c r="AG38" s="6" t="s">
        <v>186</v>
      </c>
      <c r="AH38" s="6" t="s">
        <v>173</v>
      </c>
      <c r="AL38" s="6" t="s">
        <v>78</v>
      </c>
      <c r="AQ38" s="99" t="s">
        <v>57</v>
      </c>
      <c r="AR38" s="6" t="s">
        <v>57</v>
      </c>
      <c r="AU38" s="67" t="s">
        <v>57</v>
      </c>
    </row>
    <row r="39" spans="2:47" ht="15" customHeight="1">
      <c r="B39" s="7" t="s">
        <v>187</v>
      </c>
      <c r="C39" s="7">
        <v>6501795796</v>
      </c>
      <c r="D39" s="7" t="s">
        <v>54</v>
      </c>
      <c r="E39" s="7"/>
      <c r="F39" s="7"/>
      <c r="G39" s="8">
        <v>27542</v>
      </c>
      <c r="H39" s="7" t="s">
        <v>55</v>
      </c>
      <c r="I39" s="6" t="s">
        <v>34</v>
      </c>
      <c r="K39" s="6" t="s">
        <v>36</v>
      </c>
      <c r="P39" s="6" t="s">
        <v>188</v>
      </c>
      <c r="Q39" s="6" t="s">
        <v>57</v>
      </c>
      <c r="S39" s="6" t="s">
        <v>173</v>
      </c>
      <c r="T39" s="6" t="s">
        <v>189</v>
      </c>
      <c r="U39" s="6" t="s">
        <v>163</v>
      </c>
      <c r="V39" s="6" t="s">
        <v>124</v>
      </c>
      <c r="W39" s="6" t="s">
        <v>190</v>
      </c>
      <c r="AC39" s="6" t="s">
        <v>85</v>
      </c>
      <c r="AE39" s="6" t="s">
        <v>78</v>
      </c>
      <c r="AG39" s="6" t="s">
        <v>191</v>
      </c>
      <c r="AH39" s="6" t="s">
        <v>78</v>
      </c>
      <c r="AL39" s="6" t="s">
        <v>173</v>
      </c>
      <c r="AM39" s="6" t="s">
        <v>189</v>
      </c>
      <c r="AQ39" s="99" t="s">
        <v>57</v>
      </c>
      <c r="AR39" s="6" t="s">
        <v>57</v>
      </c>
      <c r="AU39" s="67" t="s">
        <v>57</v>
      </c>
    </row>
    <row r="40" spans="2:47" ht="15" customHeight="1">
      <c r="B40" s="7" t="s">
        <v>192</v>
      </c>
      <c r="C40" s="7">
        <v>4861821223</v>
      </c>
      <c r="D40" s="7" t="s">
        <v>54</v>
      </c>
      <c r="E40" s="7"/>
      <c r="F40" s="7"/>
      <c r="G40" s="8">
        <v>22333</v>
      </c>
      <c r="H40" s="7" t="s">
        <v>55</v>
      </c>
      <c r="I40" s="6" t="s">
        <v>34</v>
      </c>
      <c r="J40" s="6" t="s">
        <v>36</v>
      </c>
      <c r="P40" s="6" t="s">
        <v>193</v>
      </c>
      <c r="Q40" s="6" t="s">
        <v>57</v>
      </c>
      <c r="S40" s="6" t="s">
        <v>81</v>
      </c>
      <c r="T40" s="6" t="s">
        <v>137</v>
      </c>
      <c r="AC40" s="6" t="s">
        <v>172</v>
      </c>
      <c r="AE40" s="6" t="s">
        <v>64</v>
      </c>
      <c r="AG40" s="6" t="s">
        <v>194</v>
      </c>
      <c r="AH40" s="6" t="s">
        <v>64</v>
      </c>
      <c r="AL40" s="6" t="s">
        <v>81</v>
      </c>
      <c r="AM40" s="6" t="s">
        <v>137</v>
      </c>
      <c r="AQ40" s="99" t="s">
        <v>57</v>
      </c>
      <c r="AR40" s="6" t="s">
        <v>57</v>
      </c>
      <c r="AU40" s="67" t="s">
        <v>57</v>
      </c>
    </row>
    <row r="41" spans="2:47" ht="15" customHeight="1">
      <c r="B41" s="7" t="s">
        <v>195</v>
      </c>
      <c r="C41" s="7">
        <v>4587795089</v>
      </c>
      <c r="D41" s="7" t="s">
        <v>54</v>
      </c>
      <c r="E41" s="7"/>
      <c r="F41" s="7"/>
      <c r="G41" s="8">
        <v>17348</v>
      </c>
      <c r="H41" s="7" t="s">
        <v>55</v>
      </c>
      <c r="I41" s="6" t="s">
        <v>34</v>
      </c>
      <c r="K41" s="6" t="s">
        <v>36</v>
      </c>
      <c r="P41" s="6" t="s">
        <v>196</v>
      </c>
      <c r="Q41" s="6" t="s">
        <v>57</v>
      </c>
      <c r="S41" s="6" t="s">
        <v>97</v>
      </c>
      <c r="T41" s="6" t="s">
        <v>96</v>
      </c>
      <c r="U41" s="6" t="s">
        <v>67</v>
      </c>
      <c r="AE41" s="6" t="s">
        <v>68</v>
      </c>
      <c r="AH41" s="6" t="s">
        <v>68</v>
      </c>
      <c r="AL41" s="6" t="s">
        <v>97</v>
      </c>
      <c r="AM41" s="6" t="s">
        <v>96</v>
      </c>
      <c r="AQ41" s="99" t="s">
        <v>57</v>
      </c>
      <c r="AR41" s="6" t="s">
        <v>57</v>
      </c>
      <c r="AU41" s="67" t="s">
        <v>57</v>
      </c>
    </row>
    <row r="42" spans="2:47" ht="15" customHeight="1">
      <c r="B42" s="7" t="s">
        <v>197</v>
      </c>
      <c r="C42" s="7">
        <v>4862036740</v>
      </c>
      <c r="D42" s="7" t="s">
        <v>54</v>
      </c>
      <c r="E42" s="7"/>
      <c r="F42" s="7"/>
      <c r="G42" s="8">
        <v>23190</v>
      </c>
      <c r="H42" s="7" t="s">
        <v>55</v>
      </c>
      <c r="I42" s="6" t="s">
        <v>34</v>
      </c>
      <c r="K42" s="6" t="s">
        <v>36</v>
      </c>
      <c r="P42" s="6" t="s">
        <v>198</v>
      </c>
      <c r="Q42" s="6" t="s">
        <v>57</v>
      </c>
      <c r="AD42" s="6" t="s">
        <v>199</v>
      </c>
      <c r="AQ42" s="67"/>
      <c r="AU42" s="67" t="s">
        <v>57</v>
      </c>
    </row>
    <row r="43" spans="2:47" ht="15" customHeight="1">
      <c r="B43" s="7" t="s">
        <v>200</v>
      </c>
      <c r="C43" s="7">
        <v>4086980908</v>
      </c>
      <c r="D43" s="7" t="s">
        <v>54</v>
      </c>
      <c r="E43" s="7"/>
      <c r="F43" s="7"/>
      <c r="G43" s="8">
        <v>26805</v>
      </c>
      <c r="H43" s="7" t="s">
        <v>55</v>
      </c>
      <c r="I43" s="6" t="s">
        <v>34</v>
      </c>
      <c r="L43" s="6" t="s">
        <v>36</v>
      </c>
      <c r="P43" s="6" t="s">
        <v>201</v>
      </c>
      <c r="Q43" s="6" t="s">
        <v>57</v>
      </c>
      <c r="S43" s="6" t="s">
        <v>68</v>
      </c>
      <c r="T43" s="6" t="s">
        <v>67</v>
      </c>
      <c r="AE43" s="6" t="s">
        <v>97</v>
      </c>
      <c r="AH43" s="6" t="s">
        <v>97</v>
      </c>
      <c r="AL43" s="6" t="s">
        <v>68</v>
      </c>
      <c r="AM43" s="6" t="s">
        <v>67</v>
      </c>
      <c r="AQ43" s="99" t="s">
        <v>57</v>
      </c>
      <c r="AR43" s="6" t="s">
        <v>57</v>
      </c>
      <c r="AU43" s="67" t="s">
        <v>57</v>
      </c>
    </row>
    <row r="44" spans="2:47" ht="15" customHeight="1">
      <c r="B44" s="7" t="s">
        <v>202</v>
      </c>
      <c r="C44" s="7">
        <v>4086124394</v>
      </c>
      <c r="D44" s="7" t="s">
        <v>54</v>
      </c>
      <c r="E44" s="7"/>
      <c r="F44" s="7"/>
      <c r="G44" s="8">
        <v>16646</v>
      </c>
      <c r="H44" s="7" t="s">
        <v>55</v>
      </c>
      <c r="I44" s="6" t="s">
        <v>34</v>
      </c>
      <c r="K44" s="6" t="s">
        <v>36</v>
      </c>
      <c r="P44" s="6" t="s">
        <v>203</v>
      </c>
      <c r="Q44" s="6" t="s">
        <v>57</v>
      </c>
      <c r="AD44" s="6" t="s">
        <v>64</v>
      </c>
      <c r="AE44" s="6" t="s">
        <v>137</v>
      </c>
      <c r="AQ44" s="67"/>
      <c r="AU44" s="67" t="s">
        <v>57</v>
      </c>
    </row>
    <row r="45" spans="2:47" ht="15" customHeight="1">
      <c r="B45" s="7" t="s">
        <v>204</v>
      </c>
      <c r="C45" s="7">
        <v>4508016227</v>
      </c>
      <c r="D45" s="7" t="s">
        <v>54</v>
      </c>
      <c r="E45" s="7"/>
      <c r="F45" s="7"/>
      <c r="G45" s="8">
        <v>17185</v>
      </c>
      <c r="H45" s="7" t="s">
        <v>55</v>
      </c>
      <c r="I45" s="6" t="s">
        <v>34</v>
      </c>
      <c r="K45" s="6" t="s">
        <v>36</v>
      </c>
      <c r="P45" s="6" t="s">
        <v>205</v>
      </c>
      <c r="Q45" s="6" t="s">
        <v>57</v>
      </c>
      <c r="S45" s="6" t="s">
        <v>92</v>
      </c>
      <c r="T45" s="6" t="s">
        <v>86</v>
      </c>
      <c r="U45" s="6" t="s">
        <v>93</v>
      </c>
      <c r="V45" s="6" t="s">
        <v>82</v>
      </c>
      <c r="AE45" s="6" t="s">
        <v>113</v>
      </c>
      <c r="AH45" s="6" t="s">
        <v>113</v>
      </c>
      <c r="AL45" s="6" t="s">
        <v>92</v>
      </c>
      <c r="AM45" s="6" t="s">
        <v>86</v>
      </c>
      <c r="AQ45" s="99" t="s">
        <v>57</v>
      </c>
      <c r="AR45" s="6" t="s">
        <v>57</v>
      </c>
      <c r="AU45" s="67" t="s">
        <v>57</v>
      </c>
    </row>
    <row r="46" spans="2:47" ht="15" customHeight="1">
      <c r="B46" s="7" t="s">
        <v>206</v>
      </c>
      <c r="C46" s="7">
        <v>6322045547</v>
      </c>
      <c r="D46" s="7" t="s">
        <v>54</v>
      </c>
      <c r="E46" s="7"/>
      <c r="F46" s="7"/>
      <c r="G46" s="8">
        <v>20637</v>
      </c>
      <c r="H46" s="7" t="s">
        <v>55</v>
      </c>
      <c r="I46" s="6" t="s">
        <v>34</v>
      </c>
      <c r="L46" s="6" t="s">
        <v>36</v>
      </c>
      <c r="P46" s="6" t="s">
        <v>207</v>
      </c>
      <c r="Q46" s="6" t="s">
        <v>57</v>
      </c>
      <c r="S46" s="6" t="s">
        <v>72</v>
      </c>
      <c r="T46" s="6" t="s">
        <v>82</v>
      </c>
      <c r="AD46" s="6" t="s">
        <v>208</v>
      </c>
      <c r="AE46" s="6" t="s">
        <v>71</v>
      </c>
      <c r="AH46" s="6" t="s">
        <v>71</v>
      </c>
      <c r="AL46" s="6" t="s">
        <v>72</v>
      </c>
      <c r="AM46" s="6" t="s">
        <v>82</v>
      </c>
      <c r="AQ46" s="99" t="s">
        <v>57</v>
      </c>
      <c r="AR46" s="6" t="s">
        <v>57</v>
      </c>
      <c r="AU46" s="67" t="s">
        <v>57</v>
      </c>
    </row>
    <row r="47" spans="2:47" ht="15" customHeight="1">
      <c r="B47" s="7" t="s">
        <v>209</v>
      </c>
      <c r="C47" s="7">
        <v>4508084281</v>
      </c>
      <c r="D47" s="7" t="s">
        <v>54</v>
      </c>
      <c r="E47" s="7"/>
      <c r="F47" s="7"/>
      <c r="G47" s="8">
        <v>17537</v>
      </c>
      <c r="H47" s="7" t="s">
        <v>55</v>
      </c>
      <c r="I47" s="6" t="s">
        <v>34</v>
      </c>
      <c r="L47" s="6" t="s">
        <v>36</v>
      </c>
      <c r="P47" s="6" t="s">
        <v>210</v>
      </c>
      <c r="Q47" s="6" t="s">
        <v>57</v>
      </c>
      <c r="S47" s="6" t="s">
        <v>160</v>
      </c>
      <c r="T47" s="6" t="s">
        <v>158</v>
      </c>
      <c r="U47" s="6" t="s">
        <v>156</v>
      </c>
      <c r="V47" s="6" t="s">
        <v>64</v>
      </c>
      <c r="W47" s="6" t="s">
        <v>211</v>
      </c>
      <c r="AE47" s="6" t="s">
        <v>212</v>
      </c>
      <c r="AH47" s="6" t="s">
        <v>212</v>
      </c>
      <c r="AL47" s="6" t="s">
        <v>160</v>
      </c>
      <c r="AM47" s="6" t="s">
        <v>158</v>
      </c>
      <c r="AQ47" s="99" t="s">
        <v>57</v>
      </c>
      <c r="AR47" s="6" t="s">
        <v>57</v>
      </c>
      <c r="AU47" s="67" t="s">
        <v>57</v>
      </c>
    </row>
    <row r="48" spans="2:47" ht="15" customHeight="1">
      <c r="B48" s="7" t="s">
        <v>213</v>
      </c>
      <c r="C48" s="7">
        <v>6244072030</v>
      </c>
      <c r="D48" s="7" t="s">
        <v>54</v>
      </c>
      <c r="E48" s="7"/>
      <c r="F48" s="7"/>
      <c r="G48" s="8">
        <v>17931</v>
      </c>
      <c r="H48" s="7" t="s">
        <v>55</v>
      </c>
      <c r="I48" s="6" t="s">
        <v>34</v>
      </c>
      <c r="K48" s="6" t="s">
        <v>36</v>
      </c>
      <c r="P48" s="6" t="s">
        <v>214</v>
      </c>
      <c r="Q48" s="6" t="s">
        <v>57</v>
      </c>
      <c r="S48" s="6" t="s">
        <v>116</v>
      </c>
      <c r="T48" s="6" t="s">
        <v>81</v>
      </c>
      <c r="U48" s="6" t="s">
        <v>73</v>
      </c>
      <c r="AE48" s="6" t="s">
        <v>137</v>
      </c>
      <c r="AH48" s="6" t="s">
        <v>137</v>
      </c>
      <c r="AL48" s="6" t="s">
        <v>116</v>
      </c>
      <c r="AM48" s="6" t="s">
        <v>81</v>
      </c>
      <c r="AQ48" s="99" t="s">
        <v>57</v>
      </c>
      <c r="AR48" s="6" t="s">
        <v>57</v>
      </c>
      <c r="AU48" s="67" t="s">
        <v>57</v>
      </c>
    </row>
    <row r="49" spans="2:47" ht="15" customHeight="1">
      <c r="B49" s="7" t="s">
        <v>215</v>
      </c>
      <c r="C49" s="7">
        <v>4388529427</v>
      </c>
      <c r="D49" s="7" t="s">
        <v>54</v>
      </c>
      <c r="E49" s="7"/>
      <c r="F49" s="7"/>
      <c r="G49" s="8">
        <v>16737</v>
      </c>
      <c r="H49" s="7" t="s">
        <v>55</v>
      </c>
      <c r="I49" s="6" t="s">
        <v>34</v>
      </c>
      <c r="K49" s="6" t="s">
        <v>36</v>
      </c>
      <c r="P49" s="6" t="s">
        <v>216</v>
      </c>
      <c r="Q49" s="6" t="s">
        <v>57</v>
      </c>
      <c r="S49" s="6" t="s">
        <v>212</v>
      </c>
      <c r="AE49" s="6" t="s">
        <v>78</v>
      </c>
      <c r="AH49" s="6" t="s">
        <v>78</v>
      </c>
      <c r="AL49" s="6" t="s">
        <v>212</v>
      </c>
      <c r="AQ49" s="99" t="s">
        <v>57</v>
      </c>
      <c r="AR49" s="6" t="s">
        <v>57</v>
      </c>
      <c r="AU49" s="67" t="s">
        <v>57</v>
      </c>
    </row>
    <row r="50" spans="2:47" ht="15" customHeight="1">
      <c r="B50" s="7" t="s">
        <v>217</v>
      </c>
      <c r="C50" s="7">
        <v>4360305354</v>
      </c>
      <c r="D50" s="7" t="s">
        <v>54</v>
      </c>
      <c r="E50" s="7"/>
      <c r="F50" s="7"/>
      <c r="G50" s="8">
        <v>14126</v>
      </c>
      <c r="H50" s="7" t="s">
        <v>55</v>
      </c>
      <c r="I50" s="6" t="s">
        <v>34</v>
      </c>
      <c r="J50" s="6" t="s">
        <v>36</v>
      </c>
      <c r="P50" s="6" t="s">
        <v>218</v>
      </c>
      <c r="Q50" s="6" t="s">
        <v>57</v>
      </c>
      <c r="S50" s="6" t="s">
        <v>85</v>
      </c>
      <c r="T50" s="6" t="s">
        <v>67</v>
      </c>
      <c r="U50" s="6" t="s">
        <v>97</v>
      </c>
      <c r="AE50" s="6" t="s">
        <v>68</v>
      </c>
      <c r="AH50" s="6" t="s">
        <v>68</v>
      </c>
      <c r="AL50" s="6" t="s">
        <v>85</v>
      </c>
      <c r="AM50" s="6" t="s">
        <v>67</v>
      </c>
      <c r="AQ50" s="99" t="s">
        <v>57</v>
      </c>
      <c r="AR50" s="6" t="s">
        <v>57</v>
      </c>
      <c r="AU50" s="67" t="s">
        <v>57</v>
      </c>
    </row>
    <row r="51" spans="2:47" ht="15" customHeight="1">
      <c r="B51" s="7" t="s">
        <v>219</v>
      </c>
      <c r="C51" s="7">
        <v>4506298764</v>
      </c>
      <c r="D51" s="7" t="s">
        <v>54</v>
      </c>
      <c r="E51" s="7"/>
      <c r="F51" s="7"/>
      <c r="G51" s="8">
        <v>21424</v>
      </c>
      <c r="H51" s="7" t="s">
        <v>55</v>
      </c>
      <c r="I51" s="6" t="s">
        <v>34</v>
      </c>
      <c r="J51" s="6" t="s">
        <v>36</v>
      </c>
      <c r="P51" s="6" t="s">
        <v>220</v>
      </c>
      <c r="Q51" s="6" t="s">
        <v>57</v>
      </c>
      <c r="S51" s="6" t="s">
        <v>86</v>
      </c>
      <c r="AE51" s="6" t="s">
        <v>89</v>
      </c>
      <c r="AH51" s="6" t="s">
        <v>89</v>
      </c>
      <c r="AL51" s="6" t="s">
        <v>86</v>
      </c>
      <c r="AQ51" s="99" t="s">
        <v>57</v>
      </c>
      <c r="AR51" s="6" t="s">
        <v>57</v>
      </c>
      <c r="AU51" s="67" t="s">
        <v>57</v>
      </c>
    </row>
    <row r="52" spans="2:47" ht="15" customHeight="1">
      <c r="B52" s="7" t="s">
        <v>221</v>
      </c>
      <c r="C52" s="7">
        <v>4381999738</v>
      </c>
      <c r="D52" s="7" t="s">
        <v>54</v>
      </c>
      <c r="E52" s="7"/>
      <c r="F52" s="7"/>
      <c r="G52" s="8">
        <v>14748</v>
      </c>
      <c r="H52" s="7" t="s">
        <v>55</v>
      </c>
      <c r="I52" s="6" t="s">
        <v>34</v>
      </c>
      <c r="K52" s="6" t="s">
        <v>36</v>
      </c>
      <c r="P52" s="6" t="s">
        <v>222</v>
      </c>
      <c r="Q52" s="6" t="s">
        <v>57</v>
      </c>
      <c r="S52" s="6" t="s">
        <v>89</v>
      </c>
      <c r="T52" s="6" t="s">
        <v>93</v>
      </c>
      <c r="U52" s="6" t="s">
        <v>86</v>
      </c>
      <c r="V52" s="6" t="s">
        <v>82</v>
      </c>
      <c r="AE52" s="6" t="s">
        <v>113</v>
      </c>
      <c r="AH52" s="6" t="s">
        <v>113</v>
      </c>
      <c r="AL52" s="6" t="s">
        <v>89</v>
      </c>
      <c r="AM52" s="6" t="s">
        <v>93</v>
      </c>
      <c r="AQ52" s="99" t="s">
        <v>57</v>
      </c>
      <c r="AR52" s="6" t="s">
        <v>57</v>
      </c>
      <c r="AU52" s="67" t="s">
        <v>57</v>
      </c>
    </row>
    <row r="53" spans="2:47" ht="15" customHeight="1">
      <c r="B53" s="7" t="s">
        <v>223</v>
      </c>
      <c r="C53" s="7">
        <v>4582870090</v>
      </c>
      <c r="D53" s="7" t="s">
        <v>54</v>
      </c>
      <c r="E53" s="7"/>
      <c r="F53" s="7"/>
      <c r="G53" s="8">
        <v>19989</v>
      </c>
      <c r="H53" s="7" t="s">
        <v>55</v>
      </c>
      <c r="I53" s="6" t="s">
        <v>34</v>
      </c>
      <c r="J53" s="6" t="s">
        <v>36</v>
      </c>
      <c r="P53" s="6" t="s">
        <v>224</v>
      </c>
      <c r="Q53" s="6" t="s">
        <v>57</v>
      </c>
      <c r="AQ53" s="67"/>
      <c r="AU53" s="67" t="s">
        <v>57</v>
      </c>
    </row>
    <row r="54" spans="2:47" ht="15" customHeight="1">
      <c r="B54" s="7" t="s">
        <v>225</v>
      </c>
      <c r="C54" s="7">
        <v>4583501277</v>
      </c>
      <c r="D54" s="7" t="s">
        <v>54</v>
      </c>
      <c r="E54" s="7"/>
      <c r="F54" s="7"/>
      <c r="G54" s="8">
        <v>20762</v>
      </c>
      <c r="H54" s="7" t="s">
        <v>55</v>
      </c>
      <c r="I54" s="6" t="s">
        <v>34</v>
      </c>
      <c r="J54" s="6" t="s">
        <v>36</v>
      </c>
      <c r="P54" s="6" t="s">
        <v>226</v>
      </c>
      <c r="Q54" s="6" t="s">
        <v>57</v>
      </c>
      <c r="AE54" s="6" t="s">
        <v>67</v>
      </c>
      <c r="AQ54" s="67"/>
      <c r="AU54" s="67" t="s">
        <v>57</v>
      </c>
    </row>
    <row r="55" spans="2:47" ht="15" customHeight="1">
      <c r="B55" s="7" t="s">
        <v>227</v>
      </c>
      <c r="C55" s="7">
        <v>6060573061</v>
      </c>
      <c r="D55" s="7" t="s">
        <v>54</v>
      </c>
      <c r="E55" s="7"/>
      <c r="F55" s="7"/>
      <c r="G55" s="8">
        <v>23328</v>
      </c>
      <c r="H55" s="7" t="s">
        <v>55</v>
      </c>
      <c r="I55" s="6" t="s">
        <v>34</v>
      </c>
      <c r="K55" s="6" t="s">
        <v>36</v>
      </c>
      <c r="P55" s="6" t="s">
        <v>228</v>
      </c>
      <c r="Q55" s="6" t="s">
        <v>57</v>
      </c>
      <c r="AQ55" s="67"/>
      <c r="AU55" s="67" t="s">
        <v>57</v>
      </c>
    </row>
    <row r="56" spans="2:47" ht="15" customHeight="1">
      <c r="B56" s="7" t="s">
        <v>229</v>
      </c>
      <c r="C56" s="7">
        <v>4509028385</v>
      </c>
      <c r="D56" s="7" t="s">
        <v>54</v>
      </c>
      <c r="E56" s="7"/>
      <c r="F56" s="7"/>
      <c r="G56" s="8">
        <v>18077</v>
      </c>
      <c r="H56" s="7" t="s">
        <v>55</v>
      </c>
      <c r="I56" s="6" t="s">
        <v>34</v>
      </c>
      <c r="K56" s="6" t="s">
        <v>36</v>
      </c>
      <c r="P56" s="6" t="s">
        <v>230</v>
      </c>
      <c r="Q56" s="6" t="s">
        <v>57</v>
      </c>
      <c r="S56" s="6" t="s">
        <v>60</v>
      </c>
      <c r="T56" s="6" t="s">
        <v>158</v>
      </c>
      <c r="U56" s="6" t="s">
        <v>231</v>
      </c>
      <c r="V56" s="6" t="s">
        <v>59</v>
      </c>
      <c r="W56" s="6" t="s">
        <v>232</v>
      </c>
      <c r="AE56" s="6" t="s">
        <v>85</v>
      </c>
      <c r="AH56" s="6" t="s">
        <v>85</v>
      </c>
      <c r="AL56" s="6" t="s">
        <v>60</v>
      </c>
      <c r="AM56" s="6" t="s">
        <v>158</v>
      </c>
      <c r="AQ56" s="99" t="s">
        <v>57</v>
      </c>
      <c r="AR56" s="6" t="s">
        <v>57</v>
      </c>
      <c r="AU56" s="67" t="s">
        <v>57</v>
      </c>
    </row>
    <row r="57" spans="2:47" ht="15" customHeight="1">
      <c r="B57" s="7" t="s">
        <v>233</v>
      </c>
      <c r="C57" s="7">
        <v>4581167507</v>
      </c>
      <c r="D57" s="7" t="s">
        <v>54</v>
      </c>
      <c r="E57" s="7"/>
      <c r="F57" s="7"/>
      <c r="G57" s="8">
        <v>18746</v>
      </c>
      <c r="H57" s="7" t="s">
        <v>55</v>
      </c>
      <c r="I57" s="6" t="s">
        <v>34</v>
      </c>
      <c r="L57" s="6" t="s">
        <v>36</v>
      </c>
      <c r="P57" s="6" t="s">
        <v>234</v>
      </c>
      <c r="Q57" s="6" t="s">
        <v>57</v>
      </c>
      <c r="S57" s="6" t="s">
        <v>124</v>
      </c>
      <c r="T57" s="6" t="s">
        <v>68</v>
      </c>
      <c r="U57" s="6" t="s">
        <v>78</v>
      </c>
      <c r="V57" s="6" t="s">
        <v>89</v>
      </c>
      <c r="W57" s="6" t="s">
        <v>235</v>
      </c>
      <c r="AE57" s="6" t="s">
        <v>85</v>
      </c>
      <c r="AH57" s="6" t="s">
        <v>85</v>
      </c>
      <c r="AL57" s="6" t="s">
        <v>124</v>
      </c>
      <c r="AM57" s="6" t="s">
        <v>68</v>
      </c>
      <c r="AQ57" s="99" t="s">
        <v>57</v>
      </c>
      <c r="AR57" s="6" t="s">
        <v>57</v>
      </c>
      <c r="AU57" s="67" t="s">
        <v>57</v>
      </c>
    </row>
    <row r="58" spans="2:47" ht="15" customHeight="1">
      <c r="B58" s="7" t="s">
        <v>236</v>
      </c>
      <c r="C58" s="7">
        <v>4995550089</v>
      </c>
      <c r="D58" s="7" t="s">
        <v>54</v>
      </c>
      <c r="E58" s="7"/>
      <c r="F58" s="7"/>
      <c r="G58" s="8">
        <v>25737</v>
      </c>
      <c r="H58" s="7" t="s">
        <v>55</v>
      </c>
      <c r="I58" s="6" t="s">
        <v>34</v>
      </c>
      <c r="J58" s="6" t="s">
        <v>36</v>
      </c>
      <c r="P58" s="6" t="s">
        <v>237</v>
      </c>
      <c r="Q58" s="6" t="s">
        <v>57</v>
      </c>
      <c r="S58" s="6" t="s">
        <v>86</v>
      </c>
      <c r="AD58" s="6" t="s">
        <v>113</v>
      </c>
      <c r="AE58" s="6" t="s">
        <v>82</v>
      </c>
      <c r="AH58" s="6" t="s">
        <v>82</v>
      </c>
      <c r="AL58" s="6" t="s">
        <v>86</v>
      </c>
      <c r="AQ58" s="99" t="s">
        <v>57</v>
      </c>
      <c r="AR58" s="6" t="s">
        <v>57</v>
      </c>
      <c r="AU58" s="67" t="s">
        <v>57</v>
      </c>
    </row>
    <row r="59" spans="2:47" ht="15" customHeight="1">
      <c r="B59" s="7" t="s">
        <v>238</v>
      </c>
      <c r="C59" s="7">
        <v>6249331883</v>
      </c>
      <c r="D59" s="7" t="s">
        <v>54</v>
      </c>
      <c r="E59" s="7"/>
      <c r="F59" s="7"/>
      <c r="G59" s="8">
        <v>24763</v>
      </c>
      <c r="H59" s="7" t="s">
        <v>55</v>
      </c>
      <c r="I59" s="6" t="s">
        <v>34</v>
      </c>
      <c r="J59" s="6" t="s">
        <v>36</v>
      </c>
      <c r="P59" s="6" t="s">
        <v>239</v>
      </c>
      <c r="Q59" s="6" t="s">
        <v>57</v>
      </c>
      <c r="S59" s="6" t="s">
        <v>73</v>
      </c>
      <c r="T59" s="6" t="s">
        <v>81</v>
      </c>
      <c r="AD59" s="6" t="s">
        <v>240</v>
      </c>
      <c r="AE59" s="6" t="s">
        <v>93</v>
      </c>
      <c r="AH59" s="6" t="s">
        <v>93</v>
      </c>
      <c r="AL59" s="6" t="s">
        <v>73</v>
      </c>
      <c r="AM59" s="6" t="s">
        <v>81</v>
      </c>
      <c r="AQ59" s="99" t="s">
        <v>57</v>
      </c>
      <c r="AR59" s="6" t="s">
        <v>57</v>
      </c>
      <c r="AU59" s="67" t="s">
        <v>57</v>
      </c>
    </row>
    <row r="60" spans="2:47" ht="15" customHeight="1">
      <c r="B60" s="7" t="s">
        <v>241</v>
      </c>
      <c r="C60" s="7">
        <v>4861890780</v>
      </c>
      <c r="D60" s="7" t="s">
        <v>54</v>
      </c>
      <c r="E60" s="7"/>
      <c r="F60" s="7"/>
      <c r="G60" s="8">
        <v>22687</v>
      </c>
      <c r="H60" s="7" t="s">
        <v>55</v>
      </c>
      <c r="I60" s="6" t="s">
        <v>34</v>
      </c>
      <c r="J60" s="6" t="s">
        <v>36</v>
      </c>
      <c r="P60" s="6" t="s">
        <v>218</v>
      </c>
      <c r="Q60" s="6" t="s">
        <v>57</v>
      </c>
      <c r="S60" s="6" t="s">
        <v>81</v>
      </c>
      <c r="T60" s="6" t="s">
        <v>64</v>
      </c>
      <c r="U60" s="6" t="s">
        <v>137</v>
      </c>
      <c r="AE60" s="6" t="s">
        <v>73</v>
      </c>
      <c r="AH60" s="6" t="s">
        <v>73</v>
      </c>
      <c r="AL60" s="6" t="s">
        <v>81</v>
      </c>
      <c r="AM60" s="6" t="s">
        <v>64</v>
      </c>
      <c r="AQ60" s="99" t="s">
        <v>57</v>
      </c>
      <c r="AR60" s="6" t="s">
        <v>57</v>
      </c>
      <c r="AU60" s="67" t="s">
        <v>57</v>
      </c>
    </row>
    <row r="61" spans="2:47" ht="15" customHeight="1">
      <c r="B61" s="7" t="s">
        <v>242</v>
      </c>
      <c r="C61" s="7">
        <v>6302699975</v>
      </c>
      <c r="D61" s="7" t="s">
        <v>54</v>
      </c>
      <c r="E61" s="7"/>
      <c r="F61" s="7"/>
      <c r="G61" s="8">
        <v>18702</v>
      </c>
      <c r="H61" s="7" t="s">
        <v>55</v>
      </c>
      <c r="I61" s="6" t="s">
        <v>34</v>
      </c>
      <c r="K61" s="6" t="s">
        <v>36</v>
      </c>
      <c r="P61" s="6" t="s">
        <v>243</v>
      </c>
      <c r="Q61" s="6" t="s">
        <v>57</v>
      </c>
      <c r="S61" s="6" t="s">
        <v>73</v>
      </c>
      <c r="T61" s="6" t="s">
        <v>92</v>
      </c>
      <c r="U61" s="6" t="s">
        <v>82</v>
      </c>
      <c r="AE61" s="6" t="s">
        <v>93</v>
      </c>
      <c r="AH61" s="6" t="s">
        <v>93</v>
      </c>
      <c r="AL61" s="6" t="s">
        <v>73</v>
      </c>
      <c r="AM61" s="6" t="s">
        <v>92</v>
      </c>
      <c r="AQ61" s="99" t="s">
        <v>57</v>
      </c>
      <c r="AR61" s="6" t="s">
        <v>57</v>
      </c>
      <c r="AU61" s="67" t="s">
        <v>57</v>
      </c>
    </row>
    <row r="62" spans="2:47" ht="15" customHeight="1">
      <c r="B62" s="7" t="s">
        <v>244</v>
      </c>
      <c r="C62" s="7">
        <v>4545411746</v>
      </c>
      <c r="D62" s="7" t="s">
        <v>54</v>
      </c>
      <c r="E62" s="7"/>
      <c r="F62" s="7"/>
      <c r="G62" s="8">
        <v>23546</v>
      </c>
      <c r="H62" s="7" t="s">
        <v>55</v>
      </c>
      <c r="I62" s="6" t="s">
        <v>34</v>
      </c>
      <c r="L62" s="6" t="s">
        <v>36</v>
      </c>
      <c r="P62" s="6" t="s">
        <v>245</v>
      </c>
      <c r="Q62" s="6" t="s">
        <v>57</v>
      </c>
      <c r="S62" s="6" t="s">
        <v>68</v>
      </c>
      <c r="T62" s="6" t="s">
        <v>246</v>
      </c>
      <c r="U62" s="6" t="s">
        <v>247</v>
      </c>
      <c r="V62" s="6" t="s">
        <v>248</v>
      </c>
      <c r="W62" s="6" t="s">
        <v>249</v>
      </c>
      <c r="AE62" s="6" t="s">
        <v>82</v>
      </c>
      <c r="AH62" s="6" t="s">
        <v>82</v>
      </c>
      <c r="AL62" s="6" t="s">
        <v>68</v>
      </c>
      <c r="AM62" s="6" t="s">
        <v>246</v>
      </c>
      <c r="AQ62" s="99" t="s">
        <v>57</v>
      </c>
      <c r="AR62" s="6" t="s">
        <v>57</v>
      </c>
      <c r="AU62" s="67" t="s">
        <v>57</v>
      </c>
    </row>
    <row r="63" spans="2:47" ht="15" customHeight="1">
      <c r="B63" s="7" t="s">
        <v>250</v>
      </c>
      <c r="C63" s="7">
        <v>4422480545</v>
      </c>
      <c r="D63" s="7" t="s">
        <v>54</v>
      </c>
      <c r="E63" s="7"/>
      <c r="F63" s="7"/>
      <c r="G63" s="8">
        <v>14879</v>
      </c>
      <c r="H63" s="7" t="s">
        <v>55</v>
      </c>
      <c r="I63" s="6" t="s">
        <v>34</v>
      </c>
      <c r="J63" s="6" t="s">
        <v>36</v>
      </c>
      <c r="P63" s="6" t="s">
        <v>251</v>
      </c>
      <c r="Q63" s="6" t="s">
        <v>57</v>
      </c>
      <c r="S63" s="6" t="s">
        <v>116</v>
      </c>
      <c r="T63" s="6" t="s">
        <v>92</v>
      </c>
      <c r="U63" s="6" t="s">
        <v>252</v>
      </c>
      <c r="V63" s="6" t="s">
        <v>253</v>
      </c>
      <c r="W63" s="6" t="s">
        <v>254</v>
      </c>
      <c r="X63" s="6" t="s">
        <v>255</v>
      </c>
      <c r="Y63" s="6" t="s">
        <v>256</v>
      </c>
      <c r="AE63" s="6" t="s">
        <v>93</v>
      </c>
      <c r="AH63" s="6" t="s">
        <v>93</v>
      </c>
      <c r="AL63" s="6" t="s">
        <v>116</v>
      </c>
      <c r="AN63" s="6" t="s">
        <v>255</v>
      </c>
      <c r="AQ63" s="99" t="s">
        <v>57</v>
      </c>
      <c r="AR63" s="6" t="s">
        <v>57</v>
      </c>
      <c r="AU63" s="67" t="s">
        <v>57</v>
      </c>
    </row>
    <row r="64" spans="2:47" ht="15" customHeight="1">
      <c r="B64" s="7" t="s">
        <v>257</v>
      </c>
      <c r="C64" s="7">
        <v>4125369119</v>
      </c>
      <c r="D64" s="7" t="s">
        <v>54</v>
      </c>
      <c r="E64" s="7"/>
      <c r="F64" s="7"/>
      <c r="G64" s="8">
        <v>23856</v>
      </c>
      <c r="H64" s="7" t="s">
        <v>55</v>
      </c>
      <c r="I64" s="6" t="s">
        <v>34</v>
      </c>
      <c r="K64" s="6" t="s">
        <v>36</v>
      </c>
      <c r="P64" s="6" t="s">
        <v>258</v>
      </c>
      <c r="Q64" s="6" t="s">
        <v>57</v>
      </c>
      <c r="S64" s="6" t="s">
        <v>81</v>
      </c>
      <c r="T64" s="6" t="s">
        <v>259</v>
      </c>
      <c r="AE64" s="6" t="s">
        <v>137</v>
      </c>
      <c r="AH64" s="6" t="s">
        <v>137</v>
      </c>
      <c r="AL64" s="6" t="s">
        <v>81</v>
      </c>
      <c r="AQ64" s="99" t="s">
        <v>57</v>
      </c>
      <c r="AR64" s="6" t="s">
        <v>57</v>
      </c>
      <c r="AU64" s="67" t="s">
        <v>57</v>
      </c>
    </row>
    <row r="65" spans="2:47" ht="12.75" customHeight="1">
      <c r="B65" s="7" t="s">
        <v>260</v>
      </c>
      <c r="C65" s="7">
        <v>4124090951</v>
      </c>
      <c r="D65" s="7" t="s">
        <v>54</v>
      </c>
      <c r="E65" s="7"/>
      <c r="F65" s="7"/>
      <c r="G65" s="8">
        <v>25714</v>
      </c>
      <c r="H65" s="7" t="s">
        <v>55</v>
      </c>
      <c r="I65" s="6" t="s">
        <v>34</v>
      </c>
      <c r="K65" s="6" t="s">
        <v>36</v>
      </c>
      <c r="P65" s="6" t="s">
        <v>261</v>
      </c>
      <c r="Q65" s="6" t="s">
        <v>57</v>
      </c>
      <c r="AD65" s="6" t="s">
        <v>262</v>
      </c>
      <c r="AQ65" s="67"/>
      <c r="AU65" s="67" t="s">
        <v>57</v>
      </c>
    </row>
    <row r="66" spans="2:47" ht="15" customHeight="1">
      <c r="B66" s="7" t="s">
        <v>263</v>
      </c>
      <c r="C66" s="7">
        <v>4086963914</v>
      </c>
      <c r="D66" s="7" t="s">
        <v>54</v>
      </c>
      <c r="E66" s="7"/>
      <c r="F66" s="7"/>
      <c r="G66" s="8">
        <v>26340</v>
      </c>
      <c r="H66" s="7" t="s">
        <v>55</v>
      </c>
      <c r="I66" s="6" t="s">
        <v>34</v>
      </c>
      <c r="K66" s="6" t="s">
        <v>36</v>
      </c>
      <c r="P66" s="6" t="s">
        <v>264</v>
      </c>
      <c r="Q66" s="6" t="s">
        <v>57</v>
      </c>
      <c r="S66" s="6" t="s">
        <v>189</v>
      </c>
      <c r="T66" s="6" t="s">
        <v>89</v>
      </c>
      <c r="U66" s="6" t="s">
        <v>86</v>
      </c>
      <c r="V66" s="6" t="s">
        <v>78</v>
      </c>
      <c r="AC66" s="6" t="s">
        <v>265</v>
      </c>
      <c r="AE66" s="6" t="s">
        <v>158</v>
      </c>
      <c r="AG66" s="109" t="s">
        <v>266</v>
      </c>
      <c r="AH66" s="6" t="s">
        <v>158</v>
      </c>
      <c r="AL66" s="6" t="s">
        <v>189</v>
      </c>
      <c r="AM66" s="6" t="s">
        <v>89</v>
      </c>
      <c r="AQ66" s="99" t="s">
        <v>57</v>
      </c>
      <c r="AR66" s="6" t="s">
        <v>57</v>
      </c>
      <c r="AU66" s="67" t="s">
        <v>57</v>
      </c>
    </row>
    <row r="67" spans="2:47" ht="15" hidden="1" customHeight="1">
      <c r="B67" s="7" t="s">
        <v>267</v>
      </c>
      <c r="C67" s="7">
        <v>4302638346</v>
      </c>
      <c r="D67" s="7" t="s">
        <v>54</v>
      </c>
      <c r="E67" s="7"/>
      <c r="F67" s="7"/>
      <c r="G67" s="8">
        <v>17441</v>
      </c>
      <c r="H67" s="7" t="s">
        <v>55</v>
      </c>
      <c r="I67" s="6" t="s">
        <v>34</v>
      </c>
      <c r="K67" s="6" t="s">
        <v>36</v>
      </c>
      <c r="P67" s="6" t="s">
        <v>268</v>
      </c>
      <c r="Q67" s="6" t="s">
        <v>57</v>
      </c>
      <c r="S67" s="6" t="s">
        <v>97</v>
      </c>
      <c r="T67" s="6" t="s">
        <v>68</v>
      </c>
      <c r="U67" s="6" t="s">
        <v>124</v>
      </c>
      <c r="AE67" s="6" t="s">
        <v>67</v>
      </c>
      <c r="AH67" s="6" t="s">
        <v>67</v>
      </c>
      <c r="AL67" s="6" t="s">
        <v>97</v>
      </c>
      <c r="AM67" s="6" t="s">
        <v>68</v>
      </c>
      <c r="AQ67" s="99" t="s">
        <v>57</v>
      </c>
      <c r="AR67" s="6" t="s">
        <v>57</v>
      </c>
      <c r="AU67" s="67" t="s">
        <v>57</v>
      </c>
    </row>
    <row r="68" spans="2:47" ht="15" hidden="1" customHeight="1">
      <c r="B68" s="7" t="s">
        <v>269</v>
      </c>
      <c r="C68" s="7">
        <v>4581379040</v>
      </c>
      <c r="D68" s="7" t="s">
        <v>54</v>
      </c>
      <c r="E68" s="7"/>
      <c r="F68" s="7"/>
      <c r="G68" s="8">
        <v>19069</v>
      </c>
      <c r="H68" s="7" t="s">
        <v>55</v>
      </c>
      <c r="I68" s="6" t="s">
        <v>34</v>
      </c>
      <c r="K68" s="6" t="s">
        <v>36</v>
      </c>
      <c r="P68" s="6" t="s">
        <v>270</v>
      </c>
      <c r="Q68" s="6" t="s">
        <v>57</v>
      </c>
      <c r="S68" s="6" t="s">
        <v>86</v>
      </c>
      <c r="T68" s="6" t="s">
        <v>175</v>
      </c>
      <c r="U68" s="6" t="s">
        <v>67</v>
      </c>
      <c r="AE68" s="6" t="s">
        <v>271</v>
      </c>
      <c r="AH68" s="6" t="s">
        <v>271</v>
      </c>
      <c r="AL68" s="6" t="s">
        <v>86</v>
      </c>
      <c r="AM68" s="6" t="s">
        <v>175</v>
      </c>
      <c r="AQ68" s="99" t="s">
        <v>57</v>
      </c>
      <c r="AR68" s="6" t="s">
        <v>57</v>
      </c>
      <c r="AU68" s="67" t="s">
        <v>57</v>
      </c>
    </row>
    <row r="69" spans="2:47" ht="15" hidden="1" customHeight="1">
      <c r="B69" s="7" t="s">
        <v>272</v>
      </c>
      <c r="C69" s="7">
        <v>4124425082</v>
      </c>
      <c r="D69" s="7" t="s">
        <v>54</v>
      </c>
      <c r="E69" s="7"/>
      <c r="F69" s="7"/>
      <c r="G69" s="8">
        <v>28715</v>
      </c>
      <c r="H69" s="7" t="s">
        <v>55</v>
      </c>
      <c r="I69" s="6" t="s">
        <v>34</v>
      </c>
      <c r="J69" s="6" t="s">
        <v>36</v>
      </c>
      <c r="P69" s="6" t="s">
        <v>273</v>
      </c>
      <c r="Q69" s="6" t="s">
        <v>57</v>
      </c>
      <c r="S69" s="6" t="s">
        <v>79</v>
      </c>
      <c r="T69" s="6" t="s">
        <v>71</v>
      </c>
      <c r="U69" s="6" t="s">
        <v>93</v>
      </c>
      <c r="AD69" s="6" t="s">
        <v>274</v>
      </c>
      <c r="AE69" s="6" t="s">
        <v>72</v>
      </c>
      <c r="AH69" s="6" t="s">
        <v>72</v>
      </c>
      <c r="AL69" s="6" t="s">
        <v>79</v>
      </c>
      <c r="AM69" s="6" t="s">
        <v>71</v>
      </c>
      <c r="AQ69" s="99" t="s">
        <v>57</v>
      </c>
      <c r="AR69" s="6" t="s">
        <v>57</v>
      </c>
      <c r="AU69" s="67" t="s">
        <v>57</v>
      </c>
    </row>
    <row r="70" spans="2:47" ht="15" hidden="1" customHeight="1">
      <c r="B70" s="7" t="s">
        <v>275</v>
      </c>
      <c r="C70" s="7">
        <v>4382232112</v>
      </c>
      <c r="D70" s="7" t="s">
        <v>54</v>
      </c>
      <c r="E70" s="7"/>
      <c r="F70" s="7"/>
      <c r="G70" s="8">
        <v>17734</v>
      </c>
      <c r="H70" s="7" t="s">
        <v>55</v>
      </c>
      <c r="I70" s="6" t="s">
        <v>34</v>
      </c>
      <c r="K70" s="6" t="s">
        <v>36</v>
      </c>
      <c r="P70" s="6" t="s">
        <v>276</v>
      </c>
      <c r="Q70" s="6" t="s">
        <v>57</v>
      </c>
      <c r="S70" s="6" t="s">
        <v>97</v>
      </c>
      <c r="T70" s="6" t="s">
        <v>92</v>
      </c>
      <c r="U70" s="6" t="s">
        <v>85</v>
      </c>
      <c r="V70" s="6" t="s">
        <v>81</v>
      </c>
      <c r="AD70" s="6" t="s">
        <v>277</v>
      </c>
      <c r="AE70" s="6" t="s">
        <v>97</v>
      </c>
      <c r="AH70" s="6" t="s">
        <v>97</v>
      </c>
      <c r="AL70" s="6" t="s">
        <v>92</v>
      </c>
      <c r="AM70" s="6" t="s">
        <v>85</v>
      </c>
      <c r="AQ70" s="99" t="s">
        <v>57</v>
      </c>
      <c r="AR70" s="6" t="s">
        <v>57</v>
      </c>
      <c r="AU70" s="67" t="s">
        <v>57</v>
      </c>
    </row>
    <row r="71" spans="2:47" ht="15" hidden="1" customHeight="1">
      <c r="B71" s="7" t="s">
        <v>278</v>
      </c>
      <c r="C71" s="7">
        <v>4507817455</v>
      </c>
      <c r="D71" s="7" t="s">
        <v>54</v>
      </c>
      <c r="E71" s="7"/>
      <c r="F71" s="7"/>
      <c r="G71" s="8">
        <v>17605</v>
      </c>
      <c r="H71" s="7" t="s">
        <v>55</v>
      </c>
      <c r="I71" s="6" t="s">
        <v>34</v>
      </c>
      <c r="K71" s="6" t="s">
        <v>36</v>
      </c>
      <c r="P71" s="6" t="s">
        <v>279</v>
      </c>
      <c r="Q71" s="6" t="s">
        <v>57</v>
      </c>
      <c r="S71" s="6" t="s">
        <v>124</v>
      </c>
      <c r="T71" s="6" t="s">
        <v>68</v>
      </c>
      <c r="U71" s="6" t="s">
        <v>86</v>
      </c>
      <c r="AE71" s="6" t="s">
        <v>92</v>
      </c>
      <c r="AH71" s="6" t="s">
        <v>92</v>
      </c>
      <c r="AL71" s="6" t="s">
        <v>124</v>
      </c>
      <c r="AM71" s="6" t="s">
        <v>68</v>
      </c>
      <c r="AQ71" s="99" t="s">
        <v>57</v>
      </c>
      <c r="AR71" s="6" t="s">
        <v>57</v>
      </c>
      <c r="AU71" s="67" t="s">
        <v>57</v>
      </c>
    </row>
    <row r="72" spans="2:47" ht="15" hidden="1" customHeight="1">
      <c r="B72" s="7" t="s">
        <v>280</v>
      </c>
      <c r="C72" s="7">
        <v>4766914147</v>
      </c>
      <c r="D72" s="7" t="s">
        <v>54</v>
      </c>
      <c r="E72" s="7"/>
      <c r="F72" s="7"/>
      <c r="G72" s="8">
        <v>23558</v>
      </c>
      <c r="H72" s="7" t="s">
        <v>55</v>
      </c>
      <c r="I72" s="6" t="s">
        <v>34</v>
      </c>
      <c r="L72" s="6" t="s">
        <v>36</v>
      </c>
      <c r="P72" s="6" t="s">
        <v>281</v>
      </c>
      <c r="Q72" s="6" t="s">
        <v>57</v>
      </c>
      <c r="S72" s="6" t="s">
        <v>158</v>
      </c>
      <c r="T72" s="6" t="s">
        <v>159</v>
      </c>
      <c r="U72" s="6" t="s">
        <v>282</v>
      </c>
      <c r="AE72" s="6" t="s">
        <v>283</v>
      </c>
      <c r="AH72" s="6" t="s">
        <v>283</v>
      </c>
      <c r="AL72" s="6" t="s">
        <v>158</v>
      </c>
      <c r="AM72" s="6" t="s">
        <v>159</v>
      </c>
      <c r="AQ72" s="99" t="s">
        <v>57</v>
      </c>
      <c r="AR72" s="6" t="s">
        <v>57</v>
      </c>
      <c r="AU72" s="67" t="s">
        <v>57</v>
      </c>
    </row>
    <row r="73" spans="2:47" ht="15" hidden="1" customHeight="1">
      <c r="B73" s="7" t="s">
        <v>284</v>
      </c>
      <c r="C73" s="7">
        <v>4520591627</v>
      </c>
      <c r="D73" s="7" t="s">
        <v>54</v>
      </c>
      <c r="E73" s="7"/>
      <c r="F73" s="7"/>
      <c r="G73" s="8">
        <v>18698</v>
      </c>
      <c r="H73" s="7" t="s">
        <v>55</v>
      </c>
      <c r="I73" s="6" t="s">
        <v>34</v>
      </c>
      <c r="K73" s="6" t="s">
        <v>36</v>
      </c>
      <c r="P73" s="6" t="s">
        <v>285</v>
      </c>
      <c r="Q73" s="6" t="s">
        <v>57</v>
      </c>
      <c r="S73" s="6" t="s">
        <v>97</v>
      </c>
      <c r="T73" s="6" t="s">
        <v>78</v>
      </c>
      <c r="AE73" s="6" t="s">
        <v>173</v>
      </c>
      <c r="AH73" s="6" t="s">
        <v>173</v>
      </c>
      <c r="AL73" s="6" t="s">
        <v>97</v>
      </c>
      <c r="AM73" s="6" t="s">
        <v>78</v>
      </c>
      <c r="AQ73" s="99" t="s">
        <v>57</v>
      </c>
      <c r="AR73" s="6" t="s">
        <v>57</v>
      </c>
      <c r="AU73" s="67" t="s">
        <v>57</v>
      </c>
    </row>
    <row r="74" spans="2:47" ht="15" hidden="1" customHeight="1">
      <c r="B74" s="7" t="s">
        <v>286</v>
      </c>
      <c r="C74" s="7">
        <v>4767142652</v>
      </c>
      <c r="D74" s="7" t="s">
        <v>54</v>
      </c>
      <c r="E74" s="7"/>
      <c r="F74" s="7"/>
      <c r="G74" s="8">
        <v>22550</v>
      </c>
      <c r="H74" s="7" t="s">
        <v>55</v>
      </c>
      <c r="I74" s="6" t="s">
        <v>34</v>
      </c>
      <c r="K74" s="6" t="s">
        <v>36</v>
      </c>
      <c r="P74" s="6" t="s">
        <v>261</v>
      </c>
      <c r="Q74" s="6" t="s">
        <v>57</v>
      </c>
      <c r="S74" s="6" t="s">
        <v>64</v>
      </c>
      <c r="T74" s="6" t="s">
        <v>137</v>
      </c>
      <c r="U74" s="6" t="s">
        <v>73</v>
      </c>
      <c r="V74" s="6" t="s">
        <v>93</v>
      </c>
      <c r="AE74" s="6" t="s">
        <v>81</v>
      </c>
      <c r="AH74" s="6" t="s">
        <v>81</v>
      </c>
      <c r="AL74" s="6" t="s">
        <v>64</v>
      </c>
      <c r="AM74" s="6" t="s">
        <v>137</v>
      </c>
      <c r="AQ74" s="99" t="s">
        <v>57</v>
      </c>
      <c r="AR74" s="6" t="s">
        <v>57</v>
      </c>
      <c r="AU74" s="67" t="s">
        <v>57</v>
      </c>
    </row>
    <row r="75" spans="2:47" ht="15" hidden="1" customHeight="1">
      <c r="B75" s="7" t="s">
        <v>287</v>
      </c>
      <c r="C75" s="7">
        <v>4382522943</v>
      </c>
      <c r="D75" s="7" t="s">
        <v>54</v>
      </c>
      <c r="E75" s="7"/>
      <c r="F75" s="7"/>
      <c r="G75" s="8">
        <v>16966</v>
      </c>
      <c r="H75" s="7" t="s">
        <v>55</v>
      </c>
      <c r="I75" s="6" t="s">
        <v>34</v>
      </c>
      <c r="L75" s="6" t="s">
        <v>36</v>
      </c>
      <c r="P75" s="6" t="s">
        <v>288</v>
      </c>
      <c r="Q75" s="6" t="s">
        <v>57</v>
      </c>
      <c r="S75" s="6" t="s">
        <v>92</v>
      </c>
      <c r="T75" s="6" t="s">
        <v>289</v>
      </c>
      <c r="U75" s="6" t="s">
        <v>73</v>
      </c>
      <c r="V75" s="6" t="s">
        <v>82</v>
      </c>
      <c r="W75" s="6" t="s">
        <v>113</v>
      </c>
      <c r="X75" s="6" t="s">
        <v>81</v>
      </c>
      <c r="AH75" s="6" t="s">
        <v>92</v>
      </c>
      <c r="AL75" s="6" t="s">
        <v>73</v>
      </c>
      <c r="AM75" s="6" t="s">
        <v>82</v>
      </c>
      <c r="AQ75" s="99" t="s">
        <v>57</v>
      </c>
      <c r="AR75" s="6" t="s">
        <v>57</v>
      </c>
      <c r="AU75" s="67" t="s">
        <v>57</v>
      </c>
    </row>
    <row r="76" spans="2:47" ht="15" hidden="1" customHeight="1">
      <c r="B76" s="7" t="s">
        <v>290</v>
      </c>
      <c r="C76" s="7">
        <v>4806967106</v>
      </c>
      <c r="D76" s="7" t="s">
        <v>54</v>
      </c>
      <c r="E76" s="7"/>
      <c r="F76" s="7"/>
      <c r="G76" s="8">
        <v>22615</v>
      </c>
      <c r="H76" s="7" t="s">
        <v>55</v>
      </c>
      <c r="I76" s="6" t="s">
        <v>34</v>
      </c>
      <c r="K76" s="6" t="s">
        <v>36</v>
      </c>
      <c r="P76" s="6" t="s">
        <v>291</v>
      </c>
      <c r="Q76" s="6" t="s">
        <v>57</v>
      </c>
      <c r="S76" s="6" t="s">
        <v>81</v>
      </c>
      <c r="T76" s="6" t="s">
        <v>93</v>
      </c>
      <c r="AD76" s="6" t="s">
        <v>73</v>
      </c>
      <c r="AE76" s="6" t="s">
        <v>92</v>
      </c>
      <c r="AH76" s="6" t="s">
        <v>92</v>
      </c>
      <c r="AL76" s="6" t="s">
        <v>81</v>
      </c>
      <c r="AM76" s="6" t="s">
        <v>93</v>
      </c>
      <c r="AQ76" s="99" t="s">
        <v>57</v>
      </c>
      <c r="AR76" s="6" t="s">
        <v>57</v>
      </c>
      <c r="AU76" s="67" t="s">
        <v>57</v>
      </c>
    </row>
    <row r="77" spans="2:47" ht="15" hidden="1" customHeight="1">
      <c r="B77" s="7" t="s">
        <v>292</v>
      </c>
      <c r="C77" s="7">
        <v>4583273231</v>
      </c>
      <c r="D77" s="7" t="s">
        <v>54</v>
      </c>
      <c r="E77" s="7"/>
      <c r="F77" s="7"/>
      <c r="G77" s="8">
        <v>20175</v>
      </c>
      <c r="H77" s="7" t="s">
        <v>55</v>
      </c>
      <c r="I77" s="6" t="s">
        <v>34</v>
      </c>
      <c r="K77" s="6" t="s">
        <v>36</v>
      </c>
      <c r="P77" s="6" t="s">
        <v>293</v>
      </c>
      <c r="Q77" s="6" t="s">
        <v>57</v>
      </c>
      <c r="S77" s="6" t="s">
        <v>92</v>
      </c>
      <c r="T77" s="6" t="s">
        <v>113</v>
      </c>
      <c r="AE77" s="6" t="s">
        <v>73</v>
      </c>
      <c r="AH77" s="6" t="s">
        <v>73</v>
      </c>
      <c r="AL77" s="6" t="s">
        <v>92</v>
      </c>
      <c r="AM77" s="6" t="s">
        <v>113</v>
      </c>
      <c r="AQ77" s="99" t="s">
        <v>57</v>
      </c>
      <c r="AR77" s="6" t="s">
        <v>57</v>
      </c>
      <c r="AU77" s="67" t="s">
        <v>57</v>
      </c>
    </row>
    <row r="78" spans="2:47" ht="15" hidden="1" customHeight="1">
      <c r="B78" s="7" t="s">
        <v>294</v>
      </c>
      <c r="C78" s="7">
        <v>4548497293</v>
      </c>
      <c r="D78" s="7" t="s">
        <v>54</v>
      </c>
      <c r="E78" s="7"/>
      <c r="F78" s="7"/>
      <c r="G78" s="8">
        <v>18883</v>
      </c>
      <c r="H78" s="7" t="s">
        <v>55</v>
      </c>
      <c r="I78" s="6" t="s">
        <v>34</v>
      </c>
      <c r="K78" s="6" t="s">
        <v>36</v>
      </c>
      <c r="P78" s="6" t="s">
        <v>295</v>
      </c>
      <c r="Q78" s="6" t="s">
        <v>57</v>
      </c>
      <c r="S78" s="6" t="s">
        <v>172</v>
      </c>
      <c r="T78" s="6" t="s">
        <v>173</v>
      </c>
      <c r="U78" s="6" t="s">
        <v>78</v>
      </c>
      <c r="AE78" s="6" t="s">
        <v>189</v>
      </c>
      <c r="AH78" s="6" t="s">
        <v>189</v>
      </c>
      <c r="AL78" s="6" t="s">
        <v>172</v>
      </c>
      <c r="AM78" s="6" t="s">
        <v>173</v>
      </c>
      <c r="AQ78" s="99" t="s">
        <v>57</v>
      </c>
      <c r="AR78" s="6" t="s">
        <v>57</v>
      </c>
      <c r="AU78" s="67" t="s">
        <v>57</v>
      </c>
    </row>
    <row r="79" spans="2:47" ht="15" hidden="1" customHeight="1">
      <c r="B79" s="7" t="s">
        <v>296</v>
      </c>
      <c r="C79" s="7">
        <v>4509148771</v>
      </c>
      <c r="D79" s="7" t="s">
        <v>54</v>
      </c>
      <c r="E79" s="7"/>
      <c r="F79" s="7"/>
      <c r="G79" s="8">
        <v>18179</v>
      </c>
      <c r="H79" s="7" t="s">
        <v>55</v>
      </c>
      <c r="I79" s="6" t="s">
        <v>34</v>
      </c>
      <c r="K79" s="6" t="s">
        <v>36</v>
      </c>
      <c r="P79" s="6" t="s">
        <v>297</v>
      </c>
      <c r="Q79" s="6" t="s">
        <v>57</v>
      </c>
      <c r="AE79" s="6" t="s">
        <v>81</v>
      </c>
      <c r="AQ79" s="67"/>
      <c r="AU79" s="67" t="s">
        <v>57</v>
      </c>
    </row>
    <row r="80" spans="2:47" ht="15" hidden="1" customHeight="1">
      <c r="B80" s="7" t="s">
        <v>298</v>
      </c>
      <c r="C80" s="7">
        <v>4508083838</v>
      </c>
      <c r="D80" s="7" t="s">
        <v>54</v>
      </c>
      <c r="E80" s="7"/>
      <c r="F80" s="7"/>
      <c r="G80" s="8">
        <v>17397</v>
      </c>
      <c r="H80" s="7" t="s">
        <v>55</v>
      </c>
      <c r="I80" s="6" t="s">
        <v>34</v>
      </c>
      <c r="K80" s="6" t="s">
        <v>36</v>
      </c>
      <c r="P80" s="6" t="s">
        <v>299</v>
      </c>
      <c r="Q80" s="6" t="s">
        <v>57</v>
      </c>
      <c r="S80" s="6" t="s">
        <v>137</v>
      </c>
      <c r="T80" s="6" t="s">
        <v>73</v>
      </c>
      <c r="U80" s="6" t="s">
        <v>92</v>
      </c>
      <c r="AD80" s="6" t="s">
        <v>81</v>
      </c>
      <c r="AE80" s="6" t="s">
        <v>64</v>
      </c>
      <c r="AH80" s="6" t="s">
        <v>64</v>
      </c>
      <c r="AL80" s="6" t="s">
        <v>137</v>
      </c>
      <c r="AM80" s="6" t="s">
        <v>73</v>
      </c>
      <c r="AQ80" s="99" t="s">
        <v>57</v>
      </c>
      <c r="AR80" s="6" t="s">
        <v>57</v>
      </c>
      <c r="AU80" s="67" t="s">
        <v>57</v>
      </c>
    </row>
    <row r="81" spans="1:47" ht="15" hidden="1" customHeight="1">
      <c r="B81" s="6" t="s">
        <v>300</v>
      </c>
      <c r="C81" s="108">
        <v>7056829619</v>
      </c>
      <c r="D81" s="7" t="s">
        <v>54</v>
      </c>
      <c r="E81" s="6" t="s">
        <v>301</v>
      </c>
      <c r="G81" s="9"/>
      <c r="I81" s="6" t="s">
        <v>34</v>
      </c>
      <c r="K81" s="6" t="s">
        <v>36</v>
      </c>
      <c r="P81" s="6" t="s">
        <v>302</v>
      </c>
      <c r="Q81" s="6" t="s">
        <v>57</v>
      </c>
      <c r="S81" s="6" t="s">
        <v>92</v>
      </c>
      <c r="T81" s="6" t="s">
        <v>93</v>
      </c>
      <c r="U81" s="6" t="s">
        <v>81</v>
      </c>
      <c r="V81" s="6" t="s">
        <v>73</v>
      </c>
      <c r="W81" s="6" t="s">
        <v>113</v>
      </c>
      <c r="AE81" s="6" t="s">
        <v>86</v>
      </c>
      <c r="AH81" s="6" t="s">
        <v>86</v>
      </c>
      <c r="AL81" s="6" t="s">
        <v>92</v>
      </c>
      <c r="AM81" s="6" t="s">
        <v>93</v>
      </c>
      <c r="AQ81" s="67" t="s">
        <v>57</v>
      </c>
      <c r="AU81" s="67"/>
    </row>
    <row r="82" spans="1:47" ht="15" customHeight="1">
      <c r="G82" s="9"/>
    </row>
    <row r="83" spans="1:47" ht="15" customHeight="1">
      <c r="A83" s="73">
        <f>COUNTA(Table1[Rejected])</f>
        <v>0</v>
      </c>
      <c r="B83" s="73">
        <f>COUNTA(Table1[Specimen number])</f>
        <v>77</v>
      </c>
      <c r="C83" s="73">
        <f>COUNTA(Table1[NHS numbers])</f>
        <v>77</v>
      </c>
      <c r="D83" s="73">
        <f>COUNTA(Table1[Tissue Pathway])</f>
        <v>77</v>
      </c>
      <c r="E83" s="73">
        <f>COUNTA(Table1[Specimen List Notes])</f>
        <v>1</v>
      </c>
      <c r="F83" s="73">
        <f>COUNTA(Table1[Patient Info Notes])</f>
        <v>0</v>
      </c>
      <c r="G83" s="73">
        <f>COUNTA(Table1[DOB])</f>
        <v>76</v>
      </c>
      <c r="H83" s="73">
        <f>COUNTA(Table1[Gender])</f>
        <v>76</v>
      </c>
      <c r="I83" s="73">
        <f>COUNTA(Table1[Dissent Y/N])</f>
        <v>77</v>
      </c>
      <c r="J83" s="73">
        <f>COUNTA(Table1[Consent])</f>
        <v>21</v>
      </c>
      <c r="K83" s="73">
        <f>COUNTA(Table1[Form Incomplete])</f>
        <v>43</v>
      </c>
      <c r="L83" s="73">
        <f>COUNTA(Table1[Form missing])</f>
        <v>13</v>
      </c>
      <c r="M83" s="73">
        <f>COUNTA(Table1[No. small slides from CellNass])</f>
        <v>0</v>
      </c>
      <c r="N83" s="73">
        <f>COUNTA(Table1[No. large slides from CellNass])</f>
        <v>0</v>
      </c>
      <c r="O83" s="73">
        <f>COUNTA(Table1[Total no. of slides recieved from CellNass])</f>
        <v>0</v>
      </c>
      <c r="P83" s="73">
        <f>COUNTA(Table1[Slides Collected])</f>
        <v>76</v>
      </c>
      <c r="Q83" s="73">
        <f>COUNTA(Table1[CoPath (SC)])</f>
        <v>75</v>
      </c>
      <c r="R83" s="73">
        <f>COUNTA(Table1[Slides Missing (if any…)])</f>
        <v>1</v>
      </c>
      <c r="S83" s="73">
        <f>COUNTA(Table1[P1])</f>
        <v>63</v>
      </c>
      <c r="T83" s="73">
        <f>COUNTA(Table1[P2])</f>
        <v>54</v>
      </c>
      <c r="U83" s="73">
        <f>COUNTA(Table1[P3])</f>
        <v>41</v>
      </c>
      <c r="V83" s="73">
        <f>COUNTA(Table1[P4])</f>
        <v>25</v>
      </c>
      <c r="W83" s="73">
        <f>COUNTA(Table1[P5])</f>
        <v>14</v>
      </c>
      <c r="X83" s="73">
        <f>COUNTA(Table1[M1])</f>
        <v>3</v>
      </c>
      <c r="Y83" s="73">
        <f>COUNTA(Table1[M2])</f>
        <v>1</v>
      </c>
      <c r="Z83" s="73">
        <f>COUNTA(Table1[M3])</f>
        <v>0</v>
      </c>
      <c r="AA83" s="73">
        <f>COUNTA(Table1[M4])</f>
        <v>0</v>
      </c>
      <c r="AB83" s="73">
        <f>COUNTA(Table1[M5])</f>
        <v>0</v>
      </c>
      <c r="AC83" s="73">
        <f>COUNTA(Table1[N])</f>
        <v>5</v>
      </c>
      <c r="AD83" s="73">
        <f>COUNTA(Table1[S])</f>
        <v>22</v>
      </c>
      <c r="AE83" s="73">
        <f>COUNTA(Table1[X])</f>
        <v>67</v>
      </c>
      <c r="AF83" s="73">
        <f>COUNTA(Table1[CoPath (SS)])</f>
        <v>0</v>
      </c>
      <c r="AG83" s="73">
        <f>COUNTA(Table1[Selected Slides Notes])</f>
        <v>5</v>
      </c>
      <c r="AH83" s="73">
        <f>COUNTA(Table1[X Blocks in Archive])</f>
        <v>63</v>
      </c>
      <c r="AI83" s="73">
        <f>COUNTA(Table1[X Blocks missing from Archive])</f>
        <v>1</v>
      </c>
      <c r="AJ83" s="73">
        <f>COUNTA(Table1[Blocks recieved from CellNass])</f>
        <v>0</v>
      </c>
      <c r="AK83" s="73">
        <f>COUNTA(Table1[Block Collection Notes])</f>
        <v>0</v>
      </c>
      <c r="AL83" s="73">
        <f>COUNTA(Table1[BP1])</f>
        <v>63</v>
      </c>
      <c r="AM83" s="73">
        <f>COUNTA(Table1[BP2])</f>
        <v>51</v>
      </c>
      <c r="AN83" s="73">
        <f>COUNTA(Table1[BM1])</f>
        <v>2</v>
      </c>
      <c r="AO83" s="73">
        <f>COUNTA(Table1[BM2])</f>
        <v>0</v>
      </c>
      <c r="AP83" s="73">
        <f>COUNTA(Table1[BN1])</f>
        <v>0</v>
      </c>
      <c r="AQ83" s="73">
        <f>COUNTA(Table1[CoPath (BC)])</f>
        <v>63</v>
      </c>
      <c r="AR83" s="73">
        <f>COUNTA(Table1[CoPath (Tristar)])</f>
        <v>62</v>
      </c>
      <c r="AS83" s="73">
        <f>COUNTA(Table1[Block Shipment Notes])</f>
        <v>0</v>
      </c>
      <c r="AT83" s="73">
        <f>COUNTA(Table1[Scanned?])</f>
        <v>0</v>
      </c>
      <c r="AU83" s="73">
        <f>COUNTA(Table1[CoPath (post scan)])</f>
        <v>74</v>
      </c>
    </row>
    <row r="84" spans="1:47" ht="15" customHeight="1">
      <c r="G84" s="9"/>
    </row>
    <row r="85" spans="1:47" ht="15" customHeight="1">
      <c r="G85" s="9"/>
    </row>
    <row r="86" spans="1:47" ht="15" customHeight="1">
      <c r="G86" s="9"/>
    </row>
    <row r="87" spans="1:47" ht="15" customHeight="1">
      <c r="G87" s="9"/>
    </row>
    <row r="88" spans="1:47" ht="15" customHeight="1">
      <c r="G88" s="9"/>
    </row>
    <row r="89" spans="1:47" ht="15" customHeight="1">
      <c r="G89" s="9"/>
    </row>
    <row r="90" spans="1:47" ht="15" customHeight="1">
      <c r="G90" s="9"/>
    </row>
    <row r="91" spans="1:47" ht="15" customHeight="1">
      <c r="G91" s="9"/>
    </row>
    <row r="92" spans="1:47" ht="15" customHeight="1">
      <c r="G92" s="9"/>
    </row>
  </sheetData>
  <mergeCells count="1">
    <mergeCell ref="AH1:AS1"/>
  </mergeCells>
  <conditionalFormatting sqref="A3:A4">
    <cfRule type="duplicateValues" dxfId="228" priority="1"/>
  </conditionalFormatting>
  <conditionalFormatting sqref="D83:AU83 B1:C1048576">
    <cfRule type="duplicateValues" dxfId="227" priority="2"/>
  </conditionalFormatting>
  <printOptions gridLines="1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FA3A-B761-479A-9650-B61EBE40BEDD}">
  <dimension ref="A1:AU160"/>
  <sheetViews>
    <sheetView zoomScale="90" zoomScaleNormal="90" workbookViewId="0">
      <pane xSplit="5" ySplit="4" topLeftCell="O62" activePane="bottomRight" state="frozen"/>
      <selection pane="bottomRight" activeCell="AO163" sqref="AO163"/>
      <selection pane="bottomLeft"/>
      <selection pane="topRight"/>
    </sheetView>
  </sheetViews>
  <sheetFormatPr defaultColWidth="9" defaultRowHeight="15" customHeight="1"/>
  <cols>
    <col min="1" max="1" width="9" style="6" customWidth="1"/>
    <col min="2" max="2" width="11" style="6" customWidth="1"/>
    <col min="3" max="3" width="11.5" style="6" customWidth="1"/>
    <col min="4" max="4" width="13" style="6" hidden="1" customWidth="1"/>
    <col min="5" max="5" width="9" style="6" hidden="1" customWidth="1"/>
    <col min="6" max="6" width="16.25" style="6" customWidth="1"/>
    <col min="7" max="7" width="17.25" style="6" bestFit="1" customWidth="1"/>
    <col min="8" max="8" width="9" style="6"/>
    <col min="9" max="9" width="13.625" style="6" bestFit="1" customWidth="1"/>
    <col min="10" max="10" width="9" style="6"/>
    <col min="11" max="12" width="13" style="6" bestFit="1" customWidth="1"/>
    <col min="13" max="15" width="19.875" style="6" customWidth="1"/>
    <col min="16" max="16" width="37.125" style="6" bestFit="1" customWidth="1"/>
    <col min="17" max="17" width="13.75" style="67" customWidth="1"/>
    <col min="18" max="18" width="24.375" style="6" customWidth="1"/>
    <col min="19" max="31" width="7.125" style="6" customWidth="1"/>
    <col min="32" max="32" width="13.625" style="6" hidden="1" customWidth="1"/>
    <col min="33" max="33" width="20.375" style="6" hidden="1" customWidth="1"/>
    <col min="34" max="34" width="12.125" style="6" customWidth="1"/>
    <col min="35" max="35" width="12" style="6" customWidth="1"/>
    <col min="36" max="36" width="19.875" style="6" hidden="1" customWidth="1"/>
    <col min="37" max="37" width="22.75" style="6" hidden="1" customWidth="1"/>
    <col min="38" max="42" width="9.625" style="6" customWidth="1"/>
    <col min="43" max="43" width="13.875" style="6" bestFit="1" customWidth="1"/>
    <col min="44" max="44" width="15.5" style="6" customWidth="1"/>
    <col min="45" max="45" width="9" style="6"/>
    <col min="46" max="46" width="11.5" style="6" bestFit="1" customWidth="1"/>
    <col min="47" max="47" width="19.875" style="6" bestFit="1" customWidth="1"/>
    <col min="48" max="16384" width="9" style="6"/>
  </cols>
  <sheetData>
    <row r="1" spans="1:47" s="11" customFormat="1" ht="21">
      <c r="A1" s="10"/>
      <c r="B1" s="11" t="s">
        <v>0</v>
      </c>
      <c r="Q1" s="79"/>
      <c r="AH1" s="110" t="s">
        <v>1</v>
      </c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</row>
    <row r="2" spans="1:47" ht="12.75"/>
    <row r="3" spans="1:47" s="11" customFormat="1" ht="21.75" customHeight="1">
      <c r="A3" s="35"/>
      <c r="B3" s="36"/>
      <c r="C3" s="36"/>
      <c r="D3" s="36"/>
      <c r="E3" s="69"/>
      <c r="F3" s="45"/>
      <c r="G3" s="45" t="s">
        <v>2</v>
      </c>
      <c r="H3" s="46"/>
      <c r="I3" s="47"/>
      <c r="J3" s="48"/>
      <c r="K3" s="48" t="s">
        <v>3</v>
      </c>
      <c r="L3" s="49"/>
      <c r="M3" s="28"/>
      <c r="N3" s="28"/>
      <c r="O3" s="32"/>
      <c r="P3" s="37"/>
      <c r="Q3" s="12"/>
      <c r="R3" s="12"/>
      <c r="S3" s="37" t="s">
        <v>4</v>
      </c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12"/>
      <c r="AG3" s="12"/>
      <c r="AH3" s="13"/>
      <c r="AI3" s="14"/>
      <c r="AJ3" s="34"/>
      <c r="AK3" s="14"/>
      <c r="AL3" s="14" t="s">
        <v>5</v>
      </c>
      <c r="AM3" s="14"/>
      <c r="AN3" s="14"/>
      <c r="AO3" s="14"/>
      <c r="AP3" s="14"/>
      <c r="AQ3" s="14"/>
      <c r="AR3" s="14"/>
      <c r="AS3" s="41"/>
      <c r="AT3" s="39"/>
      <c r="AU3" s="30"/>
    </row>
    <row r="4" spans="1:47" s="11" customFormat="1" ht="31.5" customHeight="1">
      <c r="A4" s="43" t="s">
        <v>6</v>
      </c>
      <c r="B4" s="44" t="s">
        <v>7</v>
      </c>
      <c r="C4" s="44" t="s">
        <v>8</v>
      </c>
      <c r="D4" s="44" t="s">
        <v>9</v>
      </c>
      <c r="E4" s="70" t="s">
        <v>10</v>
      </c>
      <c r="F4" s="15" t="s">
        <v>11</v>
      </c>
      <c r="G4" s="15" t="s">
        <v>12</v>
      </c>
      <c r="H4" s="16" t="s">
        <v>13</v>
      </c>
      <c r="I4" s="18" t="s">
        <v>14</v>
      </c>
      <c r="J4" s="17" t="s">
        <v>15</v>
      </c>
      <c r="K4" s="18" t="s">
        <v>16</v>
      </c>
      <c r="L4" s="19" t="s">
        <v>17</v>
      </c>
      <c r="M4" s="29" t="s">
        <v>18</v>
      </c>
      <c r="N4" s="29" t="s">
        <v>19</v>
      </c>
      <c r="O4" s="33" t="s">
        <v>20</v>
      </c>
      <c r="P4" s="38" t="s">
        <v>21</v>
      </c>
      <c r="Q4" s="20" t="s">
        <v>22</v>
      </c>
      <c r="R4" s="20" t="s">
        <v>23</v>
      </c>
      <c r="S4" s="20" t="s">
        <v>24</v>
      </c>
      <c r="T4" s="20" t="s">
        <v>25</v>
      </c>
      <c r="U4" s="20" t="s">
        <v>26</v>
      </c>
      <c r="V4" s="20" t="s">
        <v>27</v>
      </c>
      <c r="W4" s="20" t="s">
        <v>28</v>
      </c>
      <c r="X4" s="20" t="s">
        <v>29</v>
      </c>
      <c r="Y4" s="20" t="s">
        <v>30</v>
      </c>
      <c r="Z4" s="20" t="s">
        <v>31</v>
      </c>
      <c r="AA4" s="20" t="s">
        <v>32</v>
      </c>
      <c r="AB4" s="20" t="s">
        <v>33</v>
      </c>
      <c r="AC4" s="20" t="s">
        <v>34</v>
      </c>
      <c r="AD4" s="20" t="s">
        <v>35</v>
      </c>
      <c r="AE4" s="20" t="s">
        <v>36</v>
      </c>
      <c r="AF4" s="20" t="s">
        <v>37</v>
      </c>
      <c r="AG4" s="20" t="s">
        <v>38</v>
      </c>
      <c r="AH4" s="21" t="s">
        <v>39</v>
      </c>
      <c r="AI4" s="22" t="s">
        <v>40</v>
      </c>
      <c r="AJ4" s="22" t="s">
        <v>41</v>
      </c>
      <c r="AK4" s="22" t="s">
        <v>42</v>
      </c>
      <c r="AL4" s="23" t="s">
        <v>43</v>
      </c>
      <c r="AM4" s="23" t="s">
        <v>44</v>
      </c>
      <c r="AN4" s="23" t="s">
        <v>45</v>
      </c>
      <c r="AO4" s="23" t="s">
        <v>46</v>
      </c>
      <c r="AP4" s="23" t="s">
        <v>47</v>
      </c>
      <c r="AQ4" s="23" t="s">
        <v>48</v>
      </c>
      <c r="AR4" s="23" t="s">
        <v>49</v>
      </c>
      <c r="AS4" s="42" t="s">
        <v>50</v>
      </c>
      <c r="AT4" s="40" t="s">
        <v>51</v>
      </c>
      <c r="AU4" s="31" t="s">
        <v>52</v>
      </c>
    </row>
    <row r="5" spans="1:47" ht="15" customHeight="1">
      <c r="B5" s="7" t="s">
        <v>303</v>
      </c>
      <c r="C5" s="7">
        <v>4861781426</v>
      </c>
      <c r="D5" s="7"/>
      <c r="E5" s="7"/>
      <c r="F5" s="7"/>
      <c r="G5" s="8">
        <v>22328</v>
      </c>
      <c r="H5" s="7" t="s">
        <v>55</v>
      </c>
      <c r="I5" s="6" t="s">
        <v>34</v>
      </c>
      <c r="K5" s="6" t="s">
        <v>36</v>
      </c>
      <c r="P5" s="6" t="s">
        <v>304</v>
      </c>
      <c r="Q5" s="67" t="s">
        <v>57</v>
      </c>
      <c r="S5" s="6" t="s">
        <v>76</v>
      </c>
      <c r="T5" s="6" t="s">
        <v>113</v>
      </c>
      <c r="U5" s="6" t="s">
        <v>149</v>
      </c>
      <c r="V5" s="6" t="s">
        <v>160</v>
      </c>
      <c r="W5" s="6" t="s">
        <v>305</v>
      </c>
      <c r="AD5" s="6" t="s">
        <v>156</v>
      </c>
      <c r="AE5" s="6" t="s">
        <v>151</v>
      </c>
      <c r="AH5" s="6" t="s">
        <v>151</v>
      </c>
      <c r="AL5" s="6" t="s">
        <v>76</v>
      </c>
      <c r="AM5" s="6" t="s">
        <v>113</v>
      </c>
      <c r="AQ5" s="100" t="s">
        <v>57</v>
      </c>
      <c r="AR5" s="6" t="s">
        <v>57</v>
      </c>
      <c r="AU5" s="67" t="s">
        <v>57</v>
      </c>
    </row>
    <row r="6" spans="1:47" ht="15" customHeight="1">
      <c r="B6" s="7" t="s">
        <v>306</v>
      </c>
      <c r="C6" s="7">
        <v>4582470181</v>
      </c>
      <c r="D6" s="7"/>
      <c r="E6" s="7"/>
      <c r="F6" s="7"/>
      <c r="G6" s="8">
        <v>19750</v>
      </c>
      <c r="H6" s="7" t="s">
        <v>55</v>
      </c>
      <c r="I6" s="6" t="s">
        <v>34</v>
      </c>
      <c r="L6" s="6" t="s">
        <v>36</v>
      </c>
      <c r="P6" s="6" t="s">
        <v>307</v>
      </c>
      <c r="Q6" s="67" t="s">
        <v>57</v>
      </c>
      <c r="S6" s="6" t="s">
        <v>73</v>
      </c>
      <c r="T6" s="6" t="s">
        <v>92</v>
      </c>
      <c r="U6" s="6" t="s">
        <v>82</v>
      </c>
      <c r="AD6" s="6" t="s">
        <v>308</v>
      </c>
      <c r="AE6" s="6" t="s">
        <v>72</v>
      </c>
      <c r="AH6" s="6" t="s">
        <v>72</v>
      </c>
      <c r="AL6" s="6" t="s">
        <v>73</v>
      </c>
      <c r="AM6" s="6" t="s">
        <v>92</v>
      </c>
      <c r="AQ6" s="100" t="s">
        <v>57</v>
      </c>
      <c r="AR6" s="6" t="s">
        <v>57</v>
      </c>
      <c r="AU6" s="67" t="s">
        <v>57</v>
      </c>
    </row>
    <row r="7" spans="1:47" ht="15" customHeight="1">
      <c r="B7" s="7" t="s">
        <v>309</v>
      </c>
      <c r="C7" s="7">
        <v>7054834364</v>
      </c>
      <c r="D7" s="7"/>
      <c r="E7" s="7"/>
      <c r="F7" s="7"/>
      <c r="G7" s="8">
        <v>23236</v>
      </c>
      <c r="H7" s="7" t="s">
        <v>55</v>
      </c>
      <c r="I7" s="6" t="s">
        <v>34</v>
      </c>
      <c r="L7" s="6" t="s">
        <v>36</v>
      </c>
      <c r="P7" s="6" t="s">
        <v>310</v>
      </c>
      <c r="Q7" s="67" t="s">
        <v>57</v>
      </c>
      <c r="S7" s="6" t="s">
        <v>72</v>
      </c>
      <c r="T7" s="6" t="s">
        <v>172</v>
      </c>
      <c r="U7" s="6" t="s">
        <v>189</v>
      </c>
      <c r="V7" s="6" t="s">
        <v>71</v>
      </c>
      <c r="W7" s="6" t="s">
        <v>311</v>
      </c>
      <c r="X7" s="6" t="s">
        <v>312</v>
      </c>
      <c r="AD7" s="6" t="s">
        <v>212</v>
      </c>
      <c r="AE7" s="6" t="s">
        <v>79</v>
      </c>
      <c r="AH7" s="6" t="s">
        <v>79</v>
      </c>
      <c r="AL7" s="6" t="s">
        <v>72</v>
      </c>
      <c r="AN7" s="6" t="s">
        <v>312</v>
      </c>
      <c r="AQ7" s="100" t="s">
        <v>57</v>
      </c>
      <c r="AR7" s="6" t="s">
        <v>57</v>
      </c>
      <c r="AU7" s="67" t="s">
        <v>57</v>
      </c>
    </row>
    <row r="8" spans="1:47" ht="15" customHeight="1">
      <c r="B8" s="7" t="s">
        <v>313</v>
      </c>
      <c r="C8" s="7">
        <v>6355489231</v>
      </c>
      <c r="D8" s="7"/>
      <c r="E8" s="7"/>
      <c r="F8" s="7"/>
      <c r="G8" s="8">
        <v>19203</v>
      </c>
      <c r="H8" s="7" t="s">
        <v>55</v>
      </c>
      <c r="I8" s="6" t="s">
        <v>34</v>
      </c>
      <c r="K8" s="6" t="s">
        <v>36</v>
      </c>
      <c r="P8" s="6" t="s">
        <v>314</v>
      </c>
      <c r="Q8" s="67" t="s">
        <v>57</v>
      </c>
      <c r="AE8" s="6" t="s">
        <v>173</v>
      </c>
      <c r="AU8" s="67" t="s">
        <v>57</v>
      </c>
    </row>
    <row r="9" spans="1:47" ht="12.75">
      <c r="B9" s="7" t="s">
        <v>315</v>
      </c>
      <c r="C9" s="7">
        <v>4382477417</v>
      </c>
      <c r="D9" s="7"/>
      <c r="E9" s="7"/>
      <c r="G9" s="8">
        <v>16395</v>
      </c>
      <c r="H9" s="7" t="s">
        <v>55</v>
      </c>
      <c r="I9" s="6" t="s">
        <v>34</v>
      </c>
      <c r="K9" s="6" t="s">
        <v>36</v>
      </c>
      <c r="P9" s="6" t="s">
        <v>316</v>
      </c>
      <c r="Q9" s="67" t="s">
        <v>57</v>
      </c>
      <c r="S9" s="6" t="s">
        <v>73</v>
      </c>
      <c r="T9" s="6" t="s">
        <v>64</v>
      </c>
      <c r="U9" s="6" t="s">
        <v>116</v>
      </c>
      <c r="AE9" s="6" t="s">
        <v>81</v>
      </c>
      <c r="AH9" s="6" t="s">
        <v>81</v>
      </c>
      <c r="AL9" s="6" t="s">
        <v>73</v>
      </c>
      <c r="AM9" s="6" t="s">
        <v>64</v>
      </c>
      <c r="AQ9" s="100" t="s">
        <v>57</v>
      </c>
      <c r="AR9" s="6" t="s">
        <v>57</v>
      </c>
      <c r="AU9" s="67" t="s">
        <v>57</v>
      </c>
    </row>
    <row r="10" spans="1:47" s="75" customFormat="1" ht="12.75" customHeight="1">
      <c r="A10" s="75" t="s">
        <v>317</v>
      </c>
      <c r="B10" s="76" t="s">
        <v>318</v>
      </c>
      <c r="C10" s="76"/>
      <c r="D10" s="76"/>
      <c r="E10" s="76"/>
      <c r="F10" s="76"/>
      <c r="G10" s="77">
        <v>19793</v>
      </c>
      <c r="H10" s="76" t="s">
        <v>55</v>
      </c>
    </row>
    <row r="11" spans="1:47" ht="15" customHeight="1">
      <c r="B11" s="6" t="s">
        <v>319</v>
      </c>
      <c r="C11" s="6">
        <v>6250915834</v>
      </c>
      <c r="D11" s="7"/>
      <c r="G11" s="72">
        <v>25516</v>
      </c>
      <c r="H11" s="6" t="s">
        <v>55</v>
      </c>
      <c r="I11" s="6" t="s">
        <v>34</v>
      </c>
      <c r="J11" s="6" t="s">
        <v>36</v>
      </c>
      <c r="P11" s="6" t="s">
        <v>320</v>
      </c>
      <c r="Q11" s="67" t="s">
        <v>57</v>
      </c>
      <c r="S11" s="6" t="s">
        <v>89</v>
      </c>
      <c r="T11" s="6" t="s">
        <v>72</v>
      </c>
      <c r="U11" s="6" t="s">
        <v>113</v>
      </c>
      <c r="V11" s="6" t="s">
        <v>79</v>
      </c>
      <c r="W11" s="6" t="s">
        <v>321</v>
      </c>
      <c r="X11" s="6" t="s">
        <v>322</v>
      </c>
      <c r="Y11" s="6" t="s">
        <v>256</v>
      </c>
      <c r="AD11" s="6" t="s">
        <v>323</v>
      </c>
      <c r="AE11" s="6" t="s">
        <v>324</v>
      </c>
      <c r="AH11" s="6" t="s">
        <v>324</v>
      </c>
      <c r="AL11" s="6" t="s">
        <v>89</v>
      </c>
      <c r="AN11" s="6" t="s">
        <v>322</v>
      </c>
      <c r="AQ11" s="100" t="s">
        <v>57</v>
      </c>
      <c r="AR11" s="6" t="s">
        <v>57</v>
      </c>
      <c r="AU11" s="67" t="s">
        <v>57</v>
      </c>
    </row>
    <row r="12" spans="1:47" ht="15" customHeight="1">
      <c r="B12" s="7" t="s">
        <v>325</v>
      </c>
      <c r="C12" s="7">
        <v>4561326561</v>
      </c>
      <c r="D12" s="7"/>
      <c r="E12" s="7"/>
      <c r="F12" s="7"/>
      <c r="G12" s="8">
        <v>18328</v>
      </c>
      <c r="H12" s="7" t="s">
        <v>55</v>
      </c>
      <c r="I12" s="6" t="s">
        <v>34</v>
      </c>
      <c r="K12" s="6" t="s">
        <v>36</v>
      </c>
      <c r="P12" s="6" t="s">
        <v>326</v>
      </c>
      <c r="Q12" s="67" t="s">
        <v>57</v>
      </c>
      <c r="S12" s="6" t="s">
        <v>124</v>
      </c>
      <c r="T12" s="6" t="s">
        <v>85</v>
      </c>
      <c r="U12" s="6" t="s">
        <v>173</v>
      </c>
      <c r="V12" s="6" t="s">
        <v>97</v>
      </c>
      <c r="AD12" s="6" t="s">
        <v>93</v>
      </c>
      <c r="AE12" s="6" t="s">
        <v>67</v>
      </c>
      <c r="AH12" s="6" t="s">
        <v>67</v>
      </c>
      <c r="AL12" s="6" t="s">
        <v>124</v>
      </c>
      <c r="AM12" s="6" t="s">
        <v>85</v>
      </c>
      <c r="AQ12" s="100" t="s">
        <v>57</v>
      </c>
      <c r="AR12" s="6" t="s">
        <v>57</v>
      </c>
      <c r="AU12" s="67" t="s">
        <v>57</v>
      </c>
    </row>
    <row r="13" spans="1:47" ht="15" customHeight="1">
      <c r="B13" s="7" t="s">
        <v>327</v>
      </c>
      <c r="C13" s="7">
        <v>4309093671</v>
      </c>
      <c r="D13" s="7"/>
      <c r="E13" s="7"/>
      <c r="F13" s="7"/>
      <c r="G13" s="8">
        <v>15332</v>
      </c>
      <c r="H13" s="7" t="s">
        <v>55</v>
      </c>
      <c r="I13" s="6" t="s">
        <v>34</v>
      </c>
      <c r="K13" s="6" t="s">
        <v>36</v>
      </c>
      <c r="P13" s="6" t="s">
        <v>328</v>
      </c>
      <c r="Q13" s="67" t="s">
        <v>57</v>
      </c>
      <c r="S13" s="6" t="s">
        <v>137</v>
      </c>
      <c r="T13" s="6" t="s">
        <v>116</v>
      </c>
      <c r="U13" s="6" t="s">
        <v>58</v>
      </c>
      <c r="V13" s="6" t="s">
        <v>64</v>
      </c>
      <c r="AE13" s="6" t="s">
        <v>81</v>
      </c>
      <c r="AH13" s="6" t="s">
        <v>81</v>
      </c>
      <c r="AL13" s="6" t="s">
        <v>137</v>
      </c>
      <c r="AM13" s="6" t="s">
        <v>116</v>
      </c>
      <c r="AQ13" s="100" t="s">
        <v>57</v>
      </c>
      <c r="AR13" s="6" t="s">
        <v>57</v>
      </c>
      <c r="AU13" s="67" t="s">
        <v>57</v>
      </c>
    </row>
    <row r="14" spans="1:47" s="75" customFormat="1" ht="15" customHeight="1">
      <c r="A14" s="75" t="s">
        <v>317</v>
      </c>
      <c r="B14" s="76" t="s">
        <v>329</v>
      </c>
      <c r="C14" s="76"/>
      <c r="D14" s="76"/>
      <c r="E14" s="76"/>
      <c r="F14" s="76"/>
      <c r="G14" s="77">
        <v>20798</v>
      </c>
      <c r="H14" s="76" t="s">
        <v>55</v>
      </c>
    </row>
    <row r="15" spans="1:47" ht="15" customHeight="1">
      <c r="B15" s="7" t="s">
        <v>330</v>
      </c>
      <c r="C15" s="7">
        <v>4583577834</v>
      </c>
      <c r="D15" s="7"/>
      <c r="E15" s="7"/>
      <c r="F15" s="7"/>
      <c r="G15" s="8">
        <v>20602</v>
      </c>
      <c r="H15" s="7" t="s">
        <v>55</v>
      </c>
      <c r="I15" s="6" t="s">
        <v>34</v>
      </c>
      <c r="K15" s="6" t="s">
        <v>36</v>
      </c>
      <c r="P15" s="6" t="s">
        <v>331</v>
      </c>
      <c r="Q15" s="67" t="s">
        <v>57</v>
      </c>
      <c r="S15" s="6" t="s">
        <v>113</v>
      </c>
      <c r="T15" s="6" t="s">
        <v>79</v>
      </c>
      <c r="U15" s="6" t="s">
        <v>82</v>
      </c>
      <c r="V15" s="6" t="s">
        <v>72</v>
      </c>
      <c r="AD15" s="6" t="s">
        <v>332</v>
      </c>
      <c r="AE15" s="6" t="s">
        <v>76</v>
      </c>
      <c r="AH15" s="6" t="s">
        <v>76</v>
      </c>
      <c r="AL15" s="6" t="s">
        <v>113</v>
      </c>
      <c r="AM15" s="6" t="s">
        <v>79</v>
      </c>
      <c r="AQ15" s="100" t="s">
        <v>57</v>
      </c>
      <c r="AR15" s="6" t="s">
        <v>57</v>
      </c>
      <c r="AU15" s="67" t="s">
        <v>57</v>
      </c>
    </row>
    <row r="16" spans="1:47" ht="15" customHeight="1">
      <c r="B16" s="7" t="s">
        <v>333</v>
      </c>
      <c r="C16" s="7">
        <v>4367463117</v>
      </c>
      <c r="D16" s="7"/>
      <c r="E16" s="7"/>
      <c r="F16" s="7"/>
      <c r="G16" s="8">
        <v>14451</v>
      </c>
      <c r="H16" s="7" t="s">
        <v>55</v>
      </c>
      <c r="I16" s="6" t="s">
        <v>34</v>
      </c>
      <c r="K16" s="6" t="s">
        <v>36</v>
      </c>
      <c r="P16" s="6" t="s">
        <v>334</v>
      </c>
      <c r="Q16" s="67" t="s">
        <v>57</v>
      </c>
      <c r="S16" s="6" t="s">
        <v>97</v>
      </c>
      <c r="T16" s="6" t="s">
        <v>124</v>
      </c>
      <c r="U16" s="6" t="s">
        <v>173</v>
      </c>
      <c r="AE16" s="6" t="s">
        <v>96</v>
      </c>
      <c r="AH16" s="6" t="s">
        <v>96</v>
      </c>
      <c r="AL16" s="6" t="s">
        <v>97</v>
      </c>
      <c r="AM16" s="6" t="s">
        <v>124</v>
      </c>
      <c r="AQ16" s="100" t="s">
        <v>57</v>
      </c>
      <c r="AR16" s="6" t="s">
        <v>57</v>
      </c>
      <c r="AU16" s="67" t="s">
        <v>57</v>
      </c>
    </row>
    <row r="17" spans="1:47" ht="15" customHeight="1">
      <c r="B17" s="7" t="s">
        <v>335</v>
      </c>
      <c r="C17" s="7">
        <v>4667212519</v>
      </c>
      <c r="D17" s="7"/>
      <c r="E17" s="7"/>
      <c r="F17" s="7"/>
      <c r="G17" s="8">
        <v>18952</v>
      </c>
      <c r="H17" s="7" t="s">
        <v>55</v>
      </c>
      <c r="I17" s="6" t="s">
        <v>34</v>
      </c>
      <c r="K17" s="6" t="s">
        <v>36</v>
      </c>
      <c r="P17" s="6" t="s">
        <v>336</v>
      </c>
      <c r="Q17" s="67" t="s">
        <v>57</v>
      </c>
      <c r="S17" s="6" t="s">
        <v>86</v>
      </c>
      <c r="T17" s="6" t="s">
        <v>97</v>
      </c>
      <c r="U17" s="6" t="s">
        <v>89</v>
      </c>
      <c r="V17" s="6" t="s">
        <v>67</v>
      </c>
      <c r="AE17" s="6" t="s">
        <v>105</v>
      </c>
      <c r="AH17" s="6" t="s">
        <v>105</v>
      </c>
      <c r="AL17" s="6" t="s">
        <v>86</v>
      </c>
      <c r="AM17" s="6" t="s">
        <v>97</v>
      </c>
      <c r="AQ17" s="100" t="s">
        <v>57</v>
      </c>
      <c r="AR17" s="6" t="s">
        <v>57</v>
      </c>
      <c r="AU17" s="67" t="s">
        <v>57</v>
      </c>
    </row>
    <row r="18" spans="1:47" ht="15" customHeight="1">
      <c r="B18" s="7" t="s">
        <v>337</v>
      </c>
      <c r="C18" s="7">
        <v>4343023052</v>
      </c>
      <c r="D18" s="7"/>
      <c r="E18" s="7"/>
      <c r="F18" s="7"/>
      <c r="G18" s="8">
        <v>12722</v>
      </c>
      <c r="H18" s="7" t="s">
        <v>55</v>
      </c>
      <c r="I18" s="6" t="s">
        <v>34</v>
      </c>
      <c r="J18" s="6" t="s">
        <v>36</v>
      </c>
      <c r="P18" s="6" t="s">
        <v>338</v>
      </c>
      <c r="Q18" s="67" t="s">
        <v>57</v>
      </c>
      <c r="S18" s="6" t="s">
        <v>137</v>
      </c>
      <c r="AD18" s="6" t="s">
        <v>64</v>
      </c>
      <c r="AE18" s="6" t="s">
        <v>81</v>
      </c>
      <c r="AH18" s="6" t="s">
        <v>81</v>
      </c>
      <c r="AL18" s="6" t="s">
        <v>137</v>
      </c>
      <c r="AQ18" s="100" t="s">
        <v>57</v>
      </c>
      <c r="AR18" s="6" t="s">
        <v>57</v>
      </c>
      <c r="AU18" s="67" t="s">
        <v>57</v>
      </c>
    </row>
    <row r="19" spans="1:47" s="75" customFormat="1" ht="15" customHeight="1">
      <c r="A19" s="75" t="s">
        <v>317</v>
      </c>
      <c r="B19" s="76" t="s">
        <v>339</v>
      </c>
      <c r="C19" s="76"/>
      <c r="D19" s="76"/>
      <c r="E19" s="76"/>
      <c r="F19" s="76"/>
      <c r="G19" s="77">
        <v>16742</v>
      </c>
      <c r="H19" s="76" t="s">
        <v>55</v>
      </c>
    </row>
    <row r="20" spans="1:47" ht="15" customHeight="1">
      <c r="B20" s="7" t="s">
        <v>340</v>
      </c>
      <c r="C20" s="7">
        <v>4509412827</v>
      </c>
      <c r="D20" s="7"/>
      <c r="E20" s="7"/>
      <c r="F20" s="7"/>
      <c r="G20" s="8">
        <v>18110</v>
      </c>
      <c r="H20" s="7" t="s">
        <v>55</v>
      </c>
      <c r="I20" s="6" t="s">
        <v>34</v>
      </c>
      <c r="K20" s="6" t="s">
        <v>36</v>
      </c>
      <c r="P20" s="6" t="s">
        <v>341</v>
      </c>
      <c r="Q20" s="67" t="s">
        <v>57</v>
      </c>
      <c r="S20" s="6" t="s">
        <v>59</v>
      </c>
      <c r="T20" s="6" t="s">
        <v>173</v>
      </c>
      <c r="U20" s="6" t="s">
        <v>78</v>
      </c>
      <c r="V20" s="6" t="s">
        <v>172</v>
      </c>
      <c r="W20" s="6" t="s">
        <v>342</v>
      </c>
      <c r="AD20" s="6" t="s">
        <v>64</v>
      </c>
      <c r="AE20" s="6" t="s">
        <v>60</v>
      </c>
      <c r="AH20" s="6" t="s">
        <v>60</v>
      </c>
      <c r="AL20" s="6" t="s">
        <v>59</v>
      </c>
      <c r="AM20" s="6" t="s">
        <v>173</v>
      </c>
      <c r="AQ20" s="100" t="s">
        <v>57</v>
      </c>
      <c r="AR20" s="6" t="s">
        <v>57</v>
      </c>
      <c r="AU20" s="67" t="s">
        <v>57</v>
      </c>
    </row>
    <row r="21" spans="1:47" s="75" customFormat="1" ht="15" customHeight="1">
      <c r="A21" s="75" t="s">
        <v>317</v>
      </c>
      <c r="B21" s="76" t="s">
        <v>343</v>
      </c>
      <c r="C21" s="76"/>
      <c r="D21" s="76"/>
      <c r="E21" s="76"/>
      <c r="F21" s="76"/>
      <c r="G21" s="77">
        <v>21405</v>
      </c>
      <c r="H21" s="76" t="s">
        <v>55</v>
      </c>
    </row>
    <row r="22" spans="1:47" ht="15" customHeight="1">
      <c r="B22" s="7" t="s">
        <v>344</v>
      </c>
      <c r="C22" s="7">
        <v>6230743809</v>
      </c>
      <c r="D22" s="7"/>
      <c r="E22" s="7"/>
      <c r="F22" s="7"/>
      <c r="G22" s="8">
        <v>16610</v>
      </c>
      <c r="H22" s="7" t="s">
        <v>55</v>
      </c>
      <c r="I22" s="6" t="s">
        <v>34</v>
      </c>
      <c r="K22" s="6" t="s">
        <v>36</v>
      </c>
      <c r="P22" s="6" t="s">
        <v>345</v>
      </c>
      <c r="Q22" s="67" t="s">
        <v>57</v>
      </c>
      <c r="S22" s="6" t="s">
        <v>67</v>
      </c>
      <c r="AD22" s="6" t="s">
        <v>346</v>
      </c>
      <c r="AE22" s="6" t="s">
        <v>68</v>
      </c>
      <c r="AH22" s="6" t="s">
        <v>68</v>
      </c>
      <c r="AL22" s="6" t="s">
        <v>67</v>
      </c>
      <c r="AQ22" s="100" t="s">
        <v>57</v>
      </c>
      <c r="AR22" s="6" t="s">
        <v>57</v>
      </c>
      <c r="AU22" s="67" t="s">
        <v>57</v>
      </c>
    </row>
    <row r="23" spans="1:47" s="75" customFormat="1" ht="15" customHeight="1">
      <c r="A23" s="75" t="s">
        <v>317</v>
      </c>
      <c r="B23" s="76" t="s">
        <v>347</v>
      </c>
      <c r="C23" s="76"/>
      <c r="D23" s="76"/>
      <c r="E23" s="76"/>
      <c r="F23" s="76"/>
      <c r="G23" s="77">
        <v>19745</v>
      </c>
      <c r="H23" s="76" t="s">
        <v>55</v>
      </c>
    </row>
    <row r="24" spans="1:47" s="75" customFormat="1" ht="15" customHeight="1">
      <c r="A24" s="75" t="s">
        <v>317</v>
      </c>
      <c r="B24" s="76" t="s">
        <v>348</v>
      </c>
      <c r="C24" s="76"/>
      <c r="D24" s="76"/>
      <c r="E24" s="76"/>
      <c r="F24" s="76"/>
      <c r="G24" s="77">
        <v>26147</v>
      </c>
      <c r="H24" s="76" t="s">
        <v>55</v>
      </c>
    </row>
    <row r="25" spans="1:47" s="75" customFormat="1" ht="15" customHeight="1">
      <c r="A25" s="75" t="s">
        <v>317</v>
      </c>
      <c r="B25" s="76" t="s">
        <v>349</v>
      </c>
      <c r="C25" s="76">
        <v>4125137021</v>
      </c>
      <c r="D25" s="7"/>
      <c r="E25" s="7"/>
      <c r="F25" s="76"/>
      <c r="G25" s="77">
        <v>26000</v>
      </c>
      <c r="H25" s="76" t="s">
        <v>55</v>
      </c>
      <c r="I25" s="75" t="s">
        <v>34</v>
      </c>
      <c r="J25" s="75" t="s">
        <v>36</v>
      </c>
      <c r="P25" s="75" t="s">
        <v>350</v>
      </c>
      <c r="Q25" s="80" t="s">
        <v>57</v>
      </c>
      <c r="AU25" s="80" t="s">
        <v>57</v>
      </c>
    </row>
    <row r="26" spans="1:47" s="75" customFormat="1" ht="15" customHeight="1">
      <c r="A26" s="75" t="s">
        <v>317</v>
      </c>
      <c r="B26" s="76" t="s">
        <v>351</v>
      </c>
      <c r="C26" s="76"/>
      <c r="D26" s="76"/>
      <c r="E26" s="76"/>
      <c r="F26" s="76"/>
      <c r="G26" s="77">
        <v>24778</v>
      </c>
      <c r="H26" s="76" t="s">
        <v>55</v>
      </c>
    </row>
    <row r="27" spans="1:47" ht="15" customHeight="1">
      <c r="B27" s="7" t="s">
        <v>352</v>
      </c>
      <c r="C27" s="7">
        <v>4644451835</v>
      </c>
      <c r="D27" s="7"/>
      <c r="E27" s="7"/>
      <c r="F27" s="7"/>
      <c r="G27" s="8">
        <v>13493</v>
      </c>
      <c r="H27" s="7" t="s">
        <v>55</v>
      </c>
      <c r="I27" s="6" t="s">
        <v>34</v>
      </c>
      <c r="K27" s="6" t="s">
        <v>36</v>
      </c>
      <c r="P27" s="6" t="s">
        <v>353</v>
      </c>
      <c r="Q27" s="67" t="s">
        <v>57</v>
      </c>
      <c r="S27" s="6" t="s">
        <v>85</v>
      </c>
      <c r="T27" s="6" t="s">
        <v>97</v>
      </c>
      <c r="U27" s="6" t="s">
        <v>68</v>
      </c>
      <c r="V27" s="6" t="s">
        <v>89</v>
      </c>
      <c r="W27" s="6" t="s">
        <v>86</v>
      </c>
      <c r="AD27" s="6" t="s">
        <v>354</v>
      </c>
      <c r="AE27" s="6" t="s">
        <v>149</v>
      </c>
      <c r="AH27" s="6" t="s">
        <v>149</v>
      </c>
      <c r="AL27" s="6" t="s">
        <v>85</v>
      </c>
      <c r="AM27" s="6" t="s">
        <v>97</v>
      </c>
      <c r="AQ27" s="100" t="s">
        <v>57</v>
      </c>
      <c r="AR27" s="6" t="s">
        <v>57</v>
      </c>
      <c r="AU27" s="67" t="s">
        <v>57</v>
      </c>
    </row>
    <row r="28" spans="1:47" ht="15" customHeight="1">
      <c r="B28" s="7" t="s">
        <v>355</v>
      </c>
      <c r="C28" s="7">
        <v>7230017556</v>
      </c>
      <c r="D28" s="7"/>
      <c r="E28" s="7"/>
      <c r="F28" s="7"/>
      <c r="G28" s="8">
        <v>27020</v>
      </c>
      <c r="H28" s="7" t="s">
        <v>55</v>
      </c>
      <c r="I28" s="6" t="s">
        <v>34</v>
      </c>
      <c r="K28" s="6" t="s">
        <v>36</v>
      </c>
      <c r="P28" s="6" t="s">
        <v>356</v>
      </c>
      <c r="Q28" s="67" t="s">
        <v>57</v>
      </c>
      <c r="AD28" s="6" t="s">
        <v>151</v>
      </c>
      <c r="AU28" s="67" t="s">
        <v>57</v>
      </c>
    </row>
    <row r="29" spans="1:47" ht="15" customHeight="1">
      <c r="B29" s="7" t="s">
        <v>357</v>
      </c>
      <c r="C29" s="7">
        <v>4849071643</v>
      </c>
      <c r="D29" s="7"/>
      <c r="E29" s="7"/>
      <c r="F29" s="7"/>
      <c r="G29" s="8">
        <v>23126</v>
      </c>
      <c r="H29" s="7" t="s">
        <v>55</v>
      </c>
      <c r="I29" s="6" t="s">
        <v>34</v>
      </c>
      <c r="K29" s="6" t="s">
        <v>36</v>
      </c>
      <c r="P29" s="6" t="s">
        <v>358</v>
      </c>
      <c r="Q29" s="67" t="s">
        <v>57</v>
      </c>
      <c r="S29" s="6" t="s">
        <v>79</v>
      </c>
      <c r="T29" s="6" t="s">
        <v>93</v>
      </c>
      <c r="AD29" s="6" t="s">
        <v>359</v>
      </c>
      <c r="AE29" s="6" t="s">
        <v>78</v>
      </c>
      <c r="AH29" s="6" t="s">
        <v>78</v>
      </c>
      <c r="AL29" s="6" t="s">
        <v>79</v>
      </c>
      <c r="AM29" s="6" t="s">
        <v>93</v>
      </c>
      <c r="AQ29" s="100" t="s">
        <v>57</v>
      </c>
      <c r="AR29" s="6" t="s">
        <v>57</v>
      </c>
      <c r="AU29" s="67" t="s">
        <v>57</v>
      </c>
    </row>
    <row r="30" spans="1:47" ht="15" customHeight="1">
      <c r="B30" s="7" t="s">
        <v>360</v>
      </c>
      <c r="C30" s="7">
        <v>6128944647</v>
      </c>
      <c r="D30" s="7"/>
      <c r="E30" s="7"/>
      <c r="F30" s="7"/>
      <c r="G30" s="8">
        <v>24236</v>
      </c>
      <c r="H30" s="7" t="s">
        <v>55</v>
      </c>
      <c r="I30" s="6" t="s">
        <v>34</v>
      </c>
      <c r="J30" s="6" t="s">
        <v>36</v>
      </c>
      <c r="P30" s="6" t="s">
        <v>361</v>
      </c>
      <c r="Q30" s="67" t="s">
        <v>57</v>
      </c>
      <c r="S30" s="6" t="s">
        <v>172</v>
      </c>
      <c r="T30" s="6" t="s">
        <v>72</v>
      </c>
      <c r="AE30" s="6" t="s">
        <v>189</v>
      </c>
      <c r="AH30" s="6" t="s">
        <v>189</v>
      </c>
      <c r="AL30" s="6" t="s">
        <v>172</v>
      </c>
      <c r="AM30" s="6" t="s">
        <v>72</v>
      </c>
      <c r="AQ30" s="100" t="s">
        <v>57</v>
      </c>
      <c r="AR30" s="6" t="s">
        <v>57</v>
      </c>
      <c r="AU30" s="67" t="s">
        <v>57</v>
      </c>
    </row>
    <row r="31" spans="1:47" ht="15" customHeight="1">
      <c r="B31" s="7" t="s">
        <v>362</v>
      </c>
      <c r="C31" s="7">
        <v>4583306385</v>
      </c>
      <c r="D31" s="7"/>
      <c r="E31" s="7"/>
      <c r="F31" s="7"/>
      <c r="G31" s="8">
        <v>20265</v>
      </c>
      <c r="H31" s="7" t="s">
        <v>55</v>
      </c>
      <c r="I31" s="6" t="s">
        <v>34</v>
      </c>
      <c r="K31" s="6" t="s">
        <v>36</v>
      </c>
      <c r="P31" s="6" t="s">
        <v>363</v>
      </c>
      <c r="Q31" s="67" t="s">
        <v>57</v>
      </c>
      <c r="S31" s="6" t="s">
        <v>81</v>
      </c>
      <c r="T31" s="6" t="s">
        <v>64</v>
      </c>
      <c r="U31" s="6" t="s">
        <v>137</v>
      </c>
      <c r="X31" s="6" t="s">
        <v>256</v>
      </c>
      <c r="Y31" s="6" t="s">
        <v>322</v>
      </c>
      <c r="Z31" s="6" t="s">
        <v>87</v>
      </c>
      <c r="AD31" s="6" t="s">
        <v>253</v>
      </c>
      <c r="AE31" s="6" t="s">
        <v>73</v>
      </c>
      <c r="AH31" s="6" t="s">
        <v>73</v>
      </c>
      <c r="AL31" s="6" t="s">
        <v>81</v>
      </c>
      <c r="AN31" s="6" t="s">
        <v>256</v>
      </c>
      <c r="AQ31" s="100" t="s">
        <v>57</v>
      </c>
      <c r="AR31" s="6" t="s">
        <v>57</v>
      </c>
      <c r="AU31" s="67" t="s">
        <v>57</v>
      </c>
    </row>
    <row r="32" spans="1:47" s="75" customFormat="1" ht="15" customHeight="1">
      <c r="A32" s="75" t="s">
        <v>317</v>
      </c>
      <c r="B32" s="76" t="s">
        <v>364</v>
      </c>
      <c r="C32" s="76"/>
      <c r="D32" s="76"/>
      <c r="E32" s="76"/>
      <c r="F32" s="76"/>
      <c r="G32" s="77">
        <v>18191</v>
      </c>
      <c r="H32" s="76" t="s">
        <v>55</v>
      </c>
    </row>
    <row r="33" spans="1:47" s="75" customFormat="1" ht="15" customHeight="1">
      <c r="A33" s="75" t="s">
        <v>317</v>
      </c>
      <c r="B33" s="76" t="s">
        <v>365</v>
      </c>
      <c r="C33" s="76"/>
      <c r="D33" s="76"/>
      <c r="E33" s="76"/>
      <c r="F33" s="76"/>
      <c r="G33" s="77">
        <v>18725</v>
      </c>
      <c r="H33" s="76" t="s">
        <v>55</v>
      </c>
    </row>
    <row r="34" spans="1:47" ht="15" customHeight="1">
      <c r="B34" s="71" t="s">
        <v>366</v>
      </c>
      <c r="C34" s="7">
        <v>4086526352</v>
      </c>
      <c r="D34" s="7"/>
      <c r="E34" s="7"/>
      <c r="F34" s="7"/>
      <c r="G34" s="8">
        <v>26124</v>
      </c>
      <c r="H34" s="7" t="s">
        <v>55</v>
      </c>
      <c r="I34" s="6" t="s">
        <v>34</v>
      </c>
      <c r="K34" s="6" t="s">
        <v>36</v>
      </c>
      <c r="P34" s="6" t="s">
        <v>367</v>
      </c>
      <c r="Q34" s="67" t="s">
        <v>57</v>
      </c>
      <c r="S34" s="82" t="s">
        <v>151</v>
      </c>
      <c r="AE34" s="82" t="s">
        <v>149</v>
      </c>
      <c r="AH34" s="82" t="s">
        <v>93</v>
      </c>
      <c r="AL34" s="82" t="s">
        <v>82</v>
      </c>
      <c r="AQ34" s="6" t="s">
        <v>57</v>
      </c>
      <c r="AU34" s="67" t="s">
        <v>57</v>
      </c>
    </row>
    <row r="35" spans="1:47" s="75" customFormat="1" ht="15" customHeight="1">
      <c r="A35" s="75" t="s">
        <v>317</v>
      </c>
      <c r="B35" s="76" t="s">
        <v>368</v>
      </c>
      <c r="C35" s="76"/>
      <c r="D35" s="76"/>
      <c r="E35" s="76"/>
      <c r="F35" s="76"/>
      <c r="G35" s="77">
        <v>17675</v>
      </c>
      <c r="H35" s="76" t="s">
        <v>55</v>
      </c>
    </row>
    <row r="36" spans="1:47" ht="15" customHeight="1">
      <c r="B36" s="7" t="s">
        <v>369</v>
      </c>
      <c r="C36" s="7">
        <v>7277109376</v>
      </c>
      <c r="D36" s="7"/>
      <c r="E36" s="7"/>
      <c r="F36" s="7"/>
      <c r="G36" s="8">
        <v>25351</v>
      </c>
      <c r="H36" s="7" t="s">
        <v>55</v>
      </c>
      <c r="I36" s="6" t="s">
        <v>34</v>
      </c>
      <c r="K36" s="6" t="s">
        <v>36</v>
      </c>
      <c r="P36" s="6" t="s">
        <v>370</v>
      </c>
      <c r="Q36" s="67" t="s">
        <v>57</v>
      </c>
      <c r="S36" s="6" t="s">
        <v>73</v>
      </c>
      <c r="T36" s="6" t="s">
        <v>92</v>
      </c>
      <c r="U36" s="6" t="s">
        <v>137</v>
      </c>
      <c r="V36" s="6" t="s">
        <v>58</v>
      </c>
      <c r="W36" s="6" t="s">
        <v>371</v>
      </c>
      <c r="AE36" s="6" t="s">
        <v>81</v>
      </c>
      <c r="AH36" s="6" t="s">
        <v>81</v>
      </c>
      <c r="AL36" s="6" t="s">
        <v>73</v>
      </c>
      <c r="AM36" s="6" t="s">
        <v>92</v>
      </c>
      <c r="AQ36" s="100" t="s">
        <v>57</v>
      </c>
      <c r="AR36" s="6" t="s">
        <v>57</v>
      </c>
      <c r="AU36" s="67" t="s">
        <v>57</v>
      </c>
    </row>
    <row r="37" spans="1:47" ht="15" customHeight="1">
      <c r="B37" s="7" t="s">
        <v>372</v>
      </c>
      <c r="C37" s="7">
        <v>4361210004</v>
      </c>
      <c r="D37" s="7"/>
      <c r="E37" s="7"/>
      <c r="F37" s="7"/>
      <c r="G37" s="8">
        <v>12184</v>
      </c>
      <c r="H37" s="7" t="s">
        <v>55</v>
      </c>
      <c r="I37" s="6" t="s">
        <v>34</v>
      </c>
      <c r="K37" s="6" t="s">
        <v>36</v>
      </c>
      <c r="P37" s="6" t="s">
        <v>373</v>
      </c>
      <c r="Q37" s="67" t="s">
        <v>57</v>
      </c>
      <c r="S37" s="6" t="s">
        <v>86</v>
      </c>
      <c r="T37" s="6" t="s">
        <v>81</v>
      </c>
      <c r="U37" s="6" t="s">
        <v>89</v>
      </c>
      <c r="X37" s="6" t="s">
        <v>255</v>
      </c>
      <c r="Y37" s="6" t="s">
        <v>374</v>
      </c>
      <c r="Z37" s="6" t="s">
        <v>256</v>
      </c>
      <c r="AD37" s="6" t="s">
        <v>375</v>
      </c>
      <c r="AE37" s="6" t="s">
        <v>137</v>
      </c>
      <c r="AH37" s="6" t="s">
        <v>137</v>
      </c>
      <c r="AL37" s="6" t="s">
        <v>86</v>
      </c>
      <c r="AN37" s="6" t="s">
        <v>255</v>
      </c>
      <c r="AQ37" s="100" t="s">
        <v>57</v>
      </c>
      <c r="AR37" s="6" t="s">
        <v>57</v>
      </c>
      <c r="AU37" s="67" t="s">
        <v>57</v>
      </c>
    </row>
    <row r="38" spans="1:47" ht="15" customHeight="1">
      <c r="B38" s="7" t="s">
        <v>376</v>
      </c>
      <c r="C38" s="7">
        <v>4482580058</v>
      </c>
      <c r="D38" s="7"/>
      <c r="E38" s="7"/>
      <c r="F38" s="7"/>
      <c r="G38" s="8">
        <v>18917</v>
      </c>
      <c r="H38" s="7" t="s">
        <v>55</v>
      </c>
      <c r="I38" s="6" t="s">
        <v>34</v>
      </c>
      <c r="K38" s="6" t="s">
        <v>36</v>
      </c>
      <c r="P38" s="6" t="s">
        <v>377</v>
      </c>
      <c r="Q38" s="67" t="s">
        <v>57</v>
      </c>
      <c r="S38" s="6" t="s">
        <v>71</v>
      </c>
      <c r="AD38" s="6" t="s">
        <v>89</v>
      </c>
      <c r="AE38" s="6" t="s">
        <v>81</v>
      </c>
      <c r="AH38" s="6" t="s">
        <v>81</v>
      </c>
      <c r="AL38" s="6" t="s">
        <v>71</v>
      </c>
      <c r="AQ38" s="100" t="s">
        <v>57</v>
      </c>
      <c r="AR38" s="6" t="s">
        <v>57</v>
      </c>
      <c r="AU38" s="67" t="s">
        <v>57</v>
      </c>
    </row>
    <row r="39" spans="1:47" ht="15" customHeight="1">
      <c r="B39" s="7" t="s">
        <v>378</v>
      </c>
      <c r="C39" s="7">
        <v>4380822400</v>
      </c>
      <c r="D39" s="7"/>
      <c r="E39" s="7"/>
      <c r="F39" s="7"/>
      <c r="G39" s="8">
        <v>16334</v>
      </c>
      <c r="H39" s="7" t="s">
        <v>55</v>
      </c>
      <c r="I39" s="6" t="s">
        <v>34</v>
      </c>
      <c r="K39" s="6" t="s">
        <v>36</v>
      </c>
      <c r="P39" s="6" t="s">
        <v>379</v>
      </c>
      <c r="Q39" s="67" t="s">
        <v>57</v>
      </c>
      <c r="S39" s="6" t="s">
        <v>108</v>
      </c>
      <c r="T39" s="6" t="s">
        <v>124</v>
      </c>
      <c r="U39" s="6" t="s">
        <v>68</v>
      </c>
      <c r="V39" s="6" t="s">
        <v>67</v>
      </c>
      <c r="W39" s="6" t="s">
        <v>85</v>
      </c>
      <c r="AD39" s="6" t="s">
        <v>380</v>
      </c>
      <c r="AE39" s="6" t="s">
        <v>108</v>
      </c>
      <c r="AH39" s="6" t="s">
        <v>108</v>
      </c>
      <c r="AL39" s="6" t="s">
        <v>124</v>
      </c>
      <c r="AM39" s="6" t="s">
        <v>68</v>
      </c>
      <c r="AQ39" s="100" t="s">
        <v>57</v>
      </c>
      <c r="AR39" s="6" t="s">
        <v>57</v>
      </c>
      <c r="AU39" s="67" t="s">
        <v>57</v>
      </c>
    </row>
    <row r="40" spans="1:47" ht="15" customHeight="1">
      <c r="B40" s="7" t="s">
        <v>381</v>
      </c>
      <c r="C40" s="7">
        <v>4381996313</v>
      </c>
      <c r="D40" s="7"/>
      <c r="E40" s="7"/>
      <c r="F40" s="7"/>
      <c r="G40" s="8">
        <v>14643</v>
      </c>
      <c r="H40" s="7" t="s">
        <v>55</v>
      </c>
      <c r="I40" s="6" t="s">
        <v>34</v>
      </c>
      <c r="K40" s="6" t="s">
        <v>36</v>
      </c>
      <c r="P40" s="6" t="s">
        <v>382</v>
      </c>
      <c r="Q40" s="67" t="s">
        <v>57</v>
      </c>
      <c r="S40" s="6" t="s">
        <v>383</v>
      </c>
      <c r="T40" s="6" t="s">
        <v>384</v>
      </c>
      <c r="U40" s="6" t="s">
        <v>385</v>
      </c>
      <c r="V40" s="6" t="s">
        <v>386</v>
      </c>
      <c r="W40" s="6" t="s">
        <v>387</v>
      </c>
      <c r="AD40" s="6" t="s">
        <v>388</v>
      </c>
      <c r="AE40" s="6" t="s">
        <v>389</v>
      </c>
      <c r="AH40" s="6" t="s">
        <v>389</v>
      </c>
      <c r="AL40" s="6" t="s">
        <v>383</v>
      </c>
      <c r="AM40" s="6" t="s">
        <v>384</v>
      </c>
      <c r="AQ40" s="100" t="s">
        <v>57</v>
      </c>
      <c r="AR40" s="6" t="s">
        <v>57</v>
      </c>
      <c r="AU40" s="67" t="s">
        <v>57</v>
      </c>
    </row>
    <row r="41" spans="1:47" ht="15" customHeight="1">
      <c r="B41" s="7" t="s">
        <v>390</v>
      </c>
      <c r="C41" s="7">
        <v>4583129238</v>
      </c>
      <c r="D41" s="7"/>
      <c r="E41" s="7"/>
      <c r="F41" s="7"/>
      <c r="G41" s="8">
        <v>21245</v>
      </c>
      <c r="H41" s="7" t="s">
        <v>55</v>
      </c>
      <c r="I41" s="6" t="s">
        <v>34</v>
      </c>
      <c r="L41" s="6" t="s">
        <v>36</v>
      </c>
      <c r="P41" s="6" t="s">
        <v>391</v>
      </c>
      <c r="Q41" s="67" t="s">
        <v>57</v>
      </c>
      <c r="S41" s="6" t="s">
        <v>81</v>
      </c>
      <c r="T41" s="6" t="s">
        <v>73</v>
      </c>
      <c r="AE41" s="6" t="s">
        <v>71</v>
      </c>
      <c r="AH41" s="6" t="s">
        <v>71</v>
      </c>
      <c r="AL41" s="6" t="s">
        <v>81</v>
      </c>
      <c r="AM41" s="6" t="s">
        <v>73</v>
      </c>
      <c r="AQ41" s="100" t="s">
        <v>57</v>
      </c>
      <c r="AR41" s="6" t="s">
        <v>57</v>
      </c>
      <c r="AU41" s="67" t="s">
        <v>57</v>
      </c>
    </row>
    <row r="42" spans="1:47" ht="15" customHeight="1">
      <c r="B42" s="7" t="s">
        <v>392</v>
      </c>
      <c r="C42" s="7">
        <v>4242905262</v>
      </c>
      <c r="D42" s="7"/>
      <c r="E42" s="7"/>
      <c r="F42" s="7"/>
      <c r="G42" s="8">
        <v>25264</v>
      </c>
      <c r="H42" s="7" t="s">
        <v>55</v>
      </c>
      <c r="I42" s="6" t="s">
        <v>34</v>
      </c>
      <c r="K42" s="6" t="s">
        <v>36</v>
      </c>
      <c r="P42" s="6" t="s">
        <v>393</v>
      </c>
      <c r="Q42" s="67" t="s">
        <v>57</v>
      </c>
      <c r="S42" s="6" t="s">
        <v>113</v>
      </c>
      <c r="AE42" s="6" t="s">
        <v>82</v>
      </c>
      <c r="AH42" s="6" t="s">
        <v>82</v>
      </c>
      <c r="AL42" s="6" t="s">
        <v>113</v>
      </c>
      <c r="AQ42" s="100" t="s">
        <v>57</v>
      </c>
      <c r="AR42" s="6" t="s">
        <v>57</v>
      </c>
      <c r="AU42" s="67" t="s">
        <v>57</v>
      </c>
    </row>
    <row r="43" spans="1:47" ht="15" customHeight="1">
      <c r="B43" s="7" t="s">
        <v>394</v>
      </c>
      <c r="C43" s="7">
        <v>4582824447</v>
      </c>
      <c r="D43" s="7"/>
      <c r="E43" s="7"/>
      <c r="F43" s="7"/>
      <c r="G43" s="8">
        <v>19969</v>
      </c>
      <c r="H43" s="7" t="s">
        <v>55</v>
      </c>
      <c r="I43" s="6" t="s">
        <v>34</v>
      </c>
      <c r="K43" s="6" t="s">
        <v>36</v>
      </c>
      <c r="P43" s="6" t="s">
        <v>395</v>
      </c>
      <c r="Q43" s="67" t="s">
        <v>57</v>
      </c>
      <c r="S43" s="6" t="s">
        <v>71</v>
      </c>
      <c r="X43" s="6" t="s">
        <v>396</v>
      </c>
      <c r="Y43" s="6" t="s">
        <v>397</v>
      </c>
      <c r="AD43" s="6" t="s">
        <v>398</v>
      </c>
      <c r="AE43" s="6" t="s">
        <v>77</v>
      </c>
      <c r="AH43" s="6" t="s">
        <v>77</v>
      </c>
      <c r="AL43" s="6" t="s">
        <v>71</v>
      </c>
      <c r="AN43" s="6" t="s">
        <v>396</v>
      </c>
      <c r="AQ43" s="100" t="s">
        <v>57</v>
      </c>
      <c r="AR43" s="6" t="s">
        <v>57</v>
      </c>
      <c r="AU43" s="67" t="s">
        <v>57</v>
      </c>
    </row>
    <row r="44" spans="1:47" ht="15" customHeight="1">
      <c r="B44" s="7" t="s">
        <v>399</v>
      </c>
      <c r="C44" s="7">
        <v>4860572424</v>
      </c>
      <c r="D44" s="7"/>
      <c r="E44" s="7"/>
      <c r="F44" s="7"/>
      <c r="G44" s="8">
        <v>22108</v>
      </c>
      <c r="H44" s="7" t="s">
        <v>55</v>
      </c>
      <c r="I44" s="6" t="s">
        <v>34</v>
      </c>
      <c r="L44" s="6" t="s">
        <v>36</v>
      </c>
      <c r="P44" s="6" t="s">
        <v>400</v>
      </c>
      <c r="Q44" s="67" t="s">
        <v>57</v>
      </c>
      <c r="S44" s="6" t="s">
        <v>173</v>
      </c>
      <c r="T44" s="6" t="s">
        <v>124</v>
      </c>
      <c r="U44" s="6" t="s">
        <v>113</v>
      </c>
      <c r="V44" s="6" t="s">
        <v>78</v>
      </c>
      <c r="W44" s="6" t="s">
        <v>401</v>
      </c>
      <c r="X44" s="6" t="s">
        <v>256</v>
      </c>
      <c r="Y44" s="6" t="s">
        <v>231</v>
      </c>
      <c r="Z44" s="6" t="s">
        <v>322</v>
      </c>
      <c r="AA44" s="6" t="s">
        <v>402</v>
      </c>
      <c r="AD44" s="6" t="s">
        <v>403</v>
      </c>
      <c r="AE44" s="6" t="s">
        <v>92</v>
      </c>
      <c r="AH44" s="6" t="s">
        <v>92</v>
      </c>
      <c r="AL44" s="6" t="s">
        <v>173</v>
      </c>
      <c r="AN44" s="6" t="s">
        <v>256</v>
      </c>
      <c r="AQ44" s="100" t="s">
        <v>57</v>
      </c>
      <c r="AR44" s="6" t="s">
        <v>57</v>
      </c>
      <c r="AU44" s="67" t="s">
        <v>57</v>
      </c>
    </row>
    <row r="45" spans="1:47" ht="15" customHeight="1">
      <c r="B45" s="7" t="s">
        <v>404</v>
      </c>
      <c r="C45" s="7">
        <v>4482430439</v>
      </c>
      <c r="D45" s="7"/>
      <c r="E45" s="7"/>
      <c r="F45" s="7"/>
      <c r="G45" s="8">
        <v>18674</v>
      </c>
      <c r="H45" s="7" t="s">
        <v>55</v>
      </c>
      <c r="I45" s="6" t="s">
        <v>34</v>
      </c>
      <c r="L45" s="6" t="s">
        <v>36</v>
      </c>
      <c r="P45" s="6" t="s">
        <v>405</v>
      </c>
      <c r="Q45" s="67" t="s">
        <v>57</v>
      </c>
      <c r="S45" s="6" t="s">
        <v>76</v>
      </c>
      <c r="T45" s="6" t="s">
        <v>82</v>
      </c>
      <c r="U45" s="6" t="s">
        <v>93</v>
      </c>
      <c r="V45" s="6" t="s">
        <v>113</v>
      </c>
      <c r="W45" s="6" t="s">
        <v>406</v>
      </c>
      <c r="X45" s="6" t="s">
        <v>407</v>
      </c>
      <c r="Y45" s="6" t="s">
        <v>408</v>
      </c>
      <c r="Z45" s="6" t="s">
        <v>63</v>
      </c>
      <c r="AA45" s="6" t="s">
        <v>87</v>
      </c>
      <c r="AB45" s="6" t="s">
        <v>409</v>
      </c>
      <c r="AD45" s="6" t="s">
        <v>410</v>
      </c>
      <c r="AE45" s="6" t="s">
        <v>79</v>
      </c>
      <c r="AH45" s="6" t="s">
        <v>79</v>
      </c>
      <c r="AL45" s="6" t="s">
        <v>76</v>
      </c>
      <c r="AN45" s="6" t="s">
        <v>407</v>
      </c>
      <c r="AQ45" s="100" t="s">
        <v>57</v>
      </c>
      <c r="AR45" s="6" t="s">
        <v>57</v>
      </c>
      <c r="AU45" s="67" t="s">
        <v>57</v>
      </c>
    </row>
    <row r="46" spans="1:47" s="75" customFormat="1" ht="15" customHeight="1">
      <c r="B46" s="76" t="s">
        <v>411</v>
      </c>
      <c r="C46" s="76">
        <v>6302795966</v>
      </c>
      <c r="D46" s="76"/>
      <c r="E46" s="76"/>
      <c r="F46" s="76"/>
      <c r="G46" s="77">
        <v>19730</v>
      </c>
      <c r="H46" s="76" t="s">
        <v>55</v>
      </c>
      <c r="I46" s="75" t="s">
        <v>57</v>
      </c>
      <c r="Q46" s="80"/>
      <c r="AU46" s="80"/>
    </row>
    <row r="47" spans="1:47" ht="15" customHeight="1">
      <c r="B47" s="7" t="s">
        <v>412</v>
      </c>
      <c r="C47" s="7">
        <v>4787071858</v>
      </c>
      <c r="D47" s="7"/>
      <c r="E47" s="7"/>
      <c r="F47" s="7"/>
      <c r="G47" s="8">
        <v>23263</v>
      </c>
      <c r="H47" s="7" t="s">
        <v>55</v>
      </c>
      <c r="I47" s="6" t="s">
        <v>34</v>
      </c>
      <c r="J47" s="6" t="s">
        <v>36</v>
      </c>
      <c r="P47" s="6" t="s">
        <v>413</v>
      </c>
      <c r="Q47" s="67" t="s">
        <v>57</v>
      </c>
      <c r="AU47" s="67" t="s">
        <v>57</v>
      </c>
    </row>
    <row r="48" spans="1:47" ht="15" customHeight="1">
      <c r="B48" s="7" t="s">
        <v>414</v>
      </c>
      <c r="C48" s="7">
        <v>4506322126</v>
      </c>
      <c r="D48" s="7"/>
      <c r="E48" s="7"/>
      <c r="F48" s="7"/>
      <c r="G48" s="8">
        <v>21724</v>
      </c>
      <c r="H48" s="7" t="s">
        <v>55</v>
      </c>
      <c r="I48" s="6" t="s">
        <v>34</v>
      </c>
      <c r="J48" s="6" t="s">
        <v>36</v>
      </c>
      <c r="P48" s="6" t="s">
        <v>415</v>
      </c>
      <c r="Q48" s="67" t="s">
        <v>57</v>
      </c>
      <c r="S48" s="6" t="s">
        <v>67</v>
      </c>
      <c r="T48" s="6" t="s">
        <v>89</v>
      </c>
      <c r="U48" s="6" t="s">
        <v>113</v>
      </c>
      <c r="AD48" s="6" t="s">
        <v>416</v>
      </c>
      <c r="AE48" s="6" t="s">
        <v>417</v>
      </c>
      <c r="AH48" s="6" t="s">
        <v>417</v>
      </c>
      <c r="AL48" s="6" t="s">
        <v>67</v>
      </c>
      <c r="AM48" s="6" t="s">
        <v>89</v>
      </c>
      <c r="AQ48" s="100" t="s">
        <v>57</v>
      </c>
      <c r="AR48" s="6" t="s">
        <v>57</v>
      </c>
      <c r="AU48" s="67" t="s">
        <v>57</v>
      </c>
    </row>
    <row r="49" spans="1:47" ht="15" customHeight="1">
      <c r="B49" s="7" t="s">
        <v>418</v>
      </c>
      <c r="C49" s="7">
        <v>6364471218</v>
      </c>
      <c r="D49" s="7"/>
      <c r="E49" s="7"/>
      <c r="F49" s="7"/>
      <c r="G49" s="8">
        <v>22988</v>
      </c>
      <c r="H49" s="7" t="s">
        <v>55</v>
      </c>
      <c r="I49" s="6" t="s">
        <v>34</v>
      </c>
      <c r="K49" s="6" t="s">
        <v>36</v>
      </c>
      <c r="P49" s="6" t="s">
        <v>419</v>
      </c>
      <c r="Q49" s="67" t="s">
        <v>57</v>
      </c>
      <c r="S49" s="6" t="s">
        <v>86</v>
      </c>
      <c r="AE49" s="6" t="s">
        <v>82</v>
      </c>
      <c r="AH49" s="6" t="s">
        <v>82</v>
      </c>
      <c r="AL49" s="6" t="s">
        <v>86</v>
      </c>
      <c r="AQ49" s="100" t="s">
        <v>57</v>
      </c>
      <c r="AR49" s="6" t="s">
        <v>57</v>
      </c>
      <c r="AU49" s="67" t="s">
        <v>57</v>
      </c>
    </row>
    <row r="50" spans="1:47" s="75" customFormat="1" ht="15" customHeight="1">
      <c r="A50" s="75" t="s">
        <v>317</v>
      </c>
      <c r="B50" s="76" t="s">
        <v>420</v>
      </c>
      <c r="C50" s="76"/>
      <c r="D50" s="76"/>
      <c r="E50" s="76"/>
      <c r="F50" s="76"/>
      <c r="G50" s="77">
        <v>17259</v>
      </c>
      <c r="H50" s="76" t="s">
        <v>55</v>
      </c>
    </row>
    <row r="51" spans="1:47" ht="15" customHeight="1">
      <c r="B51" s="7" t="s">
        <v>421</v>
      </c>
      <c r="C51" s="7">
        <v>4188382953</v>
      </c>
      <c r="D51" s="7"/>
      <c r="E51" s="7"/>
      <c r="F51" s="7"/>
      <c r="G51" s="8">
        <v>25083</v>
      </c>
      <c r="H51" s="7" t="s">
        <v>55</v>
      </c>
      <c r="I51" s="6" t="s">
        <v>34</v>
      </c>
      <c r="K51" s="6" t="s">
        <v>36</v>
      </c>
      <c r="P51" s="6" t="s">
        <v>422</v>
      </c>
      <c r="Q51" s="67" t="s">
        <v>57</v>
      </c>
      <c r="S51" s="6" t="s">
        <v>67</v>
      </c>
      <c r="T51" s="6" t="s">
        <v>151</v>
      </c>
      <c r="U51" s="6" t="s">
        <v>172</v>
      </c>
      <c r="V51" s="6" t="s">
        <v>124</v>
      </c>
      <c r="W51" s="6" t="s">
        <v>423</v>
      </c>
      <c r="X51" s="6" t="s">
        <v>424</v>
      </c>
      <c r="Y51" s="6" t="s">
        <v>425</v>
      </c>
      <c r="AE51" s="6" t="s">
        <v>149</v>
      </c>
      <c r="AH51" s="6" t="s">
        <v>149</v>
      </c>
      <c r="AL51" s="6" t="s">
        <v>67</v>
      </c>
      <c r="AN51" s="6" t="s">
        <v>424</v>
      </c>
      <c r="AQ51" s="100" t="s">
        <v>57</v>
      </c>
      <c r="AR51" s="6" t="s">
        <v>57</v>
      </c>
      <c r="AU51" s="67" t="s">
        <v>57</v>
      </c>
    </row>
    <row r="52" spans="1:47" ht="15" customHeight="1">
      <c r="B52" s="7" t="s">
        <v>426</v>
      </c>
      <c r="C52" s="7">
        <v>4860633350</v>
      </c>
      <c r="D52" s="7"/>
      <c r="E52" s="7"/>
      <c r="F52" s="7"/>
      <c r="G52" s="8">
        <v>22381</v>
      </c>
      <c r="H52" s="7" t="s">
        <v>55</v>
      </c>
      <c r="I52" s="6" t="s">
        <v>34</v>
      </c>
      <c r="K52" s="6" t="s">
        <v>36</v>
      </c>
      <c r="R52" s="6" t="s">
        <v>427</v>
      </c>
      <c r="AU52" s="67"/>
    </row>
    <row r="53" spans="1:47" ht="15" customHeight="1">
      <c r="B53" s="7" t="s">
        <v>428</v>
      </c>
      <c r="C53" s="7">
        <v>4543582128</v>
      </c>
      <c r="D53" s="7"/>
      <c r="E53" s="7"/>
      <c r="F53" s="7"/>
      <c r="G53" s="8">
        <v>19264</v>
      </c>
      <c r="H53" s="7" t="s">
        <v>55</v>
      </c>
      <c r="I53" s="6" t="s">
        <v>34</v>
      </c>
      <c r="L53" s="6" t="s">
        <v>36</v>
      </c>
      <c r="P53" s="6" t="s">
        <v>218</v>
      </c>
      <c r="Q53" s="67" t="s">
        <v>57</v>
      </c>
      <c r="S53" s="6" t="s">
        <v>92</v>
      </c>
      <c r="T53" s="6" t="s">
        <v>81</v>
      </c>
      <c r="U53" s="6" t="s">
        <v>82</v>
      </c>
      <c r="V53" s="6" t="s">
        <v>137</v>
      </c>
      <c r="W53" s="6" t="s">
        <v>93</v>
      </c>
      <c r="AE53" s="6" t="s">
        <v>73</v>
      </c>
      <c r="AH53" s="6" t="s">
        <v>73</v>
      </c>
      <c r="AL53" s="6" t="s">
        <v>92</v>
      </c>
      <c r="AM53" s="6" t="s">
        <v>81</v>
      </c>
      <c r="AQ53" s="100" t="s">
        <v>57</v>
      </c>
      <c r="AR53" s="6" t="s">
        <v>57</v>
      </c>
      <c r="AU53" s="67" t="s">
        <v>57</v>
      </c>
    </row>
    <row r="54" spans="1:47" ht="15" customHeight="1">
      <c r="B54" s="7" t="s">
        <v>429</v>
      </c>
      <c r="C54" s="7">
        <v>4582220606</v>
      </c>
      <c r="D54" s="7"/>
      <c r="E54" s="7"/>
      <c r="F54" s="7"/>
      <c r="G54" s="8">
        <v>19571</v>
      </c>
      <c r="H54" s="7" t="s">
        <v>55</v>
      </c>
      <c r="I54" s="6" t="s">
        <v>34</v>
      </c>
      <c r="K54" s="6" t="s">
        <v>36</v>
      </c>
      <c r="P54" s="6" t="s">
        <v>430</v>
      </c>
      <c r="Q54" s="67" t="s">
        <v>57</v>
      </c>
      <c r="S54" s="6" t="s">
        <v>89</v>
      </c>
      <c r="T54" s="6" t="s">
        <v>431</v>
      </c>
      <c r="U54" s="6" t="s">
        <v>97</v>
      </c>
      <c r="AD54" s="6" t="s">
        <v>265</v>
      </c>
      <c r="AE54" s="6" t="s">
        <v>417</v>
      </c>
      <c r="AH54" s="6" t="s">
        <v>417</v>
      </c>
      <c r="AL54" s="6" t="s">
        <v>89</v>
      </c>
      <c r="AM54" s="6" t="s">
        <v>431</v>
      </c>
      <c r="AQ54" s="100" t="s">
        <v>57</v>
      </c>
      <c r="AR54" s="6" t="s">
        <v>57</v>
      </c>
      <c r="AU54" s="67" t="s">
        <v>57</v>
      </c>
    </row>
    <row r="55" spans="1:47" ht="15" customHeight="1">
      <c r="B55" s="7" t="s">
        <v>432</v>
      </c>
      <c r="C55" s="7">
        <v>4781999492</v>
      </c>
      <c r="D55" s="7"/>
      <c r="E55" s="7"/>
      <c r="F55" s="7"/>
      <c r="G55" s="8">
        <v>23054</v>
      </c>
      <c r="H55" s="7" t="s">
        <v>55</v>
      </c>
      <c r="I55" s="6" t="s">
        <v>34</v>
      </c>
      <c r="K55" s="6" t="s">
        <v>36</v>
      </c>
      <c r="P55" s="6" t="s">
        <v>433</v>
      </c>
      <c r="Q55" s="67" t="s">
        <v>57</v>
      </c>
      <c r="S55" s="6" t="s">
        <v>71</v>
      </c>
      <c r="T55" s="6" t="s">
        <v>434</v>
      </c>
      <c r="U55" s="6" t="s">
        <v>324</v>
      </c>
      <c r="V55" s="6" t="s">
        <v>72</v>
      </c>
      <c r="W55" s="6" t="s">
        <v>435</v>
      </c>
      <c r="AE55" s="6" t="s">
        <v>77</v>
      </c>
      <c r="AH55" s="6" t="s">
        <v>77</v>
      </c>
      <c r="AL55" s="6" t="s">
        <v>71</v>
      </c>
      <c r="AM55" s="6" t="s">
        <v>324</v>
      </c>
      <c r="AQ55" s="100" t="s">
        <v>57</v>
      </c>
      <c r="AR55" s="6" t="s">
        <v>57</v>
      </c>
      <c r="AU55" s="67" t="s">
        <v>57</v>
      </c>
    </row>
    <row r="56" spans="1:47" ht="15" customHeight="1">
      <c r="B56" s="7" t="s">
        <v>436</v>
      </c>
      <c r="C56" s="7">
        <v>4506732588</v>
      </c>
      <c r="D56" s="7"/>
      <c r="E56" s="7"/>
      <c r="F56" s="7"/>
      <c r="G56" s="8">
        <v>20767</v>
      </c>
      <c r="H56" s="7" t="s">
        <v>55</v>
      </c>
      <c r="I56" s="6" t="s">
        <v>34</v>
      </c>
      <c r="J56" s="6" t="s">
        <v>36</v>
      </c>
      <c r="P56" s="6" t="s">
        <v>297</v>
      </c>
      <c r="Q56" s="67" t="s">
        <v>57</v>
      </c>
      <c r="AD56" s="6" t="s">
        <v>116</v>
      </c>
      <c r="AE56" s="6" t="s">
        <v>73</v>
      </c>
      <c r="AU56" s="67" t="s">
        <v>57</v>
      </c>
    </row>
    <row r="57" spans="1:47" s="75" customFormat="1" ht="15" customHeight="1">
      <c r="A57" s="75" t="s">
        <v>317</v>
      </c>
      <c r="B57" s="76" t="s">
        <v>437</v>
      </c>
      <c r="C57" s="76"/>
      <c r="D57" s="76"/>
      <c r="E57" s="76"/>
      <c r="F57" s="76"/>
      <c r="G57" s="77">
        <v>14907</v>
      </c>
      <c r="H57" s="76" t="s">
        <v>55</v>
      </c>
    </row>
    <row r="58" spans="1:47" ht="15" customHeight="1">
      <c r="B58" s="7" t="s">
        <v>438</v>
      </c>
      <c r="C58" s="7">
        <v>4582965148</v>
      </c>
      <c r="D58" s="7"/>
      <c r="E58" s="7"/>
      <c r="F58" s="7"/>
      <c r="G58" s="8">
        <v>20418</v>
      </c>
      <c r="H58" s="7" t="s">
        <v>55</v>
      </c>
      <c r="I58" s="6" t="s">
        <v>34</v>
      </c>
      <c r="J58" s="6" t="s">
        <v>36</v>
      </c>
      <c r="P58" s="6" t="s">
        <v>439</v>
      </c>
      <c r="Q58" s="67" t="s">
        <v>57</v>
      </c>
      <c r="S58" s="6" t="s">
        <v>189</v>
      </c>
      <c r="T58" s="6" t="s">
        <v>67</v>
      </c>
      <c r="U58" s="6" t="s">
        <v>173</v>
      </c>
      <c r="V58" s="6" t="s">
        <v>97</v>
      </c>
      <c r="AD58" s="6" t="s">
        <v>124</v>
      </c>
      <c r="AE58" s="6" t="s">
        <v>93</v>
      </c>
      <c r="AH58" s="6" t="s">
        <v>93</v>
      </c>
      <c r="AL58" s="6" t="s">
        <v>189</v>
      </c>
      <c r="AM58" s="6" t="s">
        <v>67</v>
      </c>
      <c r="AQ58" s="100" t="s">
        <v>57</v>
      </c>
      <c r="AR58" s="6" t="s">
        <v>57</v>
      </c>
      <c r="AU58" s="67" t="s">
        <v>57</v>
      </c>
    </row>
    <row r="59" spans="1:47" ht="15" customHeight="1">
      <c r="B59" s="7" t="s">
        <v>440</v>
      </c>
      <c r="C59" s="7">
        <v>4507708222</v>
      </c>
      <c r="D59" s="7"/>
      <c r="E59" s="7"/>
      <c r="F59" s="7"/>
      <c r="G59" s="8">
        <v>17381</v>
      </c>
      <c r="H59" s="7" t="s">
        <v>55</v>
      </c>
      <c r="I59" s="6" t="s">
        <v>34</v>
      </c>
      <c r="K59" s="6" t="s">
        <v>36</v>
      </c>
      <c r="P59" s="6" t="s">
        <v>441</v>
      </c>
      <c r="Q59" s="67" t="s">
        <v>57</v>
      </c>
      <c r="S59" s="6" t="s">
        <v>89</v>
      </c>
      <c r="T59" s="6" t="s">
        <v>67</v>
      </c>
      <c r="U59" s="6" t="s">
        <v>86</v>
      </c>
      <c r="V59" s="6" t="s">
        <v>97</v>
      </c>
      <c r="W59" s="6" t="s">
        <v>346</v>
      </c>
      <c r="AD59" s="6" t="s">
        <v>116</v>
      </c>
      <c r="AE59" s="6" t="s">
        <v>113</v>
      </c>
      <c r="AH59" s="6" t="s">
        <v>113</v>
      </c>
      <c r="AL59" s="6" t="s">
        <v>89</v>
      </c>
      <c r="AM59" s="6" t="s">
        <v>67</v>
      </c>
      <c r="AQ59" s="100" t="s">
        <v>57</v>
      </c>
      <c r="AR59" s="6" t="s">
        <v>57</v>
      </c>
      <c r="AU59" s="67" t="s">
        <v>57</v>
      </c>
    </row>
    <row r="60" spans="1:47" ht="15" customHeight="1">
      <c r="B60" s="7" t="s">
        <v>442</v>
      </c>
      <c r="C60" s="7">
        <v>4862088783</v>
      </c>
      <c r="D60" s="7"/>
      <c r="E60" s="7"/>
      <c r="F60" s="7"/>
      <c r="G60" s="8">
        <v>23271</v>
      </c>
      <c r="H60" s="7" t="s">
        <v>55</v>
      </c>
      <c r="I60" s="6" t="s">
        <v>34</v>
      </c>
      <c r="K60" s="6" t="s">
        <v>36</v>
      </c>
      <c r="R60" s="6" t="s">
        <v>443</v>
      </c>
      <c r="AU60" s="67"/>
    </row>
    <row r="61" spans="1:47" s="75" customFormat="1" ht="15" customHeight="1">
      <c r="A61" s="75" t="s">
        <v>317</v>
      </c>
      <c r="B61" s="76" t="s">
        <v>444</v>
      </c>
      <c r="C61" s="76"/>
      <c r="D61" s="76"/>
      <c r="E61" s="76"/>
      <c r="F61" s="76"/>
      <c r="G61" s="77">
        <v>14508</v>
      </c>
      <c r="H61" s="76" t="s">
        <v>55</v>
      </c>
    </row>
    <row r="62" spans="1:47" ht="15" customHeight="1">
      <c r="B62" s="7" t="s">
        <v>445</v>
      </c>
      <c r="C62" s="7">
        <v>4581476488</v>
      </c>
      <c r="D62" s="7"/>
      <c r="E62" s="7"/>
      <c r="F62" s="7"/>
      <c r="G62" s="8">
        <v>18983</v>
      </c>
      <c r="H62" s="7" t="s">
        <v>55</v>
      </c>
      <c r="I62" s="6" t="s">
        <v>34</v>
      </c>
      <c r="K62" s="6" t="s">
        <v>36</v>
      </c>
      <c r="P62" s="6" t="s">
        <v>446</v>
      </c>
      <c r="Q62" s="67" t="s">
        <v>57</v>
      </c>
      <c r="S62" s="6" t="s">
        <v>97</v>
      </c>
      <c r="AE62" s="6" t="s">
        <v>85</v>
      </c>
      <c r="AH62" s="6" t="s">
        <v>85</v>
      </c>
      <c r="AL62" s="6" t="s">
        <v>97</v>
      </c>
      <c r="AQ62" s="100" t="s">
        <v>57</v>
      </c>
      <c r="AR62" s="6" t="s">
        <v>57</v>
      </c>
      <c r="AU62" s="67" t="s">
        <v>57</v>
      </c>
    </row>
    <row r="63" spans="1:47" ht="15" customHeight="1">
      <c r="B63" s="7" t="s">
        <v>447</v>
      </c>
      <c r="C63" s="7">
        <v>4382783097</v>
      </c>
      <c r="D63" s="7"/>
      <c r="E63" s="7"/>
      <c r="F63" s="7"/>
      <c r="G63" s="8">
        <v>15746</v>
      </c>
      <c r="H63" s="7" t="s">
        <v>55</v>
      </c>
      <c r="I63" s="6" t="s">
        <v>34</v>
      </c>
      <c r="K63" s="6" t="s">
        <v>36</v>
      </c>
      <c r="P63" s="6" t="s">
        <v>448</v>
      </c>
      <c r="Q63" s="67" t="s">
        <v>57</v>
      </c>
      <c r="S63" s="6" t="s">
        <v>189</v>
      </c>
      <c r="T63" s="6" t="s">
        <v>158</v>
      </c>
      <c r="U63" s="6" t="s">
        <v>81</v>
      </c>
      <c r="V63" s="6" t="s">
        <v>137</v>
      </c>
      <c r="W63" s="6" t="s">
        <v>449</v>
      </c>
      <c r="AD63" s="6" t="s">
        <v>450</v>
      </c>
      <c r="AE63" s="6" t="s">
        <v>212</v>
      </c>
      <c r="AH63" s="6" t="s">
        <v>212</v>
      </c>
      <c r="AL63" s="6" t="s">
        <v>189</v>
      </c>
      <c r="AM63" s="6" t="s">
        <v>158</v>
      </c>
      <c r="AQ63" s="100" t="s">
        <v>57</v>
      </c>
      <c r="AR63" s="6" t="s">
        <v>57</v>
      </c>
      <c r="AU63" s="67" t="s">
        <v>57</v>
      </c>
    </row>
    <row r="64" spans="1:47" ht="15" customHeight="1">
      <c r="B64" s="7" t="s">
        <v>451</v>
      </c>
      <c r="C64" s="7">
        <v>4508397514</v>
      </c>
      <c r="D64" s="7"/>
      <c r="E64" s="7"/>
      <c r="F64" s="7"/>
      <c r="G64" s="8">
        <v>17735</v>
      </c>
      <c r="H64" s="7" t="s">
        <v>55</v>
      </c>
      <c r="I64" s="6" t="s">
        <v>34</v>
      </c>
      <c r="K64" s="6" t="s">
        <v>36</v>
      </c>
      <c r="P64" s="6" t="s">
        <v>452</v>
      </c>
      <c r="Q64" s="67" t="s">
        <v>57</v>
      </c>
      <c r="S64" s="6" t="s">
        <v>82</v>
      </c>
      <c r="T64" s="6" t="s">
        <v>113</v>
      </c>
      <c r="U64" s="6" t="s">
        <v>86</v>
      </c>
      <c r="V64" s="6" t="s">
        <v>89</v>
      </c>
      <c r="AD64" s="6" t="s">
        <v>68</v>
      </c>
      <c r="AE64" s="6" t="s">
        <v>93</v>
      </c>
      <c r="AH64" s="6" t="s">
        <v>82</v>
      </c>
      <c r="AI64" s="6" t="s">
        <v>93</v>
      </c>
      <c r="AL64" s="6" t="s">
        <v>113</v>
      </c>
      <c r="AM64" s="6" t="s">
        <v>86</v>
      </c>
      <c r="AQ64" s="100" t="s">
        <v>57</v>
      </c>
      <c r="AR64" s="6" t="s">
        <v>57</v>
      </c>
      <c r="AU64" s="67" t="s">
        <v>57</v>
      </c>
    </row>
    <row r="65" spans="1:47" ht="15" customHeight="1">
      <c r="B65" s="7" t="s">
        <v>453</v>
      </c>
      <c r="C65" s="7">
        <v>4446044605</v>
      </c>
      <c r="D65" s="7"/>
      <c r="E65" s="7"/>
      <c r="F65" s="7"/>
      <c r="G65" s="8">
        <v>18069</v>
      </c>
      <c r="H65" s="7" t="s">
        <v>55</v>
      </c>
      <c r="I65" s="6" t="s">
        <v>34</v>
      </c>
      <c r="K65" s="6" t="s">
        <v>36</v>
      </c>
      <c r="P65" s="6" t="s">
        <v>454</v>
      </c>
      <c r="Q65" s="67" t="s">
        <v>57</v>
      </c>
      <c r="S65" s="6" t="s">
        <v>79</v>
      </c>
      <c r="T65" s="6" t="s">
        <v>93</v>
      </c>
      <c r="U65" s="6" t="s">
        <v>92</v>
      </c>
      <c r="V65" s="6" t="s">
        <v>68</v>
      </c>
      <c r="W65" s="6" t="s">
        <v>455</v>
      </c>
      <c r="X65" s="6" t="s">
        <v>322</v>
      </c>
      <c r="AE65" s="6" t="s">
        <v>72</v>
      </c>
      <c r="AH65" s="6" t="s">
        <v>72</v>
      </c>
      <c r="AL65" s="6" t="s">
        <v>79</v>
      </c>
      <c r="AN65" s="6" t="s">
        <v>322</v>
      </c>
      <c r="AQ65" s="100" t="s">
        <v>57</v>
      </c>
      <c r="AR65" s="6" t="s">
        <v>57</v>
      </c>
      <c r="AU65" s="67" t="s">
        <v>57</v>
      </c>
    </row>
    <row r="66" spans="1:47" ht="15" customHeight="1">
      <c r="B66" s="7" t="s">
        <v>456</v>
      </c>
      <c r="C66" s="7">
        <v>4329555980</v>
      </c>
      <c r="D66" s="7"/>
      <c r="E66" s="7"/>
      <c r="F66" s="7"/>
      <c r="G66" s="8">
        <v>13393</v>
      </c>
      <c r="H66" s="7" t="s">
        <v>55</v>
      </c>
      <c r="I66" s="6" t="s">
        <v>34</v>
      </c>
      <c r="K66" s="6" t="s">
        <v>36</v>
      </c>
      <c r="P66" s="6" t="s">
        <v>457</v>
      </c>
      <c r="Q66" s="67" t="s">
        <v>57</v>
      </c>
      <c r="S66" s="6" t="s">
        <v>81</v>
      </c>
      <c r="T66" s="6" t="s">
        <v>92</v>
      </c>
      <c r="U66" s="6" t="s">
        <v>73</v>
      </c>
      <c r="V66" s="6" t="s">
        <v>85</v>
      </c>
      <c r="W66" s="6" t="s">
        <v>58</v>
      </c>
      <c r="AE66" s="6" t="s">
        <v>137</v>
      </c>
      <c r="AH66" s="6" t="s">
        <v>137</v>
      </c>
      <c r="AL66" s="6" t="s">
        <v>81</v>
      </c>
      <c r="AM66" s="6" t="s">
        <v>92</v>
      </c>
      <c r="AQ66" s="100" t="s">
        <v>57</v>
      </c>
      <c r="AR66" s="6" t="s">
        <v>57</v>
      </c>
      <c r="AU66" s="67" t="s">
        <v>57</v>
      </c>
    </row>
    <row r="67" spans="1:47" s="75" customFormat="1" ht="15" customHeight="1">
      <c r="A67" s="75" t="s">
        <v>317</v>
      </c>
      <c r="B67" s="76" t="s">
        <v>458</v>
      </c>
      <c r="C67" s="76"/>
      <c r="D67" s="76"/>
      <c r="E67" s="76"/>
      <c r="F67" s="76"/>
      <c r="G67" s="77">
        <v>29091</v>
      </c>
      <c r="H67" s="76" t="s">
        <v>55</v>
      </c>
    </row>
    <row r="68" spans="1:47" s="75" customFormat="1" ht="15" customHeight="1">
      <c r="A68" s="75" t="s">
        <v>317</v>
      </c>
      <c r="B68" s="76" t="s">
        <v>459</v>
      </c>
      <c r="C68" s="76"/>
      <c r="D68" s="76"/>
      <c r="E68" s="76"/>
      <c r="F68" s="76"/>
      <c r="G68" s="77">
        <v>18123</v>
      </c>
      <c r="H68" s="76" t="s">
        <v>55</v>
      </c>
    </row>
    <row r="69" spans="1:47" ht="15" customHeight="1">
      <c r="B69" s="7" t="s">
        <v>460</v>
      </c>
      <c r="C69" s="7">
        <v>4520970164</v>
      </c>
      <c r="D69" s="7"/>
      <c r="E69" s="7"/>
      <c r="F69" s="7"/>
      <c r="G69" s="8">
        <v>19150</v>
      </c>
      <c r="H69" s="7" t="s">
        <v>55</v>
      </c>
      <c r="I69" s="6" t="s">
        <v>34</v>
      </c>
      <c r="K69" s="6" t="s">
        <v>36</v>
      </c>
      <c r="R69" s="6" t="s">
        <v>443</v>
      </c>
      <c r="AU69" s="67"/>
    </row>
    <row r="70" spans="1:47" ht="15" customHeight="1">
      <c r="B70" s="7" t="s">
        <v>461</v>
      </c>
      <c r="C70" s="7">
        <v>4382756294</v>
      </c>
      <c r="D70" s="7"/>
      <c r="E70" s="7"/>
      <c r="F70" s="7"/>
      <c r="G70" s="8">
        <v>14982</v>
      </c>
      <c r="H70" s="7" t="s">
        <v>55</v>
      </c>
      <c r="I70" s="6" t="s">
        <v>34</v>
      </c>
      <c r="L70" s="6" t="s">
        <v>36</v>
      </c>
      <c r="P70" s="6" t="s">
        <v>193</v>
      </c>
      <c r="Q70" s="67" t="s">
        <v>57</v>
      </c>
      <c r="S70" s="6" t="s">
        <v>64</v>
      </c>
      <c r="AE70" s="6" t="s">
        <v>81</v>
      </c>
      <c r="AH70" s="6" t="s">
        <v>81</v>
      </c>
      <c r="AL70" s="6" t="s">
        <v>64</v>
      </c>
      <c r="AQ70" s="100" t="s">
        <v>57</v>
      </c>
      <c r="AR70" s="6" t="s">
        <v>57</v>
      </c>
      <c r="AU70" s="67" t="s">
        <v>57</v>
      </c>
    </row>
    <row r="71" spans="1:47" ht="15" customHeight="1">
      <c r="B71" s="7" t="s">
        <v>462</v>
      </c>
      <c r="C71" s="7">
        <v>4087260232</v>
      </c>
      <c r="D71" s="7"/>
      <c r="E71" s="7"/>
      <c r="F71" s="7"/>
      <c r="G71" s="8">
        <v>24859</v>
      </c>
      <c r="H71" s="7" t="s">
        <v>55</v>
      </c>
      <c r="I71" s="6" t="s">
        <v>34</v>
      </c>
      <c r="L71" s="6" t="s">
        <v>36</v>
      </c>
      <c r="P71" s="6" t="s">
        <v>463</v>
      </c>
      <c r="Q71" s="67" t="s">
        <v>57</v>
      </c>
      <c r="S71" s="6" t="s">
        <v>93</v>
      </c>
      <c r="T71" s="6" t="s">
        <v>68</v>
      </c>
      <c r="U71" s="6" t="s">
        <v>82</v>
      </c>
      <c r="AE71" s="6" t="s">
        <v>92</v>
      </c>
      <c r="AH71" s="6" t="s">
        <v>92</v>
      </c>
      <c r="AL71" s="6" t="s">
        <v>93</v>
      </c>
      <c r="AM71" s="6" t="s">
        <v>68</v>
      </c>
      <c r="AQ71" s="100" t="s">
        <v>57</v>
      </c>
      <c r="AR71" s="6" t="s">
        <v>57</v>
      </c>
      <c r="AU71" s="67" t="s">
        <v>57</v>
      </c>
    </row>
    <row r="72" spans="1:47" ht="15" customHeight="1">
      <c r="B72" s="7" t="s">
        <v>464</v>
      </c>
      <c r="C72" s="7">
        <v>4861645743</v>
      </c>
      <c r="D72" s="7"/>
      <c r="E72" s="7"/>
      <c r="F72" s="7"/>
      <c r="G72" s="8">
        <v>21541</v>
      </c>
      <c r="H72" s="7" t="s">
        <v>55</v>
      </c>
      <c r="I72" s="6" t="s">
        <v>34</v>
      </c>
      <c r="L72" s="6" t="s">
        <v>36</v>
      </c>
      <c r="P72" s="6" t="s">
        <v>465</v>
      </c>
      <c r="Q72" s="67" t="s">
        <v>57</v>
      </c>
      <c r="AE72" s="6" t="s">
        <v>76</v>
      </c>
      <c r="AU72" s="67" t="s">
        <v>57</v>
      </c>
    </row>
    <row r="73" spans="1:47" ht="15" customHeight="1">
      <c r="B73" s="7" t="s">
        <v>466</v>
      </c>
      <c r="C73" s="7">
        <v>4387949619</v>
      </c>
      <c r="D73" s="7"/>
      <c r="E73" s="7"/>
      <c r="F73" s="7"/>
      <c r="G73" s="8">
        <v>16686</v>
      </c>
      <c r="H73" s="7" t="s">
        <v>55</v>
      </c>
      <c r="I73" s="6" t="s">
        <v>34</v>
      </c>
      <c r="L73" s="6" t="s">
        <v>36</v>
      </c>
      <c r="P73" s="6" t="s">
        <v>179</v>
      </c>
      <c r="Q73" s="67" t="s">
        <v>57</v>
      </c>
      <c r="S73" s="6" t="s">
        <v>92</v>
      </c>
      <c r="AD73" s="6" t="s">
        <v>467</v>
      </c>
      <c r="AE73" s="6" t="s">
        <v>97</v>
      </c>
      <c r="AH73" s="6" t="s">
        <v>97</v>
      </c>
      <c r="AL73" s="6" t="s">
        <v>92</v>
      </c>
      <c r="AQ73" s="100" t="s">
        <v>57</v>
      </c>
      <c r="AR73" s="6" t="s">
        <v>57</v>
      </c>
      <c r="AU73" s="67" t="s">
        <v>57</v>
      </c>
    </row>
    <row r="74" spans="1:47" s="75" customFormat="1" ht="15" customHeight="1">
      <c r="A74" s="75" t="s">
        <v>317</v>
      </c>
      <c r="B74" s="76" t="s">
        <v>468</v>
      </c>
      <c r="C74" s="76"/>
      <c r="D74" s="76"/>
      <c r="E74" s="76"/>
      <c r="F74" s="76"/>
      <c r="G74" s="77">
        <v>15831</v>
      </c>
      <c r="H74" s="76" t="s">
        <v>55</v>
      </c>
    </row>
    <row r="75" spans="1:47" ht="15" customHeight="1">
      <c r="B75" s="7" t="s">
        <v>469</v>
      </c>
      <c r="C75" s="7">
        <v>4124067100</v>
      </c>
      <c r="D75" s="7"/>
      <c r="E75" s="7"/>
      <c r="F75" s="7"/>
      <c r="G75" s="8">
        <v>24607</v>
      </c>
      <c r="H75" s="7" t="s">
        <v>55</v>
      </c>
      <c r="I75" s="6" t="s">
        <v>34</v>
      </c>
      <c r="K75" s="6" t="s">
        <v>36</v>
      </c>
      <c r="R75" s="6" t="s">
        <v>102</v>
      </c>
      <c r="AU75" s="67"/>
    </row>
    <row r="76" spans="1:47" s="75" customFormat="1" ht="15" customHeight="1">
      <c r="A76" s="75" t="s">
        <v>317</v>
      </c>
      <c r="B76" s="76" t="s">
        <v>470</v>
      </c>
      <c r="C76" s="76"/>
      <c r="D76" s="76"/>
      <c r="E76" s="76"/>
      <c r="F76" s="76"/>
      <c r="G76" s="77">
        <v>27176</v>
      </c>
      <c r="H76" s="76" t="s">
        <v>55</v>
      </c>
    </row>
    <row r="77" spans="1:47" ht="15" customHeight="1">
      <c r="B77" s="7" t="s">
        <v>471</v>
      </c>
      <c r="C77" s="7">
        <v>4125443181</v>
      </c>
      <c r="D77" s="7"/>
      <c r="E77" s="7"/>
      <c r="F77" s="7"/>
      <c r="G77" s="8">
        <v>25167</v>
      </c>
      <c r="H77" s="7" t="s">
        <v>55</v>
      </c>
      <c r="I77" s="6" t="s">
        <v>34</v>
      </c>
      <c r="K77" s="6" t="s">
        <v>36</v>
      </c>
      <c r="P77" s="6" t="s">
        <v>472</v>
      </c>
      <c r="Q77" s="67" t="s">
        <v>57</v>
      </c>
      <c r="S77" s="6" t="s">
        <v>124</v>
      </c>
      <c r="T77" s="6" t="s">
        <v>417</v>
      </c>
      <c r="AD77" s="6" t="s">
        <v>173</v>
      </c>
      <c r="AE77" s="6" t="s">
        <v>108</v>
      </c>
      <c r="AH77" s="6" t="s">
        <v>108</v>
      </c>
      <c r="AL77" s="6" t="s">
        <v>124</v>
      </c>
      <c r="AM77" s="6" t="s">
        <v>417</v>
      </c>
      <c r="AQ77" s="100" t="s">
        <v>57</v>
      </c>
      <c r="AR77" s="6" t="s">
        <v>57</v>
      </c>
      <c r="AU77" s="67" t="s">
        <v>57</v>
      </c>
    </row>
    <row r="78" spans="1:47" ht="15" customHeight="1">
      <c r="B78" s="7" t="s">
        <v>473</v>
      </c>
      <c r="C78" s="7">
        <v>4581565340</v>
      </c>
      <c r="D78" s="7"/>
      <c r="E78" s="7"/>
      <c r="F78" s="7"/>
      <c r="G78" s="8">
        <v>19511</v>
      </c>
      <c r="H78" s="7" t="s">
        <v>55</v>
      </c>
      <c r="I78" s="6" t="s">
        <v>34</v>
      </c>
      <c r="J78" s="6" t="s">
        <v>36</v>
      </c>
      <c r="P78" s="6" t="s">
        <v>474</v>
      </c>
      <c r="Q78" s="67" t="s">
        <v>57</v>
      </c>
      <c r="S78" s="6" t="s">
        <v>64</v>
      </c>
      <c r="T78" s="6" t="s">
        <v>137</v>
      </c>
      <c r="U78" s="6" t="s">
        <v>58</v>
      </c>
      <c r="X78" s="6" t="s">
        <v>408</v>
      </c>
      <c r="AD78" s="6" t="s">
        <v>475</v>
      </c>
      <c r="AE78" s="6" t="s">
        <v>476</v>
      </c>
      <c r="AH78" s="6" t="s">
        <v>476</v>
      </c>
      <c r="AL78" s="6" t="s">
        <v>64</v>
      </c>
      <c r="AN78" s="6" t="s">
        <v>408</v>
      </c>
      <c r="AQ78" s="100" t="s">
        <v>57</v>
      </c>
      <c r="AR78" s="6" t="s">
        <v>57</v>
      </c>
      <c r="AU78" s="67" t="s">
        <v>57</v>
      </c>
    </row>
    <row r="79" spans="1:47" ht="15" customHeight="1">
      <c r="B79" s="7" t="s">
        <v>477</v>
      </c>
      <c r="C79" s="7">
        <v>4123484468</v>
      </c>
      <c r="D79" s="7"/>
      <c r="E79" s="7"/>
      <c r="F79" s="7"/>
      <c r="G79" s="8">
        <v>24134</v>
      </c>
      <c r="H79" s="7" t="s">
        <v>55</v>
      </c>
      <c r="I79" s="6" t="s">
        <v>34</v>
      </c>
      <c r="K79" s="6" t="s">
        <v>36</v>
      </c>
      <c r="P79" s="6" t="s">
        <v>478</v>
      </c>
      <c r="Q79" s="67" t="s">
        <v>57</v>
      </c>
      <c r="S79" s="6" t="s">
        <v>137</v>
      </c>
      <c r="T79" s="6" t="s">
        <v>92</v>
      </c>
      <c r="U79" s="6" t="s">
        <v>73</v>
      </c>
      <c r="AD79" s="6" t="s">
        <v>479</v>
      </c>
      <c r="AE79" s="6" t="s">
        <v>81</v>
      </c>
      <c r="AH79" s="6" t="s">
        <v>81</v>
      </c>
      <c r="AL79" s="6" t="s">
        <v>137</v>
      </c>
      <c r="AM79" s="6" t="s">
        <v>92</v>
      </c>
      <c r="AQ79" s="100" t="s">
        <v>57</v>
      </c>
      <c r="AR79" s="6" t="s">
        <v>57</v>
      </c>
      <c r="AU79" s="67" t="s">
        <v>57</v>
      </c>
    </row>
    <row r="80" spans="1:47" ht="15" customHeight="1">
      <c r="B80" s="7" t="s">
        <v>480</v>
      </c>
      <c r="C80" s="7">
        <v>4104697230</v>
      </c>
      <c r="D80" s="7"/>
      <c r="E80" s="7"/>
      <c r="F80" s="7"/>
      <c r="G80" s="8">
        <v>24124</v>
      </c>
      <c r="H80" s="7" t="s">
        <v>55</v>
      </c>
      <c r="I80" s="6" t="s">
        <v>34</v>
      </c>
      <c r="J80" s="6" t="s">
        <v>36</v>
      </c>
      <c r="P80" s="6" t="s">
        <v>481</v>
      </c>
      <c r="Q80" s="67" t="s">
        <v>57</v>
      </c>
      <c r="S80" s="6" t="s">
        <v>116</v>
      </c>
      <c r="T80" s="6" t="s">
        <v>137</v>
      </c>
      <c r="AE80" s="6" t="s">
        <v>81</v>
      </c>
      <c r="AH80" s="6" t="s">
        <v>81</v>
      </c>
      <c r="AL80" s="6" t="s">
        <v>116</v>
      </c>
      <c r="AM80" s="6" t="s">
        <v>137</v>
      </c>
      <c r="AQ80" s="100" t="s">
        <v>57</v>
      </c>
      <c r="AR80" s="6" t="s">
        <v>57</v>
      </c>
      <c r="AU80" s="67" t="s">
        <v>57</v>
      </c>
    </row>
    <row r="81" spans="1:47" s="75" customFormat="1" ht="15" customHeight="1">
      <c r="A81" s="75" t="s">
        <v>317</v>
      </c>
      <c r="B81" s="75" t="s">
        <v>482</v>
      </c>
      <c r="G81" s="78">
        <v>24174</v>
      </c>
      <c r="H81" s="75" t="s">
        <v>55</v>
      </c>
    </row>
    <row r="82" spans="1:47" ht="15" customHeight="1">
      <c r="B82" s="6" t="s">
        <v>483</v>
      </c>
      <c r="C82" s="6">
        <v>4087855759</v>
      </c>
      <c r="G82" s="9">
        <v>15532</v>
      </c>
      <c r="H82" s="6" t="s">
        <v>55</v>
      </c>
      <c r="I82" s="6" t="s">
        <v>34</v>
      </c>
      <c r="L82" s="6" t="s">
        <v>36</v>
      </c>
      <c r="P82" s="6" t="s">
        <v>484</v>
      </c>
      <c r="Q82" s="67" t="s">
        <v>57</v>
      </c>
      <c r="S82" s="6" t="s">
        <v>86</v>
      </c>
      <c r="T82" s="6" t="s">
        <v>89</v>
      </c>
      <c r="X82" s="6" t="s">
        <v>255</v>
      </c>
      <c r="Y82" s="6" t="s">
        <v>312</v>
      </c>
      <c r="AD82" s="6" t="s">
        <v>485</v>
      </c>
      <c r="AE82" s="6" t="s">
        <v>113</v>
      </c>
      <c r="AH82" s="6" t="s">
        <v>113</v>
      </c>
      <c r="AL82" s="6" t="s">
        <v>86</v>
      </c>
      <c r="AN82" s="6" t="s">
        <v>255</v>
      </c>
      <c r="AQ82" s="100" t="s">
        <v>57</v>
      </c>
      <c r="AR82" s="6" t="s">
        <v>57</v>
      </c>
      <c r="AU82" s="67" t="s">
        <v>57</v>
      </c>
    </row>
    <row r="83" spans="1:47" ht="15" customHeight="1">
      <c r="B83" s="6" t="s">
        <v>486</v>
      </c>
      <c r="C83" s="6">
        <v>4483151479</v>
      </c>
      <c r="G83" s="9">
        <v>20870</v>
      </c>
      <c r="H83" s="6" t="s">
        <v>55</v>
      </c>
      <c r="I83" s="6" t="s">
        <v>34</v>
      </c>
      <c r="K83" s="6" t="s">
        <v>36</v>
      </c>
      <c r="P83" s="6" t="s">
        <v>487</v>
      </c>
      <c r="Q83" s="67" t="s">
        <v>57</v>
      </c>
      <c r="S83" s="6" t="s">
        <v>68</v>
      </c>
      <c r="T83" s="6" t="s">
        <v>67</v>
      </c>
      <c r="X83" s="82" t="s">
        <v>137</v>
      </c>
      <c r="Y83" s="82" t="s">
        <v>86</v>
      </c>
      <c r="Z83" s="82" t="s">
        <v>424</v>
      </c>
      <c r="AA83" s="82" t="s">
        <v>425</v>
      </c>
      <c r="AD83" s="6" t="s">
        <v>488</v>
      </c>
      <c r="AE83" s="6" t="s">
        <v>124</v>
      </c>
      <c r="AI83" s="6" t="s">
        <v>489</v>
      </c>
      <c r="AN83" s="82"/>
      <c r="AU83" s="67" t="s">
        <v>57</v>
      </c>
    </row>
    <row r="84" spans="1:47" ht="15" customHeight="1">
      <c r="B84" s="6" t="s">
        <v>490</v>
      </c>
      <c r="C84" s="6">
        <v>4861796741</v>
      </c>
      <c r="G84" s="9">
        <v>21938</v>
      </c>
      <c r="H84" s="6" t="s">
        <v>55</v>
      </c>
      <c r="I84" s="6" t="s">
        <v>34</v>
      </c>
      <c r="K84" s="6" t="s">
        <v>36</v>
      </c>
      <c r="P84" s="6" t="s">
        <v>491</v>
      </c>
      <c r="Q84" s="67" t="s">
        <v>57</v>
      </c>
      <c r="AU84" s="67" t="s">
        <v>57</v>
      </c>
    </row>
    <row r="85" spans="1:47" ht="15" customHeight="1">
      <c r="B85" s="6" t="s">
        <v>492</v>
      </c>
      <c r="C85" s="6">
        <v>7052564823</v>
      </c>
      <c r="G85" s="9">
        <v>29497</v>
      </c>
      <c r="H85" s="6" t="s">
        <v>55</v>
      </c>
      <c r="I85" s="6" t="s">
        <v>34</v>
      </c>
      <c r="L85" s="6" t="s">
        <v>36</v>
      </c>
      <c r="P85" s="6" t="s">
        <v>493</v>
      </c>
      <c r="Q85" s="67" t="s">
        <v>57</v>
      </c>
      <c r="S85" s="6" t="s">
        <v>93</v>
      </c>
      <c r="T85" s="6" t="s">
        <v>64</v>
      </c>
      <c r="U85" s="6" t="s">
        <v>73</v>
      </c>
      <c r="V85" s="6" t="s">
        <v>116</v>
      </c>
      <c r="AD85" s="6" t="s">
        <v>494</v>
      </c>
      <c r="AE85" s="6" t="s">
        <v>92</v>
      </c>
      <c r="AH85" s="6" t="s">
        <v>92</v>
      </c>
      <c r="AL85" s="6" t="s">
        <v>93</v>
      </c>
      <c r="AM85" s="6" t="s">
        <v>64</v>
      </c>
      <c r="AQ85" s="100" t="s">
        <v>57</v>
      </c>
      <c r="AR85" s="6" t="s">
        <v>57</v>
      </c>
      <c r="AU85" s="67" t="s">
        <v>57</v>
      </c>
    </row>
    <row r="86" spans="1:47" ht="15" customHeight="1">
      <c r="B86" s="6" t="s">
        <v>495</v>
      </c>
      <c r="C86" s="6">
        <v>4507891396</v>
      </c>
      <c r="G86" s="9">
        <v>18407</v>
      </c>
      <c r="H86" s="6" t="s">
        <v>55</v>
      </c>
      <c r="I86" s="6" t="s">
        <v>34</v>
      </c>
      <c r="L86" s="6" t="s">
        <v>36</v>
      </c>
      <c r="P86" s="6" t="s">
        <v>496</v>
      </c>
      <c r="Q86" s="67" t="s">
        <v>57</v>
      </c>
      <c r="S86" s="6" t="s">
        <v>86</v>
      </c>
      <c r="T86" s="6" t="s">
        <v>92</v>
      </c>
      <c r="U86" s="6" t="s">
        <v>113</v>
      </c>
      <c r="AE86" s="6" t="s">
        <v>93</v>
      </c>
      <c r="AH86" s="6" t="s">
        <v>93</v>
      </c>
      <c r="AL86" s="6" t="s">
        <v>86</v>
      </c>
      <c r="AM86" s="6" t="s">
        <v>92</v>
      </c>
      <c r="AQ86" s="100" t="s">
        <v>57</v>
      </c>
      <c r="AR86" s="6" t="s">
        <v>57</v>
      </c>
      <c r="AU86" s="67" t="s">
        <v>57</v>
      </c>
    </row>
    <row r="87" spans="1:47" s="75" customFormat="1" ht="15" customHeight="1">
      <c r="A87" s="75" t="s">
        <v>317</v>
      </c>
      <c r="B87" s="75" t="s">
        <v>497</v>
      </c>
      <c r="G87" s="78">
        <v>15274</v>
      </c>
      <c r="H87" s="75" t="s">
        <v>55</v>
      </c>
    </row>
    <row r="88" spans="1:47" ht="15" customHeight="1">
      <c r="B88" s="6" t="s">
        <v>498</v>
      </c>
      <c r="C88" s="6">
        <v>4824075033</v>
      </c>
      <c r="G88" s="9">
        <v>22312</v>
      </c>
      <c r="H88" s="6" t="s">
        <v>55</v>
      </c>
      <c r="I88" s="6" t="s">
        <v>34</v>
      </c>
      <c r="K88" s="6" t="s">
        <v>36</v>
      </c>
      <c r="P88" s="6" t="s">
        <v>499</v>
      </c>
      <c r="Q88" s="67" t="s">
        <v>57</v>
      </c>
      <c r="AU88" s="67" t="s">
        <v>57</v>
      </c>
    </row>
    <row r="89" spans="1:47" ht="15" customHeight="1">
      <c r="B89" s="6" t="s">
        <v>500</v>
      </c>
      <c r="C89" s="6">
        <v>4362710264</v>
      </c>
      <c r="G89" s="9">
        <v>14463</v>
      </c>
      <c r="H89" s="6" t="s">
        <v>55</v>
      </c>
      <c r="I89" s="6" t="s">
        <v>34</v>
      </c>
      <c r="L89" s="6" t="s">
        <v>36</v>
      </c>
      <c r="P89" s="6" t="s">
        <v>501</v>
      </c>
      <c r="Q89" s="67" t="s">
        <v>57</v>
      </c>
      <c r="AU89" s="67" t="s">
        <v>57</v>
      </c>
    </row>
    <row r="90" spans="1:47" ht="15" customHeight="1">
      <c r="B90" s="6" t="s">
        <v>502</v>
      </c>
      <c r="C90" s="6">
        <v>4509007655</v>
      </c>
      <c r="G90" s="9">
        <v>17959</v>
      </c>
      <c r="H90" s="6" t="s">
        <v>55</v>
      </c>
      <c r="I90" s="6" t="s">
        <v>34</v>
      </c>
      <c r="K90" s="6" t="s">
        <v>36</v>
      </c>
      <c r="P90" s="6" t="s">
        <v>503</v>
      </c>
      <c r="Q90" s="67" t="s">
        <v>57</v>
      </c>
      <c r="AD90" s="6" t="s">
        <v>93</v>
      </c>
      <c r="AU90" s="67" t="s">
        <v>57</v>
      </c>
    </row>
    <row r="91" spans="1:47" ht="15" customHeight="1">
      <c r="B91" s="6" t="s">
        <v>504</v>
      </c>
      <c r="C91" s="6">
        <v>4383663664</v>
      </c>
      <c r="G91" s="9">
        <v>15917</v>
      </c>
      <c r="H91" s="6" t="s">
        <v>55</v>
      </c>
      <c r="I91" s="6" t="s">
        <v>34</v>
      </c>
      <c r="K91" s="6" t="s">
        <v>36</v>
      </c>
      <c r="P91" s="6" t="s">
        <v>505</v>
      </c>
      <c r="Q91" s="67" t="s">
        <v>57</v>
      </c>
      <c r="S91" s="6" t="s">
        <v>283</v>
      </c>
      <c r="T91" s="6" t="s">
        <v>156</v>
      </c>
      <c r="U91" s="6" t="s">
        <v>61</v>
      </c>
      <c r="V91" s="6" t="s">
        <v>506</v>
      </c>
      <c r="W91" s="6" t="s">
        <v>507</v>
      </c>
      <c r="AD91" s="6" t="s">
        <v>508</v>
      </c>
      <c r="AE91" s="6" t="s">
        <v>509</v>
      </c>
      <c r="AH91" s="6" t="s">
        <v>509</v>
      </c>
      <c r="AL91" s="6" t="s">
        <v>283</v>
      </c>
      <c r="AM91" s="6" t="s">
        <v>156</v>
      </c>
      <c r="AQ91" s="100" t="s">
        <v>57</v>
      </c>
      <c r="AR91" s="6" t="s">
        <v>57</v>
      </c>
      <c r="AU91" s="67" t="s">
        <v>57</v>
      </c>
    </row>
    <row r="92" spans="1:47" ht="15" customHeight="1">
      <c r="B92" s="6" t="s">
        <v>510</v>
      </c>
      <c r="C92" s="6">
        <v>4861979161</v>
      </c>
      <c r="G92" s="9">
        <v>23030</v>
      </c>
      <c r="H92" s="6" t="s">
        <v>55</v>
      </c>
      <c r="I92" s="6" t="s">
        <v>34</v>
      </c>
      <c r="L92" s="6" t="s">
        <v>36</v>
      </c>
      <c r="P92" s="6" t="s">
        <v>511</v>
      </c>
      <c r="Q92" s="67" t="s">
        <v>57</v>
      </c>
      <c r="S92" s="6" t="s">
        <v>149</v>
      </c>
      <c r="AE92" s="6" t="s">
        <v>79</v>
      </c>
      <c r="AH92" s="6" t="s">
        <v>79</v>
      </c>
      <c r="AL92" s="6" t="s">
        <v>149</v>
      </c>
      <c r="AQ92" s="100" t="s">
        <v>57</v>
      </c>
      <c r="AR92" s="6" t="s">
        <v>57</v>
      </c>
      <c r="AU92" s="67" t="s">
        <v>57</v>
      </c>
    </row>
    <row r="93" spans="1:47" ht="15" customHeight="1">
      <c r="B93" s="6" t="s">
        <v>512</v>
      </c>
      <c r="C93" s="6">
        <v>6400522026</v>
      </c>
      <c r="G93" s="9">
        <v>25776</v>
      </c>
      <c r="H93" s="6" t="s">
        <v>55</v>
      </c>
      <c r="I93" s="6" t="s">
        <v>34</v>
      </c>
      <c r="K93" s="6" t="s">
        <v>36</v>
      </c>
      <c r="P93" s="6" t="s">
        <v>513</v>
      </c>
      <c r="Q93" s="67" t="s">
        <v>57</v>
      </c>
      <c r="S93" s="6" t="s">
        <v>64</v>
      </c>
      <c r="T93" s="6" t="s">
        <v>81</v>
      </c>
      <c r="U93" s="6" t="s">
        <v>93</v>
      </c>
      <c r="V93" s="6" t="s">
        <v>116</v>
      </c>
      <c r="W93" s="6" t="s">
        <v>514</v>
      </c>
      <c r="AE93" s="6" t="s">
        <v>73</v>
      </c>
      <c r="AH93" s="6" t="s">
        <v>73</v>
      </c>
      <c r="AL93" s="6" t="s">
        <v>64</v>
      </c>
      <c r="AM93" s="6" t="s">
        <v>81</v>
      </c>
      <c r="AQ93" s="100" t="s">
        <v>57</v>
      </c>
      <c r="AR93" s="6" t="s">
        <v>57</v>
      </c>
      <c r="AU93" s="67" t="s">
        <v>57</v>
      </c>
    </row>
    <row r="94" spans="1:47" ht="15" customHeight="1">
      <c r="B94" s="6" t="s">
        <v>515</v>
      </c>
      <c r="C94" s="6">
        <v>4861745624</v>
      </c>
      <c r="G94" s="9">
        <v>22526</v>
      </c>
      <c r="H94" s="6" t="s">
        <v>55</v>
      </c>
      <c r="I94" s="6" t="s">
        <v>34</v>
      </c>
      <c r="K94" s="6" t="s">
        <v>36</v>
      </c>
      <c r="P94" s="6" t="s">
        <v>516</v>
      </c>
      <c r="Q94" s="67" t="s">
        <v>57</v>
      </c>
      <c r="AU94" s="67" t="s">
        <v>57</v>
      </c>
    </row>
    <row r="95" spans="1:47" ht="15" customHeight="1">
      <c r="B95" s="6" t="s">
        <v>517</v>
      </c>
      <c r="C95" s="6">
        <v>4382540534</v>
      </c>
      <c r="G95" s="9">
        <v>15148</v>
      </c>
      <c r="H95" s="6" t="s">
        <v>55</v>
      </c>
      <c r="I95" s="6" t="s">
        <v>34</v>
      </c>
      <c r="K95" s="6" t="s">
        <v>36</v>
      </c>
      <c r="P95" s="6" t="s">
        <v>518</v>
      </c>
      <c r="Q95" s="67" t="s">
        <v>57</v>
      </c>
      <c r="S95" s="6" t="s">
        <v>67</v>
      </c>
      <c r="T95" s="6" t="s">
        <v>173</v>
      </c>
      <c r="U95" s="6" t="s">
        <v>172</v>
      </c>
      <c r="V95" s="6" t="s">
        <v>89</v>
      </c>
      <c r="AD95" s="6" t="s">
        <v>519</v>
      </c>
      <c r="AE95" s="6" t="s">
        <v>78</v>
      </c>
      <c r="AH95" s="6" t="s">
        <v>78</v>
      </c>
      <c r="AL95" s="6" t="s">
        <v>67</v>
      </c>
      <c r="AM95" s="6" t="s">
        <v>173</v>
      </c>
      <c r="AQ95" s="100" t="s">
        <v>57</v>
      </c>
      <c r="AR95" s="6" t="s">
        <v>57</v>
      </c>
      <c r="AU95" s="67" t="s">
        <v>57</v>
      </c>
    </row>
    <row r="96" spans="1:47" ht="15" customHeight="1">
      <c r="B96" s="6" t="s">
        <v>520</v>
      </c>
      <c r="C96" s="6">
        <v>7289492307</v>
      </c>
      <c r="G96" s="9">
        <v>22225</v>
      </c>
      <c r="H96" s="6" t="s">
        <v>55</v>
      </c>
      <c r="I96" s="6" t="s">
        <v>34</v>
      </c>
      <c r="J96" s="6" t="s">
        <v>36</v>
      </c>
      <c r="P96" s="6" t="s">
        <v>521</v>
      </c>
      <c r="Q96" s="67" t="s">
        <v>57</v>
      </c>
      <c r="S96" s="6" t="s">
        <v>76</v>
      </c>
      <c r="T96" s="6" t="s">
        <v>82</v>
      </c>
      <c r="U96" s="6" t="s">
        <v>86</v>
      </c>
      <c r="X96" s="6" t="s">
        <v>189</v>
      </c>
      <c r="Y96" s="6" t="s">
        <v>172</v>
      </c>
      <c r="AE96" s="6" t="s">
        <v>149</v>
      </c>
      <c r="AH96" s="6" t="s">
        <v>149</v>
      </c>
      <c r="AL96" s="6" t="s">
        <v>76</v>
      </c>
      <c r="AN96" s="6" t="s">
        <v>189</v>
      </c>
      <c r="AQ96" s="100" t="s">
        <v>57</v>
      </c>
      <c r="AR96" s="6" t="s">
        <v>57</v>
      </c>
      <c r="AU96" s="67" t="s">
        <v>57</v>
      </c>
    </row>
    <row r="97" spans="2:47" ht="15" customHeight="1">
      <c r="B97" s="6" t="s">
        <v>522</v>
      </c>
      <c r="C97" s="6">
        <v>4801405150</v>
      </c>
      <c r="G97" s="9">
        <v>21438</v>
      </c>
      <c r="H97" s="6" t="s">
        <v>55</v>
      </c>
      <c r="I97" s="6" t="s">
        <v>34</v>
      </c>
      <c r="K97" s="6" t="s">
        <v>36</v>
      </c>
      <c r="P97" s="6" t="s">
        <v>523</v>
      </c>
      <c r="Q97" s="67" t="s">
        <v>57</v>
      </c>
      <c r="S97" s="6" t="s">
        <v>76</v>
      </c>
      <c r="T97" s="6" t="s">
        <v>212</v>
      </c>
      <c r="U97" s="6" t="s">
        <v>93</v>
      </c>
      <c r="V97" s="6" t="s">
        <v>189</v>
      </c>
      <c r="W97" s="6" t="s">
        <v>524</v>
      </c>
      <c r="AE97" s="6" t="s">
        <v>79</v>
      </c>
      <c r="AH97" s="6" t="s">
        <v>79</v>
      </c>
      <c r="AL97" s="6" t="s">
        <v>76</v>
      </c>
      <c r="AM97" s="6" t="s">
        <v>212</v>
      </c>
      <c r="AQ97" s="100" t="s">
        <v>57</v>
      </c>
      <c r="AR97" s="6" t="s">
        <v>57</v>
      </c>
      <c r="AU97" s="67" t="s">
        <v>57</v>
      </c>
    </row>
    <row r="98" spans="2:47" ht="15" customHeight="1">
      <c r="B98" s="6" t="s">
        <v>525</v>
      </c>
      <c r="C98" s="6">
        <v>6307759275</v>
      </c>
      <c r="G98" s="9">
        <v>29484</v>
      </c>
      <c r="H98" s="6" t="s">
        <v>55</v>
      </c>
      <c r="I98" s="6" t="s">
        <v>34</v>
      </c>
      <c r="L98" s="6" t="s">
        <v>36</v>
      </c>
      <c r="P98" s="6" t="s">
        <v>526</v>
      </c>
      <c r="Q98" s="67" t="s">
        <v>57</v>
      </c>
      <c r="S98" s="6" t="s">
        <v>175</v>
      </c>
      <c r="T98" s="6" t="s">
        <v>163</v>
      </c>
      <c r="U98" s="6" t="s">
        <v>417</v>
      </c>
      <c r="V98" s="6" t="s">
        <v>212</v>
      </c>
      <c r="W98" s="6" t="s">
        <v>527</v>
      </c>
      <c r="AD98" s="6" t="s">
        <v>89</v>
      </c>
      <c r="AE98" s="6" t="s">
        <v>96</v>
      </c>
      <c r="AH98" s="6" t="s">
        <v>96</v>
      </c>
      <c r="AL98" s="6" t="s">
        <v>175</v>
      </c>
      <c r="AM98" s="6" t="s">
        <v>163</v>
      </c>
      <c r="AQ98" s="100" t="s">
        <v>57</v>
      </c>
      <c r="AR98" s="6" t="s">
        <v>57</v>
      </c>
      <c r="AU98" s="67" t="s">
        <v>57</v>
      </c>
    </row>
    <row r="99" spans="2:47" ht="15" customHeight="1">
      <c r="B99" s="6" t="s">
        <v>528</v>
      </c>
      <c r="C99" s="6">
        <v>6288635146</v>
      </c>
      <c r="G99" s="9">
        <v>19848</v>
      </c>
      <c r="H99" s="6" t="s">
        <v>55</v>
      </c>
      <c r="I99" s="6" t="s">
        <v>34</v>
      </c>
      <c r="K99" s="6" t="s">
        <v>36</v>
      </c>
      <c r="P99" s="6" t="s">
        <v>529</v>
      </c>
      <c r="Q99" s="67" t="s">
        <v>57</v>
      </c>
      <c r="S99" s="6" t="s">
        <v>85</v>
      </c>
      <c r="T99" s="6" t="s">
        <v>67</v>
      </c>
      <c r="U99" s="6" t="s">
        <v>172</v>
      </c>
      <c r="V99" s="6" t="s">
        <v>212</v>
      </c>
      <c r="W99" s="6" t="s">
        <v>61</v>
      </c>
      <c r="AD99" s="6" t="s">
        <v>530</v>
      </c>
      <c r="AE99" s="6" t="s">
        <v>283</v>
      </c>
      <c r="AH99" s="6" t="s">
        <v>283</v>
      </c>
      <c r="AL99" s="6" t="s">
        <v>85</v>
      </c>
      <c r="AM99" s="6" t="s">
        <v>67</v>
      </c>
      <c r="AQ99" s="100" t="s">
        <v>57</v>
      </c>
      <c r="AR99" s="6" t="s">
        <v>57</v>
      </c>
      <c r="AU99" s="67" t="s">
        <v>57</v>
      </c>
    </row>
    <row r="100" spans="2:47" ht="15" customHeight="1">
      <c r="B100" s="6" t="s">
        <v>531</v>
      </c>
      <c r="C100" s="6">
        <v>4860901835</v>
      </c>
      <c r="G100" s="9">
        <v>22875</v>
      </c>
      <c r="H100" s="6" t="s">
        <v>55</v>
      </c>
      <c r="I100" s="6" t="s">
        <v>34</v>
      </c>
      <c r="L100" s="6" t="s">
        <v>36</v>
      </c>
      <c r="P100" s="6" t="s">
        <v>532</v>
      </c>
      <c r="Q100" s="67" t="s">
        <v>57</v>
      </c>
      <c r="S100" s="6" t="s">
        <v>77</v>
      </c>
      <c r="AD100" s="6" t="s">
        <v>425</v>
      </c>
      <c r="AE100" s="6" t="s">
        <v>476</v>
      </c>
      <c r="AH100" s="6" t="s">
        <v>476</v>
      </c>
      <c r="AL100" s="6" t="s">
        <v>77</v>
      </c>
      <c r="AQ100" s="100" t="s">
        <v>57</v>
      </c>
      <c r="AR100" s="6" t="s">
        <v>57</v>
      </c>
      <c r="AU100" s="67" t="s">
        <v>57</v>
      </c>
    </row>
    <row r="101" spans="2:47" ht="15" customHeight="1">
      <c r="B101" s="6" t="s">
        <v>533</v>
      </c>
      <c r="C101" s="6">
        <v>4423014211</v>
      </c>
      <c r="G101" s="9">
        <v>18388</v>
      </c>
      <c r="H101" s="6" t="s">
        <v>55</v>
      </c>
      <c r="I101" s="6" t="s">
        <v>34</v>
      </c>
      <c r="K101" s="6" t="s">
        <v>36</v>
      </c>
      <c r="P101" s="6" t="s">
        <v>534</v>
      </c>
      <c r="Q101" s="67" t="s">
        <v>57</v>
      </c>
      <c r="S101" s="6" t="s">
        <v>73</v>
      </c>
      <c r="T101" s="6" t="s">
        <v>81</v>
      </c>
      <c r="AD101" s="6" t="s">
        <v>535</v>
      </c>
      <c r="AE101" s="6" t="s">
        <v>137</v>
      </c>
      <c r="AH101" s="6" t="s">
        <v>137</v>
      </c>
      <c r="AL101" s="6" t="s">
        <v>73</v>
      </c>
      <c r="AM101" s="6" t="s">
        <v>81</v>
      </c>
      <c r="AQ101" s="100" t="s">
        <v>57</v>
      </c>
      <c r="AR101" s="6" t="s">
        <v>57</v>
      </c>
      <c r="AU101" s="67" t="s">
        <v>57</v>
      </c>
    </row>
    <row r="102" spans="2:47" ht="15" customHeight="1">
      <c r="B102" s="6" t="s">
        <v>536</v>
      </c>
      <c r="C102" s="6">
        <v>4861941636</v>
      </c>
      <c r="G102" s="9">
        <v>22588</v>
      </c>
      <c r="H102" s="6" t="s">
        <v>55</v>
      </c>
      <c r="I102" s="6" t="s">
        <v>34</v>
      </c>
      <c r="K102" s="6" t="s">
        <v>36</v>
      </c>
      <c r="P102" s="6" t="s">
        <v>537</v>
      </c>
      <c r="Q102" s="67" t="s">
        <v>57</v>
      </c>
      <c r="S102" s="6" t="s">
        <v>58</v>
      </c>
      <c r="T102" s="6" t="s">
        <v>81</v>
      </c>
      <c r="U102" s="6" t="s">
        <v>73</v>
      </c>
      <c r="V102" s="6" t="s">
        <v>64</v>
      </c>
      <c r="W102" s="6" t="s">
        <v>116</v>
      </c>
      <c r="X102" s="6" t="s">
        <v>538</v>
      </c>
      <c r="Y102" s="6" t="s">
        <v>253</v>
      </c>
      <c r="Z102" s="6" t="s">
        <v>87</v>
      </c>
      <c r="AD102" s="6" t="s">
        <v>88</v>
      </c>
      <c r="AE102" s="6" t="s">
        <v>71</v>
      </c>
      <c r="AH102" s="6" t="s">
        <v>71</v>
      </c>
      <c r="AL102" s="6" t="s">
        <v>58</v>
      </c>
      <c r="AN102" s="6" t="s">
        <v>538</v>
      </c>
      <c r="AQ102" s="100" t="s">
        <v>57</v>
      </c>
      <c r="AR102" s="6" t="s">
        <v>57</v>
      </c>
      <c r="AU102" s="67" t="s">
        <v>57</v>
      </c>
    </row>
    <row r="103" spans="2:47" ht="15" customHeight="1">
      <c r="B103" s="6" t="s">
        <v>539</v>
      </c>
      <c r="C103" s="6">
        <v>6311353326</v>
      </c>
      <c r="G103" s="9">
        <v>19814</v>
      </c>
      <c r="H103" s="6" t="s">
        <v>55</v>
      </c>
      <c r="I103" s="6" t="s">
        <v>34</v>
      </c>
      <c r="L103" s="6" t="s">
        <v>36</v>
      </c>
      <c r="P103" s="6" t="s">
        <v>540</v>
      </c>
      <c r="Q103" s="67" t="s">
        <v>57</v>
      </c>
      <c r="S103" s="6" t="s">
        <v>116</v>
      </c>
      <c r="AE103" s="6" t="s">
        <v>81</v>
      </c>
      <c r="AH103" s="6" t="s">
        <v>81</v>
      </c>
      <c r="AL103" s="6" t="s">
        <v>116</v>
      </c>
      <c r="AQ103" s="100" t="s">
        <v>57</v>
      </c>
      <c r="AR103" s="6" t="s">
        <v>57</v>
      </c>
      <c r="AU103" s="67" t="s">
        <v>57</v>
      </c>
    </row>
    <row r="104" spans="2:47" ht="15" customHeight="1">
      <c r="B104" s="6" t="s">
        <v>541</v>
      </c>
      <c r="C104" s="6">
        <v>4583495234</v>
      </c>
      <c r="G104" s="9">
        <v>20547</v>
      </c>
      <c r="H104" s="6" t="s">
        <v>55</v>
      </c>
      <c r="I104" s="6" t="s">
        <v>34</v>
      </c>
      <c r="K104" s="6" t="s">
        <v>36</v>
      </c>
      <c r="P104" s="6" t="s">
        <v>542</v>
      </c>
      <c r="Q104" s="67" t="s">
        <v>57</v>
      </c>
      <c r="S104" s="6" t="s">
        <v>116</v>
      </c>
      <c r="T104" s="6" t="s">
        <v>64</v>
      </c>
      <c r="AE104" s="6" t="s">
        <v>137</v>
      </c>
      <c r="AH104" s="6" t="s">
        <v>137</v>
      </c>
      <c r="AL104" s="6" t="s">
        <v>116</v>
      </c>
      <c r="AM104" s="6" t="s">
        <v>64</v>
      </c>
      <c r="AQ104" s="100" t="s">
        <v>57</v>
      </c>
      <c r="AR104" s="6" t="s">
        <v>57</v>
      </c>
      <c r="AU104" s="67" t="s">
        <v>57</v>
      </c>
    </row>
    <row r="105" spans="2:47" ht="15" customHeight="1">
      <c r="B105" s="6" t="s">
        <v>543</v>
      </c>
      <c r="C105" s="6">
        <v>4381253213</v>
      </c>
      <c r="G105" s="9">
        <v>16252</v>
      </c>
      <c r="H105" s="6" t="s">
        <v>55</v>
      </c>
      <c r="I105" s="6" t="s">
        <v>34</v>
      </c>
      <c r="K105" s="6" t="s">
        <v>36</v>
      </c>
      <c r="R105" s="6" t="s">
        <v>443</v>
      </c>
      <c r="AU105" s="67"/>
    </row>
    <row r="106" spans="2:47" ht="15" customHeight="1">
      <c r="B106" s="6" t="s">
        <v>544</v>
      </c>
      <c r="C106" s="6">
        <v>4389242504</v>
      </c>
      <c r="G106" s="9">
        <v>13899</v>
      </c>
      <c r="H106" s="6" t="s">
        <v>55</v>
      </c>
      <c r="I106" s="6" t="s">
        <v>34</v>
      </c>
      <c r="J106" s="6" t="s">
        <v>36</v>
      </c>
      <c r="P106" s="6" t="s">
        <v>545</v>
      </c>
      <c r="Q106" s="67" t="s">
        <v>57</v>
      </c>
      <c r="S106" s="6" t="s">
        <v>64</v>
      </c>
      <c r="T106" s="6" t="s">
        <v>116</v>
      </c>
      <c r="U106" s="6" t="s">
        <v>58</v>
      </c>
      <c r="V106" s="6" t="s">
        <v>81</v>
      </c>
      <c r="W106" s="6" t="s">
        <v>546</v>
      </c>
      <c r="AD106" s="6" t="s">
        <v>113</v>
      </c>
      <c r="AE106" s="6" t="s">
        <v>68</v>
      </c>
      <c r="AH106" s="6" t="s">
        <v>68</v>
      </c>
      <c r="AL106" s="6" t="s">
        <v>64</v>
      </c>
      <c r="AM106" s="6" t="s">
        <v>116</v>
      </c>
      <c r="AQ106" s="100" t="s">
        <v>57</v>
      </c>
      <c r="AR106" s="6" t="s">
        <v>57</v>
      </c>
      <c r="AU106" s="67" t="s">
        <v>57</v>
      </c>
    </row>
    <row r="107" spans="2:47" ht="15" customHeight="1">
      <c r="B107" s="6" t="s">
        <v>547</v>
      </c>
      <c r="C107" s="6">
        <v>4581875277</v>
      </c>
      <c r="G107" s="9">
        <v>19668</v>
      </c>
      <c r="H107" s="6" t="s">
        <v>55</v>
      </c>
      <c r="I107" s="6" t="s">
        <v>34</v>
      </c>
      <c r="K107" s="6" t="s">
        <v>36</v>
      </c>
      <c r="P107" s="6" t="s">
        <v>548</v>
      </c>
      <c r="Q107" s="67" t="s">
        <v>57</v>
      </c>
      <c r="S107" s="6" t="s">
        <v>417</v>
      </c>
      <c r="T107" s="6" t="s">
        <v>172</v>
      </c>
      <c r="U107" s="6" t="s">
        <v>173</v>
      </c>
      <c r="V107" s="6" t="s">
        <v>212</v>
      </c>
      <c r="W107" s="6" t="s">
        <v>549</v>
      </c>
      <c r="AD107" s="6" t="s">
        <v>124</v>
      </c>
      <c r="AE107" s="6" t="s">
        <v>431</v>
      </c>
      <c r="AH107" s="6" t="s">
        <v>431</v>
      </c>
      <c r="AL107" s="6" t="s">
        <v>417</v>
      </c>
      <c r="AM107" s="6" t="s">
        <v>172</v>
      </c>
      <c r="AQ107" s="100" t="s">
        <v>57</v>
      </c>
      <c r="AR107" s="6" t="s">
        <v>57</v>
      </c>
      <c r="AU107" s="67" t="s">
        <v>57</v>
      </c>
    </row>
    <row r="108" spans="2:47" ht="15" customHeight="1">
      <c r="B108" s="6" t="s">
        <v>550</v>
      </c>
      <c r="C108" s="6">
        <v>7046434174</v>
      </c>
      <c r="G108" s="9">
        <v>23448</v>
      </c>
      <c r="H108" s="6" t="s">
        <v>55</v>
      </c>
      <c r="I108" s="6" t="s">
        <v>34</v>
      </c>
      <c r="K108" s="6" t="s">
        <v>36</v>
      </c>
      <c r="P108" s="6" t="s">
        <v>551</v>
      </c>
      <c r="Q108" s="67" t="s">
        <v>57</v>
      </c>
      <c r="S108" s="6" t="s">
        <v>81</v>
      </c>
      <c r="AE108" s="6" t="s">
        <v>476</v>
      </c>
      <c r="AH108" s="6" t="s">
        <v>476</v>
      </c>
      <c r="AL108" s="6" t="s">
        <v>81</v>
      </c>
      <c r="AQ108" s="100" t="s">
        <v>57</v>
      </c>
      <c r="AR108" s="6" t="s">
        <v>57</v>
      </c>
      <c r="AU108" s="67" t="s">
        <v>57</v>
      </c>
    </row>
    <row r="109" spans="2:47" ht="15" customHeight="1">
      <c r="B109" s="6" t="s">
        <v>552</v>
      </c>
      <c r="C109" s="6">
        <v>4520952700</v>
      </c>
      <c r="G109" s="9">
        <v>19173</v>
      </c>
      <c r="H109" s="6" t="s">
        <v>55</v>
      </c>
      <c r="I109" s="6" t="s">
        <v>34</v>
      </c>
      <c r="K109" s="6" t="s">
        <v>36</v>
      </c>
      <c r="P109" s="6" t="s">
        <v>553</v>
      </c>
      <c r="Q109" s="67" t="s">
        <v>57</v>
      </c>
      <c r="S109" s="6" t="s">
        <v>72</v>
      </c>
      <c r="T109" s="6" t="s">
        <v>73</v>
      </c>
      <c r="U109" s="6" t="s">
        <v>92</v>
      </c>
      <c r="V109" s="6" t="s">
        <v>93</v>
      </c>
      <c r="AE109" s="6" t="s">
        <v>71</v>
      </c>
      <c r="AH109" s="6" t="s">
        <v>71</v>
      </c>
      <c r="AL109" s="6" t="s">
        <v>72</v>
      </c>
      <c r="AM109" s="6" t="s">
        <v>73</v>
      </c>
      <c r="AQ109" s="100" t="s">
        <v>57</v>
      </c>
      <c r="AR109" s="6" t="s">
        <v>57</v>
      </c>
      <c r="AU109" s="67" t="s">
        <v>57</v>
      </c>
    </row>
    <row r="110" spans="2:47" ht="15" customHeight="1">
      <c r="B110" s="6" t="s">
        <v>554</v>
      </c>
      <c r="C110" s="6">
        <v>4480018212</v>
      </c>
      <c r="G110" s="9">
        <v>19149</v>
      </c>
      <c r="H110" s="6" t="s">
        <v>55</v>
      </c>
      <c r="I110" s="6" t="s">
        <v>34</v>
      </c>
      <c r="L110" s="6" t="s">
        <v>36</v>
      </c>
      <c r="P110" s="6" t="s">
        <v>218</v>
      </c>
      <c r="Q110" s="67" t="s">
        <v>57</v>
      </c>
      <c r="S110" s="6" t="s">
        <v>137</v>
      </c>
      <c r="T110" s="6" t="s">
        <v>81</v>
      </c>
      <c r="U110" s="6" t="s">
        <v>105</v>
      </c>
      <c r="V110" s="6" t="s">
        <v>58</v>
      </c>
      <c r="AE110" s="6" t="s">
        <v>73</v>
      </c>
      <c r="AH110" s="6" t="s">
        <v>73</v>
      </c>
      <c r="AL110" s="6" t="s">
        <v>137</v>
      </c>
      <c r="AM110" s="6" t="s">
        <v>81</v>
      </c>
      <c r="AQ110" s="100" t="s">
        <v>57</v>
      </c>
      <c r="AR110" s="6" t="s">
        <v>57</v>
      </c>
      <c r="AU110" s="67" t="s">
        <v>57</v>
      </c>
    </row>
    <row r="111" spans="2:47" ht="15" customHeight="1">
      <c r="B111" s="6" t="s">
        <v>555</v>
      </c>
      <c r="C111" s="6">
        <v>4743743257</v>
      </c>
      <c r="G111" s="9">
        <v>25063</v>
      </c>
      <c r="H111" s="6" t="s">
        <v>55</v>
      </c>
      <c r="I111" s="6" t="s">
        <v>34</v>
      </c>
      <c r="J111" s="6" t="s">
        <v>36</v>
      </c>
      <c r="P111" s="6" t="s">
        <v>556</v>
      </c>
      <c r="Q111" s="67" t="s">
        <v>57</v>
      </c>
      <c r="S111" s="6" t="s">
        <v>68</v>
      </c>
      <c r="T111" s="6" t="s">
        <v>108</v>
      </c>
      <c r="U111" s="6" t="s">
        <v>97</v>
      </c>
      <c r="V111" s="6" t="s">
        <v>417</v>
      </c>
      <c r="W111" s="6" t="s">
        <v>557</v>
      </c>
      <c r="AD111" s="6" t="s">
        <v>142</v>
      </c>
      <c r="AE111" s="6" t="s">
        <v>108</v>
      </c>
      <c r="AH111" s="6" t="s">
        <v>108</v>
      </c>
      <c r="AL111" s="6" t="s">
        <v>68</v>
      </c>
      <c r="AM111" s="6" t="s">
        <v>97</v>
      </c>
      <c r="AQ111" s="100" t="s">
        <v>57</v>
      </c>
      <c r="AR111" s="6" t="s">
        <v>57</v>
      </c>
      <c r="AU111" s="67" t="s">
        <v>57</v>
      </c>
    </row>
    <row r="112" spans="2:47" ht="15" customHeight="1">
      <c r="B112" s="6" t="s">
        <v>558</v>
      </c>
      <c r="C112" s="6">
        <v>4122087597</v>
      </c>
      <c r="G112" s="9">
        <v>27986</v>
      </c>
      <c r="H112" s="6" t="s">
        <v>55</v>
      </c>
      <c r="I112" s="6" t="s">
        <v>34</v>
      </c>
      <c r="J112" s="6" t="s">
        <v>36</v>
      </c>
      <c r="P112" s="6" t="s">
        <v>559</v>
      </c>
      <c r="Q112" s="67" t="s">
        <v>57</v>
      </c>
      <c r="S112" s="6" t="s">
        <v>538</v>
      </c>
      <c r="AE112" s="6" t="s">
        <v>560</v>
      </c>
      <c r="AH112" s="6" t="s">
        <v>560</v>
      </c>
      <c r="AL112" s="6" t="s">
        <v>538</v>
      </c>
      <c r="AQ112" s="100" t="s">
        <v>57</v>
      </c>
      <c r="AR112" s="6" t="s">
        <v>57</v>
      </c>
      <c r="AU112" s="67" t="s">
        <v>57</v>
      </c>
    </row>
    <row r="113" spans="2:47" ht="15" customHeight="1">
      <c r="B113" s="6" t="s">
        <v>561</v>
      </c>
      <c r="C113" s="6">
        <v>4124526008</v>
      </c>
      <c r="G113" s="9">
        <v>31836</v>
      </c>
      <c r="H113" s="6" t="s">
        <v>55</v>
      </c>
      <c r="I113" s="6" t="s">
        <v>34</v>
      </c>
      <c r="L113" s="6" t="s">
        <v>36</v>
      </c>
      <c r="P113" s="6" t="s">
        <v>562</v>
      </c>
      <c r="Q113" s="67" t="s">
        <v>57</v>
      </c>
      <c r="S113" s="6" t="s">
        <v>67</v>
      </c>
      <c r="AE113" s="6" t="s">
        <v>97</v>
      </c>
      <c r="AH113" s="6" t="s">
        <v>97</v>
      </c>
      <c r="AL113" s="6" t="s">
        <v>67</v>
      </c>
      <c r="AQ113" s="100" t="s">
        <v>57</v>
      </c>
      <c r="AR113" s="6" t="s">
        <v>57</v>
      </c>
      <c r="AU113" s="67" t="s">
        <v>57</v>
      </c>
    </row>
    <row r="114" spans="2:47" ht="15" customHeight="1">
      <c r="B114" s="6" t="s">
        <v>563</v>
      </c>
      <c r="C114" s="6">
        <v>6512328426</v>
      </c>
      <c r="G114" s="9">
        <v>26437</v>
      </c>
      <c r="H114" s="6" t="s">
        <v>55</v>
      </c>
      <c r="I114" s="6" t="s">
        <v>34</v>
      </c>
      <c r="L114" s="6" t="s">
        <v>36</v>
      </c>
      <c r="P114" s="6" t="s">
        <v>564</v>
      </c>
      <c r="Q114" s="67" t="s">
        <v>57</v>
      </c>
      <c r="S114" s="6" t="s">
        <v>68</v>
      </c>
      <c r="T114" s="6" t="s">
        <v>124</v>
      </c>
      <c r="AE114" s="6" t="s">
        <v>173</v>
      </c>
      <c r="AH114" s="6" t="s">
        <v>173</v>
      </c>
      <c r="AL114" s="6" t="s">
        <v>68</v>
      </c>
      <c r="AM114" s="6" t="s">
        <v>124</v>
      </c>
      <c r="AQ114" s="100" t="s">
        <v>57</v>
      </c>
      <c r="AR114" s="6" t="s">
        <v>57</v>
      </c>
      <c r="AU114" s="67" t="s">
        <v>57</v>
      </c>
    </row>
    <row r="115" spans="2:47" ht="15" customHeight="1">
      <c r="B115" s="6" t="s">
        <v>565</v>
      </c>
      <c r="C115" s="6">
        <v>6247025882</v>
      </c>
      <c r="G115" s="9">
        <v>28454</v>
      </c>
      <c r="H115" s="6" t="s">
        <v>55</v>
      </c>
      <c r="I115" s="6" t="s">
        <v>34</v>
      </c>
      <c r="K115" s="6" t="s">
        <v>36</v>
      </c>
      <c r="R115" s="6" t="s">
        <v>443</v>
      </c>
      <c r="AU115" s="67"/>
    </row>
    <row r="116" spans="2:47" ht="15" customHeight="1">
      <c r="B116" s="6" t="s">
        <v>566</v>
      </c>
      <c r="C116" s="6">
        <v>6382132519</v>
      </c>
      <c r="G116" s="9">
        <v>23840</v>
      </c>
      <c r="H116" s="6" t="s">
        <v>55</v>
      </c>
      <c r="I116" s="6" t="s">
        <v>34</v>
      </c>
      <c r="J116" s="6" t="s">
        <v>36</v>
      </c>
      <c r="P116" s="6" t="s">
        <v>567</v>
      </c>
      <c r="Q116" s="67" t="s">
        <v>57</v>
      </c>
      <c r="S116" s="6" t="s">
        <v>568</v>
      </c>
      <c r="AE116" s="6" t="s">
        <v>569</v>
      </c>
      <c r="AH116" s="6" t="s">
        <v>569</v>
      </c>
      <c r="AL116" s="6" t="s">
        <v>568</v>
      </c>
      <c r="AQ116" s="100" t="s">
        <v>57</v>
      </c>
      <c r="AR116" s="6" t="s">
        <v>57</v>
      </c>
      <c r="AU116" s="67" t="s">
        <v>57</v>
      </c>
    </row>
    <row r="117" spans="2:47" ht="15" customHeight="1">
      <c r="B117" s="6" t="s">
        <v>570</v>
      </c>
      <c r="C117" s="6">
        <v>4862119603</v>
      </c>
      <c r="G117" s="9">
        <v>23423</v>
      </c>
      <c r="H117" s="6" t="s">
        <v>55</v>
      </c>
      <c r="I117" s="6" t="s">
        <v>34</v>
      </c>
      <c r="K117" s="6" t="s">
        <v>36</v>
      </c>
      <c r="P117" s="6" t="s">
        <v>571</v>
      </c>
      <c r="Q117" s="67" t="s">
        <v>57</v>
      </c>
      <c r="S117" s="6" t="s">
        <v>77</v>
      </c>
      <c r="T117" s="6" t="s">
        <v>92</v>
      </c>
      <c r="U117" s="6" t="s">
        <v>81</v>
      </c>
      <c r="V117" s="6" t="s">
        <v>58</v>
      </c>
      <c r="AE117" s="6" t="s">
        <v>71</v>
      </c>
      <c r="AH117" s="6" t="s">
        <v>71</v>
      </c>
      <c r="AL117" s="6" t="s">
        <v>77</v>
      </c>
      <c r="AM117" s="6" t="s">
        <v>92</v>
      </c>
      <c r="AQ117" s="100" t="s">
        <v>57</v>
      </c>
      <c r="AR117" s="6" t="s">
        <v>57</v>
      </c>
      <c r="AU117" s="67" t="s">
        <v>57</v>
      </c>
    </row>
    <row r="118" spans="2:47" ht="15" customHeight="1">
      <c r="B118" s="6" t="s">
        <v>572</v>
      </c>
      <c r="C118" s="6">
        <v>4520386373</v>
      </c>
      <c r="G118" s="9">
        <v>18386</v>
      </c>
      <c r="H118" s="6" t="s">
        <v>55</v>
      </c>
      <c r="I118" s="6" t="s">
        <v>34</v>
      </c>
      <c r="J118" s="6" t="s">
        <v>36</v>
      </c>
      <c r="P118" s="6" t="s">
        <v>542</v>
      </c>
      <c r="Q118" s="67" t="s">
        <v>57</v>
      </c>
      <c r="AD118" s="6" t="s">
        <v>137</v>
      </c>
      <c r="AU118" s="67" t="s">
        <v>57</v>
      </c>
    </row>
    <row r="119" spans="2:47" ht="15" customHeight="1">
      <c r="B119" s="6" t="s">
        <v>573</v>
      </c>
      <c r="C119" s="6">
        <v>4389399349</v>
      </c>
      <c r="G119" s="9">
        <v>13795</v>
      </c>
      <c r="H119" s="6" t="s">
        <v>55</v>
      </c>
      <c r="I119" s="6" t="s">
        <v>34</v>
      </c>
      <c r="K119" s="6" t="s">
        <v>36</v>
      </c>
      <c r="P119" s="6" t="s">
        <v>574</v>
      </c>
      <c r="Q119" s="67" t="s">
        <v>57</v>
      </c>
      <c r="S119" s="6" t="s">
        <v>76</v>
      </c>
      <c r="T119" s="6" t="s">
        <v>149</v>
      </c>
      <c r="U119" s="6" t="s">
        <v>79</v>
      </c>
      <c r="V119" s="6" t="s">
        <v>113</v>
      </c>
      <c r="W119" s="6" t="s">
        <v>575</v>
      </c>
      <c r="X119" s="6" t="s">
        <v>576</v>
      </c>
      <c r="Y119" s="6" t="s">
        <v>577</v>
      </c>
      <c r="Z119" s="6" t="s">
        <v>63</v>
      </c>
      <c r="AA119" s="6" t="s">
        <v>578</v>
      </c>
      <c r="AE119" s="6" t="s">
        <v>151</v>
      </c>
      <c r="AH119" s="6" t="s">
        <v>151</v>
      </c>
      <c r="AL119" s="6" t="s">
        <v>76</v>
      </c>
      <c r="AN119" s="6" t="s">
        <v>576</v>
      </c>
      <c r="AQ119" s="100" t="s">
        <v>57</v>
      </c>
      <c r="AR119" s="6" t="s">
        <v>57</v>
      </c>
      <c r="AU119" s="67" t="s">
        <v>57</v>
      </c>
    </row>
    <row r="120" spans="2:47" ht="15" customHeight="1">
      <c r="B120" s="6" t="s">
        <v>579</v>
      </c>
      <c r="C120" s="6">
        <v>4583897804</v>
      </c>
      <c r="G120" s="9">
        <v>20625</v>
      </c>
      <c r="H120" s="6" t="s">
        <v>55</v>
      </c>
      <c r="I120" s="6" t="s">
        <v>34</v>
      </c>
      <c r="K120" s="6" t="s">
        <v>36</v>
      </c>
      <c r="P120" s="6" t="s">
        <v>580</v>
      </c>
      <c r="Q120" s="67" t="s">
        <v>57</v>
      </c>
      <c r="S120" s="6" t="s">
        <v>137</v>
      </c>
      <c r="T120" s="6" t="s">
        <v>73</v>
      </c>
      <c r="U120" s="6" t="s">
        <v>92</v>
      </c>
      <c r="V120" s="6" t="s">
        <v>105</v>
      </c>
      <c r="AE120" s="6" t="s">
        <v>81</v>
      </c>
      <c r="AH120" s="6" t="s">
        <v>81</v>
      </c>
      <c r="AL120" s="6" t="s">
        <v>137</v>
      </c>
      <c r="AM120" s="6" t="s">
        <v>73</v>
      </c>
      <c r="AQ120" s="100" t="s">
        <v>57</v>
      </c>
      <c r="AR120" s="6" t="s">
        <v>57</v>
      </c>
      <c r="AU120" s="67" t="s">
        <v>57</v>
      </c>
    </row>
    <row r="121" spans="2:47" ht="15" customHeight="1">
      <c r="B121" s="6" t="s">
        <v>581</v>
      </c>
      <c r="C121" s="6">
        <v>4382618460</v>
      </c>
      <c r="G121" s="9">
        <v>16966</v>
      </c>
      <c r="H121" s="6" t="s">
        <v>55</v>
      </c>
      <c r="I121" s="6" t="s">
        <v>34</v>
      </c>
      <c r="K121" s="6" t="s">
        <v>36</v>
      </c>
      <c r="R121" s="6" t="s">
        <v>443</v>
      </c>
      <c r="AU121" s="67"/>
    </row>
    <row r="122" spans="2:47" ht="15" customHeight="1">
      <c r="B122" s="6" t="s">
        <v>582</v>
      </c>
      <c r="C122" s="6">
        <v>7297908770</v>
      </c>
      <c r="G122" s="9">
        <v>20163</v>
      </c>
      <c r="H122" s="6" t="s">
        <v>55</v>
      </c>
      <c r="I122" s="6" t="s">
        <v>34</v>
      </c>
      <c r="J122" s="6" t="s">
        <v>36</v>
      </c>
      <c r="P122" s="6" t="s">
        <v>583</v>
      </c>
      <c r="Q122" s="67" t="s">
        <v>57</v>
      </c>
      <c r="S122" s="6" t="s">
        <v>105</v>
      </c>
      <c r="AE122" s="6" t="s">
        <v>476</v>
      </c>
      <c r="AI122" s="6" t="s">
        <v>476</v>
      </c>
      <c r="AU122" s="67" t="s">
        <v>57</v>
      </c>
    </row>
    <row r="123" spans="2:47" ht="15" customHeight="1">
      <c r="B123" s="6" t="s">
        <v>584</v>
      </c>
      <c r="C123" s="6">
        <v>4381509501</v>
      </c>
      <c r="G123" s="9">
        <v>16661</v>
      </c>
      <c r="H123" s="6" t="s">
        <v>55</v>
      </c>
      <c r="I123" s="6" t="s">
        <v>34</v>
      </c>
      <c r="K123" s="6" t="s">
        <v>36</v>
      </c>
      <c r="P123" s="6" t="s">
        <v>585</v>
      </c>
      <c r="Q123" s="67" t="s">
        <v>57</v>
      </c>
      <c r="S123" s="6" t="s">
        <v>71</v>
      </c>
      <c r="T123" s="6" t="s">
        <v>78</v>
      </c>
      <c r="U123" s="6" t="s">
        <v>93</v>
      </c>
      <c r="V123" s="6" t="s">
        <v>173</v>
      </c>
      <c r="W123" s="6" t="s">
        <v>586</v>
      </c>
      <c r="X123" s="6" t="s">
        <v>312</v>
      </c>
      <c r="Y123" s="6" t="s">
        <v>255</v>
      </c>
      <c r="Z123" s="6" t="s">
        <v>253</v>
      </c>
      <c r="AD123" s="6" t="s">
        <v>256</v>
      </c>
      <c r="AE123" s="6" t="s">
        <v>72</v>
      </c>
      <c r="AH123" s="6" t="s">
        <v>72</v>
      </c>
      <c r="AL123" s="6" t="s">
        <v>71</v>
      </c>
      <c r="AN123" s="6" t="s">
        <v>312</v>
      </c>
      <c r="AQ123" s="100" t="s">
        <v>57</v>
      </c>
      <c r="AR123" s="6" t="s">
        <v>57</v>
      </c>
      <c r="AU123" s="67" t="s">
        <v>57</v>
      </c>
    </row>
    <row r="124" spans="2:47" ht="15" customHeight="1">
      <c r="B124" s="6" t="s">
        <v>587</v>
      </c>
      <c r="C124" s="6">
        <v>4508403468</v>
      </c>
      <c r="G124" s="9">
        <v>17661</v>
      </c>
      <c r="H124" s="6" t="s">
        <v>55</v>
      </c>
      <c r="I124" s="6" t="s">
        <v>34</v>
      </c>
      <c r="K124" s="6" t="s">
        <v>36</v>
      </c>
      <c r="P124" s="6" t="s">
        <v>588</v>
      </c>
      <c r="Q124" s="67" t="s">
        <v>57</v>
      </c>
      <c r="S124" s="6" t="s">
        <v>116</v>
      </c>
      <c r="T124" s="6" t="s">
        <v>92</v>
      </c>
      <c r="AD124" s="6" t="s">
        <v>589</v>
      </c>
      <c r="AE124" s="6" t="s">
        <v>73</v>
      </c>
      <c r="AH124" s="6" t="s">
        <v>73</v>
      </c>
      <c r="AL124" s="6" t="s">
        <v>116</v>
      </c>
      <c r="AM124" s="6" t="s">
        <v>92</v>
      </c>
      <c r="AQ124" s="100" t="s">
        <v>57</v>
      </c>
      <c r="AR124" s="6" t="s">
        <v>57</v>
      </c>
      <c r="AU124" s="67" t="s">
        <v>57</v>
      </c>
    </row>
    <row r="125" spans="2:47" ht="15" customHeight="1">
      <c r="B125" s="6" t="s">
        <v>590</v>
      </c>
      <c r="C125" s="6">
        <v>4583105525</v>
      </c>
      <c r="G125" s="9">
        <v>20720</v>
      </c>
      <c r="H125" s="6" t="s">
        <v>55</v>
      </c>
      <c r="I125" s="6" t="s">
        <v>34</v>
      </c>
      <c r="L125" s="6" t="s">
        <v>36</v>
      </c>
      <c r="P125" s="6" t="s">
        <v>293</v>
      </c>
      <c r="Q125" s="67" t="s">
        <v>57</v>
      </c>
      <c r="S125" s="6" t="s">
        <v>73</v>
      </c>
      <c r="T125" s="6" t="s">
        <v>113</v>
      </c>
      <c r="U125" s="6" t="s">
        <v>82</v>
      </c>
      <c r="V125" s="6" t="s">
        <v>81</v>
      </c>
      <c r="AD125" s="6" t="s">
        <v>591</v>
      </c>
      <c r="AE125" s="6" t="s">
        <v>92</v>
      </c>
      <c r="AH125" s="6" t="s">
        <v>92</v>
      </c>
      <c r="AL125" s="6" t="s">
        <v>73</v>
      </c>
      <c r="AM125" s="6" t="s">
        <v>113</v>
      </c>
      <c r="AQ125" s="100" t="s">
        <v>57</v>
      </c>
      <c r="AR125" s="6" t="s">
        <v>57</v>
      </c>
      <c r="AU125" s="67" t="s">
        <v>57</v>
      </c>
    </row>
    <row r="126" spans="2:47" ht="15" customHeight="1">
      <c r="B126" s="6" t="s">
        <v>592</v>
      </c>
      <c r="C126" s="6">
        <v>4384617038</v>
      </c>
      <c r="G126" s="9">
        <v>14981</v>
      </c>
      <c r="H126" s="6" t="s">
        <v>55</v>
      </c>
      <c r="I126" s="6" t="s">
        <v>34</v>
      </c>
      <c r="K126" s="6" t="s">
        <v>36</v>
      </c>
      <c r="P126" s="6" t="s">
        <v>593</v>
      </c>
      <c r="Q126" s="67" t="s">
        <v>57</v>
      </c>
      <c r="S126" s="6" t="s">
        <v>425</v>
      </c>
      <c r="AE126" s="6" t="s">
        <v>594</v>
      </c>
      <c r="AH126" s="6" t="s">
        <v>594</v>
      </c>
      <c r="AL126" s="6" t="s">
        <v>425</v>
      </c>
      <c r="AQ126" s="100" t="s">
        <v>57</v>
      </c>
      <c r="AR126" s="6" t="s">
        <v>57</v>
      </c>
      <c r="AU126" s="67" t="s">
        <v>57</v>
      </c>
    </row>
    <row r="127" spans="2:47" ht="15" customHeight="1">
      <c r="B127" s="6" t="s">
        <v>595</v>
      </c>
      <c r="C127" s="6">
        <v>4485572552</v>
      </c>
      <c r="G127" s="9">
        <v>18572</v>
      </c>
      <c r="H127" s="6" t="s">
        <v>55</v>
      </c>
      <c r="I127" s="6" t="s">
        <v>34</v>
      </c>
      <c r="K127" s="6" t="s">
        <v>36</v>
      </c>
      <c r="P127" s="6" t="s">
        <v>596</v>
      </c>
      <c r="Q127" s="67" t="s">
        <v>57</v>
      </c>
      <c r="AD127" s="6" t="s">
        <v>597</v>
      </c>
      <c r="AU127" s="67" t="s">
        <v>57</v>
      </c>
    </row>
    <row r="128" spans="2:47" ht="15" customHeight="1">
      <c r="B128" s="6" t="s">
        <v>598</v>
      </c>
      <c r="C128" s="6">
        <v>4425320263</v>
      </c>
      <c r="G128" s="9">
        <v>15369</v>
      </c>
      <c r="H128" s="6" t="s">
        <v>55</v>
      </c>
      <c r="I128" s="6" t="s">
        <v>34</v>
      </c>
      <c r="L128" s="6" t="s">
        <v>36</v>
      </c>
      <c r="P128" s="6" t="s">
        <v>599</v>
      </c>
      <c r="Q128" s="67" t="s">
        <v>57</v>
      </c>
      <c r="S128" s="6" t="s">
        <v>93</v>
      </c>
      <c r="AE128" s="6" t="s">
        <v>72</v>
      </c>
      <c r="AH128" s="6" t="s">
        <v>72</v>
      </c>
      <c r="AL128" s="6" t="s">
        <v>93</v>
      </c>
      <c r="AQ128" s="100" t="s">
        <v>57</v>
      </c>
      <c r="AR128" s="6" t="s">
        <v>57</v>
      </c>
      <c r="AU128" s="67" t="s">
        <v>57</v>
      </c>
    </row>
    <row r="129" spans="1:47" ht="15" customHeight="1">
      <c r="B129" s="6" t="s">
        <v>600</v>
      </c>
      <c r="C129" s="6">
        <v>6162575381</v>
      </c>
      <c r="G129" s="9">
        <v>25638</v>
      </c>
      <c r="H129" s="6" t="s">
        <v>55</v>
      </c>
      <c r="I129" s="6" t="s">
        <v>34</v>
      </c>
      <c r="J129" s="6" t="s">
        <v>36</v>
      </c>
      <c r="P129" s="6" t="s">
        <v>601</v>
      </c>
      <c r="Q129" s="67" t="s">
        <v>57</v>
      </c>
      <c r="S129" s="6" t="s">
        <v>247</v>
      </c>
      <c r="T129" s="6" t="s">
        <v>59</v>
      </c>
      <c r="U129" s="6" t="s">
        <v>231</v>
      </c>
      <c r="AD129" s="6" t="s">
        <v>189</v>
      </c>
      <c r="AE129" s="6" t="s">
        <v>61</v>
      </c>
      <c r="AH129" s="6" t="s">
        <v>61</v>
      </c>
      <c r="AL129" s="6" t="s">
        <v>247</v>
      </c>
      <c r="AM129" s="6" t="s">
        <v>59</v>
      </c>
      <c r="AQ129" s="100" t="s">
        <v>57</v>
      </c>
      <c r="AR129" s="6" t="s">
        <v>57</v>
      </c>
      <c r="AU129" s="67" t="s">
        <v>57</v>
      </c>
    </row>
    <row r="130" spans="1:47" ht="15" customHeight="1">
      <c r="B130" s="6" t="s">
        <v>602</v>
      </c>
      <c r="C130" s="6">
        <v>4965852087</v>
      </c>
      <c r="G130" s="9">
        <v>24601</v>
      </c>
      <c r="H130" s="6" t="s">
        <v>55</v>
      </c>
      <c r="I130" s="6" t="s">
        <v>34</v>
      </c>
      <c r="K130" s="6" t="s">
        <v>36</v>
      </c>
      <c r="P130" s="6" t="s">
        <v>603</v>
      </c>
      <c r="Q130" s="67" t="s">
        <v>57</v>
      </c>
      <c r="S130" s="6" t="s">
        <v>68</v>
      </c>
      <c r="T130" s="6" t="s">
        <v>124</v>
      </c>
      <c r="AD130" s="6" t="s">
        <v>97</v>
      </c>
      <c r="AE130" s="6" t="s">
        <v>67</v>
      </c>
      <c r="AH130" s="6" t="s">
        <v>67</v>
      </c>
      <c r="AL130" s="6" t="s">
        <v>68</v>
      </c>
      <c r="AM130" s="6" t="s">
        <v>124</v>
      </c>
      <c r="AQ130" s="100" t="s">
        <v>57</v>
      </c>
      <c r="AR130" s="6" t="s">
        <v>57</v>
      </c>
      <c r="AU130" s="67" t="s">
        <v>57</v>
      </c>
    </row>
    <row r="131" spans="1:47" ht="15" customHeight="1">
      <c r="B131" s="6" t="s">
        <v>604</v>
      </c>
      <c r="C131" s="6">
        <v>4867486337</v>
      </c>
      <c r="G131" s="9">
        <v>28471</v>
      </c>
      <c r="H131" s="6" t="s">
        <v>55</v>
      </c>
      <c r="I131" s="6" t="s">
        <v>34</v>
      </c>
      <c r="L131" s="6" t="s">
        <v>36</v>
      </c>
      <c r="P131" s="6" t="s">
        <v>605</v>
      </c>
      <c r="Q131" s="67" t="s">
        <v>57</v>
      </c>
      <c r="S131" s="6" t="s">
        <v>151</v>
      </c>
      <c r="T131" s="6" t="s">
        <v>212</v>
      </c>
      <c r="U131" s="6" t="s">
        <v>76</v>
      </c>
      <c r="V131" s="6" t="s">
        <v>89</v>
      </c>
      <c r="W131" s="6" t="s">
        <v>97</v>
      </c>
      <c r="AD131" s="6" t="s">
        <v>86</v>
      </c>
      <c r="AE131" s="6" t="s">
        <v>79</v>
      </c>
      <c r="AH131" s="6" t="s">
        <v>79</v>
      </c>
      <c r="AL131" s="6" t="s">
        <v>151</v>
      </c>
      <c r="AM131" s="6" t="s">
        <v>212</v>
      </c>
      <c r="AQ131" s="100" t="s">
        <v>57</v>
      </c>
      <c r="AR131" s="6" t="s">
        <v>57</v>
      </c>
      <c r="AU131" s="67" t="s">
        <v>57</v>
      </c>
    </row>
    <row r="132" spans="1:47" ht="15" customHeight="1">
      <c r="B132" s="6" t="s">
        <v>606</v>
      </c>
      <c r="C132" s="6">
        <v>4121847199</v>
      </c>
      <c r="G132" s="9">
        <v>24662</v>
      </c>
      <c r="H132" s="6" t="s">
        <v>55</v>
      </c>
      <c r="I132" s="6" t="s">
        <v>34</v>
      </c>
      <c r="L132" s="6" t="s">
        <v>36</v>
      </c>
      <c r="P132" s="6" t="s">
        <v>607</v>
      </c>
      <c r="Q132" s="67" t="s">
        <v>57</v>
      </c>
      <c r="AD132" s="6" t="s">
        <v>608</v>
      </c>
      <c r="AU132" s="67" t="s">
        <v>57</v>
      </c>
    </row>
    <row r="133" spans="1:47" ht="15" customHeight="1">
      <c r="B133" s="6" t="s">
        <v>609</v>
      </c>
      <c r="C133" s="6">
        <v>4160646824</v>
      </c>
      <c r="G133" s="9">
        <v>25151</v>
      </c>
      <c r="H133" s="6" t="s">
        <v>55</v>
      </c>
      <c r="I133" s="6" t="s">
        <v>34</v>
      </c>
      <c r="L133" s="6" t="s">
        <v>36</v>
      </c>
      <c r="P133" s="6" t="s">
        <v>610</v>
      </c>
      <c r="Q133" s="67" t="s">
        <v>57</v>
      </c>
      <c r="S133" s="6" t="s">
        <v>158</v>
      </c>
      <c r="T133" s="6" t="s">
        <v>124</v>
      </c>
      <c r="AD133" s="6" t="s">
        <v>611</v>
      </c>
      <c r="AE133" s="6" t="s">
        <v>160</v>
      </c>
      <c r="AH133" s="6" t="s">
        <v>160</v>
      </c>
      <c r="AL133" s="6" t="s">
        <v>158</v>
      </c>
      <c r="AM133" s="6" t="s">
        <v>124</v>
      </c>
      <c r="AQ133" s="100" t="s">
        <v>57</v>
      </c>
      <c r="AR133" s="6" t="s">
        <v>57</v>
      </c>
      <c r="AU133" s="67" t="s">
        <v>57</v>
      </c>
    </row>
    <row r="134" spans="1:47" ht="15" customHeight="1">
      <c r="B134" s="6" t="s">
        <v>612</v>
      </c>
      <c r="C134" s="6">
        <v>4741506762</v>
      </c>
      <c r="G134" s="9">
        <v>15065</v>
      </c>
      <c r="H134" s="6" t="s">
        <v>55</v>
      </c>
      <c r="I134" s="6" t="s">
        <v>34</v>
      </c>
      <c r="K134" s="6" t="s">
        <v>36</v>
      </c>
      <c r="P134" s="6" t="s">
        <v>613</v>
      </c>
      <c r="Q134" s="67" t="s">
        <v>57</v>
      </c>
      <c r="S134" s="6" t="s">
        <v>82</v>
      </c>
      <c r="T134" s="6" t="s">
        <v>93</v>
      </c>
      <c r="U134" s="6" t="s">
        <v>58</v>
      </c>
      <c r="AD134" s="6" t="s">
        <v>614</v>
      </c>
      <c r="AE134" s="6" t="s">
        <v>92</v>
      </c>
      <c r="AH134" s="6" t="s">
        <v>92</v>
      </c>
      <c r="AL134" s="6" t="s">
        <v>82</v>
      </c>
      <c r="AM134" s="6" t="s">
        <v>93</v>
      </c>
      <c r="AQ134" s="100" t="s">
        <v>57</v>
      </c>
      <c r="AR134" s="6" t="s">
        <v>57</v>
      </c>
      <c r="AU134" s="67" t="s">
        <v>57</v>
      </c>
    </row>
    <row r="135" spans="1:47" ht="15" customHeight="1">
      <c r="B135" s="6" t="s">
        <v>615</v>
      </c>
      <c r="C135" s="6">
        <v>4863112300</v>
      </c>
      <c r="G135" s="9">
        <v>22444</v>
      </c>
      <c r="H135" s="6" t="s">
        <v>55</v>
      </c>
      <c r="I135" s="6" t="s">
        <v>34</v>
      </c>
      <c r="L135" s="6" t="s">
        <v>36</v>
      </c>
      <c r="P135" s="6" t="s">
        <v>616</v>
      </c>
      <c r="Q135" s="67" t="s">
        <v>57</v>
      </c>
      <c r="S135" s="6" t="s">
        <v>93</v>
      </c>
      <c r="T135" s="6" t="s">
        <v>77</v>
      </c>
      <c r="U135" s="6" t="s">
        <v>82</v>
      </c>
      <c r="AD135" s="6" t="s">
        <v>617</v>
      </c>
      <c r="AE135" s="6" t="s">
        <v>76</v>
      </c>
      <c r="AH135" s="6" t="s">
        <v>76</v>
      </c>
      <c r="AL135" s="6" t="s">
        <v>93</v>
      </c>
      <c r="AM135" s="6" t="s">
        <v>77</v>
      </c>
      <c r="AQ135" s="100" t="s">
        <v>57</v>
      </c>
      <c r="AR135" s="6" t="s">
        <v>57</v>
      </c>
      <c r="AU135" s="67" t="s">
        <v>57</v>
      </c>
    </row>
    <row r="136" spans="1:47" ht="15" customHeight="1">
      <c r="B136" s="6" t="s">
        <v>618</v>
      </c>
      <c r="C136" s="6">
        <v>6264818844</v>
      </c>
      <c r="G136" s="9">
        <v>22846</v>
      </c>
      <c r="H136" s="6" t="s">
        <v>55</v>
      </c>
      <c r="I136" s="6" t="s">
        <v>34</v>
      </c>
      <c r="K136" s="6" t="s">
        <v>36</v>
      </c>
      <c r="P136" s="6" t="s">
        <v>619</v>
      </c>
      <c r="Q136" s="67" t="s">
        <v>57</v>
      </c>
      <c r="S136" s="6" t="s">
        <v>82</v>
      </c>
      <c r="T136" s="6" t="s">
        <v>85</v>
      </c>
      <c r="U136" s="6" t="s">
        <v>89</v>
      </c>
      <c r="AE136" s="6" t="s">
        <v>92</v>
      </c>
      <c r="AH136" s="6" t="s">
        <v>92</v>
      </c>
      <c r="AL136" s="6" t="s">
        <v>82</v>
      </c>
      <c r="AM136" s="6" t="s">
        <v>85</v>
      </c>
      <c r="AQ136" s="100" t="s">
        <v>57</v>
      </c>
      <c r="AR136" s="6" t="s">
        <v>57</v>
      </c>
      <c r="AU136" s="67" t="s">
        <v>57</v>
      </c>
    </row>
    <row r="137" spans="1:47" ht="15" customHeight="1">
      <c r="B137" s="6" t="s">
        <v>620</v>
      </c>
      <c r="C137" s="6">
        <v>6367105387</v>
      </c>
      <c r="G137" s="9">
        <v>26249</v>
      </c>
      <c r="H137" s="6" t="s">
        <v>55</v>
      </c>
      <c r="I137" s="6" t="s">
        <v>34</v>
      </c>
      <c r="J137" s="6" t="s">
        <v>36</v>
      </c>
      <c r="P137" s="6" t="s">
        <v>621</v>
      </c>
      <c r="Q137" s="67" t="s">
        <v>57</v>
      </c>
      <c r="S137" s="6" t="s">
        <v>76</v>
      </c>
      <c r="T137" s="6" t="s">
        <v>93</v>
      </c>
      <c r="AE137" s="6" t="s">
        <v>79</v>
      </c>
      <c r="AH137" s="6" t="s">
        <v>79</v>
      </c>
      <c r="AL137" s="6" t="s">
        <v>76</v>
      </c>
      <c r="AM137" s="6" t="s">
        <v>93</v>
      </c>
      <c r="AQ137" s="100" t="s">
        <v>57</v>
      </c>
      <c r="AR137" s="6" t="s">
        <v>57</v>
      </c>
      <c r="AU137" s="67" t="s">
        <v>57</v>
      </c>
    </row>
    <row r="138" spans="1:47" s="75" customFormat="1" ht="15" customHeight="1">
      <c r="A138" s="75" t="s">
        <v>317</v>
      </c>
      <c r="B138" s="75" t="s">
        <v>622</v>
      </c>
      <c r="G138" s="78">
        <v>29300</v>
      </c>
      <c r="H138" s="75" t="s">
        <v>55</v>
      </c>
    </row>
    <row r="139" spans="1:47" ht="15" customHeight="1">
      <c r="B139" s="6" t="s">
        <v>623</v>
      </c>
      <c r="C139" s="6">
        <v>4303298417</v>
      </c>
      <c r="G139" s="9">
        <v>16984</v>
      </c>
      <c r="H139" s="6" t="s">
        <v>55</v>
      </c>
      <c r="I139" s="6" t="s">
        <v>34</v>
      </c>
      <c r="L139" s="6" t="s">
        <v>36</v>
      </c>
      <c r="P139" s="6" t="s">
        <v>624</v>
      </c>
      <c r="Q139" s="67" t="s">
        <v>57</v>
      </c>
      <c r="S139" s="6" t="s">
        <v>67</v>
      </c>
      <c r="X139" s="6" t="s">
        <v>625</v>
      </c>
      <c r="Y139" s="6" t="s">
        <v>402</v>
      </c>
      <c r="Z139" s="6" t="s">
        <v>63</v>
      </c>
      <c r="AA139" s="6" t="s">
        <v>322</v>
      </c>
      <c r="AD139" s="6" t="s">
        <v>626</v>
      </c>
      <c r="AE139" s="6" t="s">
        <v>113</v>
      </c>
      <c r="AH139" s="6" t="s">
        <v>113</v>
      </c>
      <c r="AL139" s="6" t="s">
        <v>67</v>
      </c>
      <c r="AN139" s="6" t="s">
        <v>625</v>
      </c>
      <c r="AQ139" s="100" t="s">
        <v>57</v>
      </c>
      <c r="AR139" s="6" t="s">
        <v>57</v>
      </c>
      <c r="AU139" s="67" t="s">
        <v>57</v>
      </c>
    </row>
    <row r="140" spans="1:47" ht="15" customHeight="1">
      <c r="B140" s="6" t="s">
        <v>627</v>
      </c>
      <c r="C140" s="6">
        <v>4506135679</v>
      </c>
      <c r="G140" s="9">
        <v>21612</v>
      </c>
      <c r="H140" s="6" t="s">
        <v>55</v>
      </c>
      <c r="I140" s="6" t="s">
        <v>34</v>
      </c>
      <c r="J140" s="6" t="s">
        <v>36</v>
      </c>
      <c r="P140" s="6" t="s">
        <v>628</v>
      </c>
      <c r="Q140" s="67" t="s">
        <v>57</v>
      </c>
      <c r="AU140" s="67" t="s">
        <v>57</v>
      </c>
    </row>
    <row r="141" spans="1:47" ht="15" customHeight="1">
      <c r="B141" s="6" t="s">
        <v>629</v>
      </c>
      <c r="C141" s="6">
        <v>6502089259</v>
      </c>
      <c r="G141" s="9">
        <v>27246</v>
      </c>
      <c r="H141" s="6" t="s">
        <v>55</v>
      </c>
      <c r="I141" s="6" t="s">
        <v>34</v>
      </c>
      <c r="K141" s="6" t="s">
        <v>36</v>
      </c>
      <c r="P141" s="6" t="s">
        <v>630</v>
      </c>
      <c r="Q141" s="67" t="s">
        <v>57</v>
      </c>
      <c r="S141" s="6" t="s">
        <v>189</v>
      </c>
      <c r="T141" s="6" t="s">
        <v>159</v>
      </c>
      <c r="U141" s="6" t="s">
        <v>509</v>
      </c>
      <c r="V141" s="6" t="s">
        <v>124</v>
      </c>
      <c r="W141" s="6" t="s">
        <v>631</v>
      </c>
      <c r="AE141" s="6" t="s">
        <v>282</v>
      </c>
      <c r="AH141" s="6" t="s">
        <v>282</v>
      </c>
      <c r="AL141" s="6" t="s">
        <v>189</v>
      </c>
      <c r="AM141" s="6" t="s">
        <v>159</v>
      </c>
      <c r="AQ141" s="100" t="s">
        <v>57</v>
      </c>
      <c r="AR141" s="6" t="s">
        <v>57</v>
      </c>
      <c r="AU141" s="67" t="s">
        <v>57</v>
      </c>
    </row>
    <row r="142" spans="1:47" ht="15" customHeight="1">
      <c r="B142" s="6" t="s">
        <v>632</v>
      </c>
      <c r="C142" s="6">
        <v>4124911459</v>
      </c>
      <c r="G142" s="9">
        <v>27549</v>
      </c>
      <c r="H142" s="6" t="s">
        <v>55</v>
      </c>
      <c r="I142" s="6" t="s">
        <v>34</v>
      </c>
      <c r="K142" s="6" t="s">
        <v>36</v>
      </c>
      <c r="P142" s="6" t="s">
        <v>293</v>
      </c>
      <c r="Q142" s="67" t="s">
        <v>57</v>
      </c>
      <c r="S142" s="6" t="s">
        <v>189</v>
      </c>
      <c r="T142" s="6" t="s">
        <v>212</v>
      </c>
      <c r="AE142" s="6" t="s">
        <v>158</v>
      </c>
      <c r="AH142" s="6" t="s">
        <v>158</v>
      </c>
      <c r="AL142" s="6" t="s">
        <v>189</v>
      </c>
      <c r="AM142" s="6" t="s">
        <v>212</v>
      </c>
      <c r="AQ142" s="100" t="s">
        <v>57</v>
      </c>
      <c r="AR142" s="6" t="s">
        <v>57</v>
      </c>
      <c r="AU142" s="67" t="s">
        <v>57</v>
      </c>
    </row>
    <row r="143" spans="1:47" ht="15" customHeight="1">
      <c r="B143" s="6" t="s">
        <v>633</v>
      </c>
      <c r="C143" s="6">
        <v>4506940318</v>
      </c>
      <c r="G143" s="9">
        <v>22046</v>
      </c>
      <c r="H143" s="6" t="s">
        <v>55</v>
      </c>
      <c r="I143" s="6" t="s">
        <v>34</v>
      </c>
      <c r="K143" s="6" t="s">
        <v>36</v>
      </c>
      <c r="P143" s="6" t="s">
        <v>634</v>
      </c>
      <c r="Q143" s="67" t="s">
        <v>57</v>
      </c>
      <c r="S143" s="6" t="s">
        <v>417</v>
      </c>
      <c r="T143" s="6" t="s">
        <v>68</v>
      </c>
      <c r="U143" s="6" t="s">
        <v>108</v>
      </c>
      <c r="V143" s="6" t="s">
        <v>175</v>
      </c>
      <c r="W143" s="6" t="s">
        <v>635</v>
      </c>
      <c r="AE143" s="6" t="s">
        <v>96</v>
      </c>
      <c r="AH143" s="6" t="s">
        <v>96</v>
      </c>
      <c r="AL143" s="6" t="s">
        <v>417</v>
      </c>
      <c r="AM143" s="6" t="s">
        <v>68</v>
      </c>
      <c r="AQ143" s="100" t="s">
        <v>57</v>
      </c>
      <c r="AR143" s="6" t="s">
        <v>57</v>
      </c>
      <c r="AU143" s="67" t="s">
        <v>57</v>
      </c>
    </row>
    <row r="144" spans="1:47" ht="15" customHeight="1">
      <c r="B144" s="6" t="s">
        <v>636</v>
      </c>
      <c r="C144" s="6">
        <v>4582362958</v>
      </c>
      <c r="G144" s="9">
        <v>19700</v>
      </c>
      <c r="H144" s="6" t="s">
        <v>55</v>
      </c>
      <c r="I144" s="6" t="s">
        <v>34</v>
      </c>
      <c r="L144" s="6" t="s">
        <v>36</v>
      </c>
      <c r="P144" s="6" t="s">
        <v>637</v>
      </c>
      <c r="Q144" s="67" t="s">
        <v>57</v>
      </c>
      <c r="S144" s="6" t="s">
        <v>61</v>
      </c>
      <c r="T144" s="6" t="s">
        <v>67</v>
      </c>
      <c r="U144" s="6" t="s">
        <v>68</v>
      </c>
      <c r="V144" s="6" t="s">
        <v>97</v>
      </c>
      <c r="W144" s="6" t="s">
        <v>638</v>
      </c>
      <c r="AE144" s="6" t="s">
        <v>283</v>
      </c>
      <c r="AH144" s="6" t="s">
        <v>283</v>
      </c>
      <c r="AL144" s="6" t="s">
        <v>61</v>
      </c>
      <c r="AM144" s="6" t="s">
        <v>67</v>
      </c>
      <c r="AQ144" s="100" t="s">
        <v>57</v>
      </c>
      <c r="AR144" s="6" t="s">
        <v>57</v>
      </c>
      <c r="AU144" s="67" t="s">
        <v>57</v>
      </c>
    </row>
    <row r="145" spans="1:47" ht="15" customHeight="1">
      <c r="B145" s="6" t="s">
        <v>639</v>
      </c>
      <c r="C145" s="6">
        <v>4861826071</v>
      </c>
      <c r="G145" s="9">
        <v>22551</v>
      </c>
      <c r="H145" s="6" t="s">
        <v>55</v>
      </c>
      <c r="I145" s="6" t="s">
        <v>34</v>
      </c>
      <c r="K145" s="6" t="s">
        <v>36</v>
      </c>
      <c r="P145" s="6" t="s">
        <v>596</v>
      </c>
      <c r="Q145" s="67" t="s">
        <v>57</v>
      </c>
      <c r="S145" s="6" t="s">
        <v>173</v>
      </c>
      <c r="T145" s="6" t="s">
        <v>78</v>
      </c>
      <c r="AE145" s="6" t="s">
        <v>68</v>
      </c>
      <c r="AH145" s="6" t="s">
        <v>68</v>
      </c>
      <c r="AL145" s="6" t="s">
        <v>173</v>
      </c>
      <c r="AM145" s="6" t="s">
        <v>78</v>
      </c>
      <c r="AQ145" s="100" t="s">
        <v>57</v>
      </c>
      <c r="AR145" s="6" t="s">
        <v>57</v>
      </c>
      <c r="AU145" s="67" t="s">
        <v>57</v>
      </c>
    </row>
    <row r="146" spans="1:47" ht="15" customHeight="1">
      <c r="B146" s="6" t="s">
        <v>640</v>
      </c>
      <c r="C146" s="6">
        <v>4088296923</v>
      </c>
      <c r="G146" s="9">
        <v>16905</v>
      </c>
      <c r="H146" s="6" t="s">
        <v>55</v>
      </c>
      <c r="I146" s="6" t="s">
        <v>34</v>
      </c>
      <c r="K146" s="6" t="s">
        <v>36</v>
      </c>
      <c r="P146" s="6" t="s">
        <v>641</v>
      </c>
      <c r="Q146" s="67" t="s">
        <v>57</v>
      </c>
      <c r="S146" s="6" t="s">
        <v>64</v>
      </c>
      <c r="T146" s="6" t="s">
        <v>73</v>
      </c>
      <c r="U146" s="6" t="s">
        <v>81</v>
      </c>
      <c r="V146" s="6" t="s">
        <v>116</v>
      </c>
      <c r="AE146" s="6" t="s">
        <v>137</v>
      </c>
      <c r="AH146" s="6" t="s">
        <v>137</v>
      </c>
      <c r="AL146" s="6" t="s">
        <v>64</v>
      </c>
      <c r="AM146" s="6" t="s">
        <v>73</v>
      </c>
      <c r="AQ146" s="100" t="s">
        <v>57</v>
      </c>
      <c r="AR146" s="6" t="s">
        <v>57</v>
      </c>
      <c r="AU146" s="67" t="s">
        <v>57</v>
      </c>
    </row>
    <row r="147" spans="1:47" ht="15" customHeight="1">
      <c r="B147" s="6" t="s">
        <v>642</v>
      </c>
      <c r="C147" s="6">
        <v>4521206697</v>
      </c>
      <c r="G147" s="9">
        <v>18855</v>
      </c>
      <c r="H147" s="6" t="s">
        <v>55</v>
      </c>
      <c r="I147" s="6" t="s">
        <v>34</v>
      </c>
      <c r="L147" s="6" t="s">
        <v>36</v>
      </c>
      <c r="P147" s="6" t="s">
        <v>643</v>
      </c>
      <c r="Q147" s="67" t="s">
        <v>57</v>
      </c>
      <c r="S147" s="6" t="s">
        <v>67</v>
      </c>
      <c r="T147" s="6" t="s">
        <v>68</v>
      </c>
      <c r="U147" s="6" t="s">
        <v>506</v>
      </c>
      <c r="AE147" s="6" t="s">
        <v>644</v>
      </c>
      <c r="AH147" s="6" t="s">
        <v>644</v>
      </c>
      <c r="AL147" s="6" t="s">
        <v>67</v>
      </c>
      <c r="AM147" s="6" t="s">
        <v>68</v>
      </c>
      <c r="AQ147" s="100" t="s">
        <v>57</v>
      </c>
      <c r="AR147" s="6" t="s">
        <v>57</v>
      </c>
      <c r="AU147" s="67" t="s">
        <v>57</v>
      </c>
    </row>
    <row r="148" spans="1:47" ht="15" customHeight="1">
      <c r="B148" s="6" t="s">
        <v>645</v>
      </c>
      <c r="C148" s="6">
        <v>6260990197</v>
      </c>
      <c r="G148" s="9">
        <v>18787</v>
      </c>
      <c r="H148" s="6" t="s">
        <v>55</v>
      </c>
      <c r="I148" s="6" t="s">
        <v>34</v>
      </c>
      <c r="K148" s="6" t="s">
        <v>36</v>
      </c>
      <c r="R148" s="6" t="s">
        <v>646</v>
      </c>
      <c r="AU148" s="67"/>
    </row>
    <row r="149" spans="1:47" ht="15" customHeight="1">
      <c r="B149" s="6" t="s">
        <v>647</v>
      </c>
      <c r="C149" s="6">
        <v>4509153074</v>
      </c>
      <c r="G149" s="9">
        <v>18433</v>
      </c>
      <c r="H149" s="6" t="s">
        <v>55</v>
      </c>
      <c r="I149" s="6" t="s">
        <v>34</v>
      </c>
      <c r="K149" s="6" t="s">
        <v>36</v>
      </c>
      <c r="P149" s="6" t="s">
        <v>648</v>
      </c>
      <c r="Q149" s="67" t="s">
        <v>57</v>
      </c>
      <c r="S149" s="6" t="s">
        <v>68</v>
      </c>
      <c r="T149" s="6" t="s">
        <v>89</v>
      </c>
      <c r="U149" s="6" t="s">
        <v>67</v>
      </c>
      <c r="AE149" s="6" t="s">
        <v>97</v>
      </c>
      <c r="AH149" s="6" t="s">
        <v>97</v>
      </c>
      <c r="AL149" s="6" t="s">
        <v>68</v>
      </c>
      <c r="AM149" s="6" t="s">
        <v>89</v>
      </c>
      <c r="AQ149" s="100" t="s">
        <v>57</v>
      </c>
      <c r="AR149" s="6" t="s">
        <v>57</v>
      </c>
      <c r="AU149" s="67" t="s">
        <v>57</v>
      </c>
    </row>
    <row r="150" spans="1:47" ht="15" customHeight="1">
      <c r="B150" s="6" t="s">
        <v>649</v>
      </c>
      <c r="C150" s="6">
        <v>4528394286</v>
      </c>
      <c r="G150" s="9">
        <v>17754</v>
      </c>
      <c r="H150" s="6" t="s">
        <v>55</v>
      </c>
      <c r="I150" s="6" t="s">
        <v>34</v>
      </c>
      <c r="K150" s="6" t="s">
        <v>36</v>
      </c>
      <c r="R150" s="6" t="s">
        <v>131</v>
      </c>
      <c r="AU150" s="67"/>
    </row>
    <row r="151" spans="1:47" ht="15" customHeight="1">
      <c r="B151" s="6" t="s">
        <v>650</v>
      </c>
      <c r="C151" s="6">
        <v>4848774993</v>
      </c>
      <c r="G151" s="9">
        <v>21661</v>
      </c>
      <c r="H151" s="6" t="s">
        <v>55</v>
      </c>
      <c r="I151" s="6" t="s">
        <v>34</v>
      </c>
      <c r="K151" s="6" t="s">
        <v>36</v>
      </c>
      <c r="P151" s="6" t="s">
        <v>651</v>
      </c>
      <c r="Q151" s="67" t="s">
        <v>57</v>
      </c>
      <c r="S151" s="6" t="s">
        <v>652</v>
      </c>
      <c r="T151" s="6" t="s">
        <v>82</v>
      </c>
      <c r="U151" s="6" t="s">
        <v>173</v>
      </c>
      <c r="V151" s="6" t="s">
        <v>137</v>
      </c>
      <c r="X151" s="6" t="s">
        <v>256</v>
      </c>
      <c r="Y151" s="6" t="s">
        <v>408</v>
      </c>
      <c r="AD151" s="6" t="s">
        <v>64</v>
      </c>
      <c r="AE151" s="6" t="s">
        <v>92</v>
      </c>
      <c r="AH151" s="6" t="s">
        <v>92</v>
      </c>
      <c r="AL151" s="6" t="s">
        <v>652</v>
      </c>
      <c r="AN151" s="6" t="s">
        <v>256</v>
      </c>
      <c r="AQ151" s="100" t="s">
        <v>57</v>
      </c>
      <c r="AR151" s="6" t="s">
        <v>57</v>
      </c>
      <c r="AU151" s="67" t="s">
        <v>57</v>
      </c>
    </row>
    <row r="152" spans="1:47" ht="15" customHeight="1">
      <c r="B152" s="6" t="s">
        <v>653</v>
      </c>
      <c r="C152" s="6">
        <v>4884579828</v>
      </c>
      <c r="G152" s="9">
        <v>19359</v>
      </c>
      <c r="H152" s="6" t="s">
        <v>55</v>
      </c>
      <c r="I152" s="6" t="s">
        <v>34</v>
      </c>
      <c r="J152" s="6" t="s">
        <v>36</v>
      </c>
      <c r="P152" s="6" t="s">
        <v>654</v>
      </c>
      <c r="Q152" s="67" t="s">
        <v>57</v>
      </c>
      <c r="AU152" s="67" t="s">
        <v>57</v>
      </c>
    </row>
    <row r="153" spans="1:47" ht="15" customHeight="1">
      <c r="B153" s="6" t="s">
        <v>655</v>
      </c>
      <c r="C153" s="6">
        <v>4989538099</v>
      </c>
      <c r="G153" s="9">
        <v>15014</v>
      </c>
      <c r="H153" s="6" t="s">
        <v>55</v>
      </c>
      <c r="I153" s="6" t="s">
        <v>34</v>
      </c>
      <c r="K153" s="6" t="s">
        <v>36</v>
      </c>
      <c r="P153" s="6" t="s">
        <v>656</v>
      </c>
      <c r="Q153" s="67" t="s">
        <v>57</v>
      </c>
      <c r="S153" s="6" t="s">
        <v>59</v>
      </c>
      <c r="T153" s="6" t="s">
        <v>85</v>
      </c>
      <c r="U153" s="6" t="s">
        <v>89</v>
      </c>
      <c r="V153" s="6" t="s">
        <v>97</v>
      </c>
      <c r="W153" s="6" t="s">
        <v>67</v>
      </c>
      <c r="AD153" s="6" t="s">
        <v>68</v>
      </c>
      <c r="AE153" s="6" t="s">
        <v>61</v>
      </c>
      <c r="AH153" s="6" t="s">
        <v>61</v>
      </c>
      <c r="AL153" s="6" t="s">
        <v>59</v>
      </c>
      <c r="AM153" s="6" t="s">
        <v>85</v>
      </c>
      <c r="AQ153" s="100" t="s">
        <v>57</v>
      </c>
      <c r="AR153" s="6" t="s">
        <v>57</v>
      </c>
      <c r="AU153" s="67" t="s">
        <v>57</v>
      </c>
    </row>
    <row r="154" spans="1:47" ht="15" customHeight="1">
      <c r="B154" s="6" t="s">
        <v>657</v>
      </c>
      <c r="C154" s="6">
        <v>4981391307</v>
      </c>
      <c r="G154" s="9">
        <v>19161</v>
      </c>
      <c r="H154" s="6" t="s">
        <v>55</v>
      </c>
      <c r="I154" s="6" t="s">
        <v>34</v>
      </c>
      <c r="K154" s="6" t="s">
        <v>36</v>
      </c>
      <c r="P154" s="6" t="s">
        <v>658</v>
      </c>
      <c r="Q154" s="67" t="s">
        <v>57</v>
      </c>
      <c r="X154" s="6" t="s">
        <v>424</v>
      </c>
      <c r="Y154" s="6" t="s">
        <v>182</v>
      </c>
      <c r="Z154" s="6" t="s">
        <v>425</v>
      </c>
      <c r="AA154" s="6" t="s">
        <v>659</v>
      </c>
      <c r="AD154" s="6" t="s">
        <v>660</v>
      </c>
      <c r="AE154" s="6" t="s">
        <v>661</v>
      </c>
      <c r="AH154" s="6" t="s">
        <v>424</v>
      </c>
      <c r="AN154" s="6" t="s">
        <v>182</v>
      </c>
      <c r="AO154" s="6" t="s">
        <v>425</v>
      </c>
      <c r="AQ154" s="100" t="s">
        <v>57</v>
      </c>
      <c r="AR154" s="6" t="s">
        <v>57</v>
      </c>
      <c r="AU154" s="67" t="s">
        <v>57</v>
      </c>
    </row>
    <row r="155" spans="1:47" ht="15" customHeight="1">
      <c r="B155" s="6" t="s">
        <v>662</v>
      </c>
      <c r="C155" s="6">
        <v>4508513840</v>
      </c>
      <c r="G155" s="9">
        <v>17736</v>
      </c>
      <c r="H155" s="6" t="s">
        <v>55</v>
      </c>
      <c r="I155" s="6" t="s">
        <v>34</v>
      </c>
      <c r="K155" s="6" t="s">
        <v>36</v>
      </c>
      <c r="P155" s="6" t="s">
        <v>663</v>
      </c>
      <c r="Q155" s="67" t="s">
        <v>57</v>
      </c>
      <c r="S155" s="6" t="s">
        <v>506</v>
      </c>
      <c r="AE155" s="6" t="s">
        <v>283</v>
      </c>
      <c r="AH155" s="6" t="s">
        <v>283</v>
      </c>
      <c r="AL155" s="6" t="s">
        <v>506</v>
      </c>
      <c r="AQ155" s="100" t="s">
        <v>57</v>
      </c>
      <c r="AR155" s="6" t="s">
        <v>57</v>
      </c>
      <c r="AU155" s="67" t="s">
        <v>57</v>
      </c>
    </row>
    <row r="156" spans="1:47" ht="15" customHeight="1">
      <c r="B156" s="6" t="s">
        <v>664</v>
      </c>
      <c r="C156" s="6">
        <v>4342306727</v>
      </c>
      <c r="G156" s="9">
        <v>17208</v>
      </c>
      <c r="H156" s="6" t="s">
        <v>55</v>
      </c>
      <c r="I156" s="6" t="s">
        <v>34</v>
      </c>
      <c r="K156" s="6" t="s">
        <v>36</v>
      </c>
      <c r="P156" s="6" t="s">
        <v>665</v>
      </c>
      <c r="Q156" s="67" t="s">
        <v>57</v>
      </c>
      <c r="AD156" s="6" t="s">
        <v>160</v>
      </c>
      <c r="AU156" s="67" t="s">
        <v>57</v>
      </c>
    </row>
    <row r="157" spans="1:47" ht="15" customHeight="1">
      <c r="B157" s="6" t="s">
        <v>666</v>
      </c>
      <c r="C157" s="6">
        <v>4382196019</v>
      </c>
      <c r="G157" s="9">
        <v>16639</v>
      </c>
      <c r="H157" s="6" t="s">
        <v>55</v>
      </c>
      <c r="I157" s="6" t="s">
        <v>34</v>
      </c>
      <c r="J157" s="6" t="s">
        <v>36</v>
      </c>
      <c r="P157" s="6" t="s">
        <v>667</v>
      </c>
      <c r="Q157" s="67" t="s">
        <v>57</v>
      </c>
      <c r="S157" s="6" t="s">
        <v>113</v>
      </c>
      <c r="T157" s="6" t="s">
        <v>86</v>
      </c>
      <c r="U157" s="6" t="s">
        <v>89</v>
      </c>
      <c r="AE157" s="6" t="s">
        <v>96</v>
      </c>
      <c r="AH157" s="6" t="s">
        <v>96</v>
      </c>
      <c r="AL157" s="6" t="s">
        <v>113</v>
      </c>
      <c r="AM157" s="6" t="s">
        <v>86</v>
      </c>
      <c r="AQ157" s="100" t="s">
        <v>57</v>
      </c>
      <c r="AR157" s="6" t="s">
        <v>57</v>
      </c>
      <c r="AU157" s="67" t="s">
        <v>57</v>
      </c>
    </row>
    <row r="158" spans="1:47" ht="15" customHeight="1">
      <c r="B158" s="6" t="s">
        <v>668</v>
      </c>
      <c r="C158" s="6">
        <v>4863118333</v>
      </c>
      <c r="G158" s="9">
        <v>22677</v>
      </c>
      <c r="H158" s="6" t="s">
        <v>55</v>
      </c>
      <c r="I158" s="6" t="s">
        <v>34</v>
      </c>
      <c r="K158" s="6" t="s">
        <v>36</v>
      </c>
      <c r="P158" s="6" t="s">
        <v>669</v>
      </c>
      <c r="Q158" s="67" t="s">
        <v>57</v>
      </c>
      <c r="S158" s="6" t="s">
        <v>113</v>
      </c>
      <c r="T158" s="6" t="s">
        <v>86</v>
      </c>
      <c r="U158" s="6" t="s">
        <v>89</v>
      </c>
      <c r="V158" s="6" t="s">
        <v>67</v>
      </c>
      <c r="W158" s="6" t="s">
        <v>670</v>
      </c>
      <c r="X158" s="6" t="s">
        <v>402</v>
      </c>
      <c r="Y158" s="6" t="s">
        <v>322</v>
      </c>
      <c r="AD158" s="6" t="s">
        <v>671</v>
      </c>
      <c r="AE158" s="6" t="s">
        <v>93</v>
      </c>
      <c r="AH158" s="6" t="s">
        <v>93</v>
      </c>
      <c r="AL158" s="6" t="s">
        <v>113</v>
      </c>
      <c r="AN158" s="6" t="s">
        <v>402</v>
      </c>
      <c r="AQ158" s="100" t="s">
        <v>57</v>
      </c>
      <c r="AR158" s="6" t="s">
        <v>57</v>
      </c>
      <c r="AU158" s="67" t="s">
        <v>57</v>
      </c>
    </row>
    <row r="160" spans="1:47" ht="15" customHeight="1">
      <c r="A160" s="73">
        <f>COUNTA(Table13[Rejected])</f>
        <v>21</v>
      </c>
      <c r="B160" s="73">
        <f>COUNTA(Table13[Specimen number])</f>
        <v>154</v>
      </c>
      <c r="C160" s="73">
        <f>COUNTA(Table13[NHS numbers])</f>
        <v>134</v>
      </c>
      <c r="D160" s="73">
        <f>COUNTA(Table13[Tissue Pathway])</f>
        <v>0</v>
      </c>
      <c r="E160" s="73">
        <f>COUNTA(Table13[Specimen List Notes])</f>
        <v>0</v>
      </c>
      <c r="F160" s="73">
        <f>COUNTA(Table13[Patient Info Notes])</f>
        <v>0</v>
      </c>
      <c r="G160" s="73">
        <f>COUNTA(Table13[DOB])</f>
        <v>154</v>
      </c>
      <c r="H160" s="73">
        <f>COUNTA(Table13[Gender])</f>
        <v>154</v>
      </c>
      <c r="I160" s="73">
        <f>COUNTA(Table13[Dissent Y/N])</f>
        <v>134</v>
      </c>
      <c r="J160" s="73">
        <f>COUNTA(Table13[Consent])</f>
        <v>22</v>
      </c>
      <c r="K160" s="73">
        <f>COUNTA(Table13[Form Incomplete])</f>
        <v>81</v>
      </c>
      <c r="L160" s="73">
        <f>COUNTA(Table13[Form missing])</f>
        <v>30</v>
      </c>
      <c r="M160" s="73">
        <f>COUNTA(Table13[No. small slides from CellNass])</f>
        <v>0</v>
      </c>
      <c r="N160" s="73">
        <f>COUNTA(Table13[No. large slides from CellNass])</f>
        <v>0</v>
      </c>
      <c r="O160" s="73">
        <f>COUNTA(Table13[Total no. of slides recieved from CellNass])</f>
        <v>0</v>
      </c>
      <c r="P160" s="73">
        <f>COUNTA(Table13[Slides Collected])</f>
        <v>124</v>
      </c>
      <c r="Q160" s="81">
        <f>COUNTA(Table13[CoPath (SC)])</f>
        <v>124</v>
      </c>
      <c r="R160" s="73">
        <f>COUNTA(Table13[Slides Missing (if any…)])</f>
        <v>9</v>
      </c>
      <c r="S160" s="73">
        <f>COUNTA(Table13[P1])</f>
        <v>106</v>
      </c>
      <c r="T160" s="73">
        <f>COUNTA(Table13[P2])</f>
        <v>84</v>
      </c>
      <c r="U160" s="73">
        <f>COUNTA(Table13[P3])</f>
        <v>68</v>
      </c>
      <c r="V160" s="73">
        <f>COUNTA(Table13[P4])</f>
        <v>49</v>
      </c>
      <c r="W160" s="73">
        <f>COUNTA(Table13[P5])</f>
        <v>34</v>
      </c>
      <c r="X160" s="73">
        <f>COUNTA(Table13[M1])</f>
        <v>20</v>
      </c>
      <c r="Y160" s="73">
        <f>COUNTA(Table13[M2])</f>
        <v>17</v>
      </c>
      <c r="Z160" s="73">
        <f>COUNTA(Table13[M3])</f>
        <v>10</v>
      </c>
      <c r="AA160" s="73">
        <f>COUNTA(Table13[M4])</f>
        <v>6</v>
      </c>
      <c r="AB160" s="73">
        <f>COUNTA(Table13[M5])</f>
        <v>1</v>
      </c>
      <c r="AC160" s="73">
        <f>COUNTA(Table13[N])</f>
        <v>0</v>
      </c>
      <c r="AD160" s="73">
        <f>COUNTA(Table13[S])</f>
        <v>63</v>
      </c>
      <c r="AE160" s="73">
        <f>COUNTA(Table13[X])</f>
        <v>110</v>
      </c>
      <c r="AF160" s="73">
        <f>COUNTA(Table13[CoPath (SS)])</f>
        <v>0</v>
      </c>
      <c r="AG160" s="73">
        <f>COUNTA(Table13[Selected Slides Notes])</f>
        <v>0</v>
      </c>
      <c r="AH160" s="73">
        <f>COUNTA(Table13[X Blocks in Archive])</f>
        <v>105</v>
      </c>
      <c r="AI160" s="73">
        <f>COUNTA(Table13[X Blocks missing from Archive])</f>
        <v>3</v>
      </c>
      <c r="AJ160" s="73">
        <f>COUNTA(Table13[Blocks recieved from CellNass])</f>
        <v>0</v>
      </c>
      <c r="AK160" s="73">
        <f>COUNTA(Table13[Block Collection Notes])</f>
        <v>0</v>
      </c>
      <c r="AL160" s="73">
        <f>COUNTA(Table13[BP1])</f>
        <v>104</v>
      </c>
      <c r="AM160" s="73">
        <f>COUNTA(Table13[BP2])</f>
        <v>67</v>
      </c>
      <c r="AN160" s="73">
        <f>COUNTA(Table13[BM1])</f>
        <v>19</v>
      </c>
      <c r="AO160" s="73">
        <f>COUNTA(Table13[BM2])</f>
        <v>1</v>
      </c>
      <c r="AP160" s="73">
        <f>COUNTA(Table13[BN1])</f>
        <v>0</v>
      </c>
      <c r="AQ160" s="73">
        <f>COUNTA(Table13[CoPath (BC)])</f>
        <v>105</v>
      </c>
      <c r="AR160" s="73">
        <f>COUNTA(Table13[CoPath (Tristar)])</f>
        <v>104</v>
      </c>
      <c r="AS160" s="73">
        <f>COUNTA(Table13[Block Shipment Notes])</f>
        <v>0</v>
      </c>
      <c r="AT160" s="73">
        <f>COUNTA(Table13[Scanned?])</f>
        <v>0</v>
      </c>
      <c r="AU160" s="73">
        <f>COUNTA(Table13[CoPath (post scan)])</f>
        <v>124</v>
      </c>
    </row>
  </sheetData>
  <mergeCells count="1">
    <mergeCell ref="AH1:AS1"/>
  </mergeCells>
  <conditionalFormatting sqref="A3:A4">
    <cfRule type="duplicateValues" dxfId="177" priority="2"/>
  </conditionalFormatting>
  <pageMargins left="0.7" right="0.7" top="0.75" bottom="0.75" header="0.3" footer="0.3"/>
  <pageSetup paperSize="9" orientation="portrait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8EBE-E03B-4287-BF02-82A311C5484A}">
  <dimension ref="A1:AU139"/>
  <sheetViews>
    <sheetView zoomScale="124" zoomScaleNormal="90" workbookViewId="0">
      <pane xSplit="5" ySplit="4" topLeftCell="W5" activePane="bottomRight" state="frozen"/>
      <selection pane="bottomRight" activeCell="E9" sqref="E9"/>
      <selection pane="bottomLeft"/>
      <selection pane="topRight"/>
    </sheetView>
  </sheetViews>
  <sheetFormatPr defaultColWidth="9" defaultRowHeight="15" customHeight="1"/>
  <cols>
    <col min="1" max="1" width="9" style="6" customWidth="1"/>
    <col min="2" max="2" width="11" style="6" customWidth="1"/>
    <col min="3" max="3" width="11.5" style="6" customWidth="1"/>
    <col min="4" max="4" width="13" style="6" customWidth="1"/>
    <col min="5" max="5" width="9" style="6" customWidth="1"/>
    <col min="6" max="6" width="16.25" style="6" customWidth="1"/>
    <col min="7" max="7" width="17.25" style="6" bestFit="1" customWidth="1"/>
    <col min="8" max="8" width="9" style="6"/>
    <col min="9" max="9" width="13.625" style="6" bestFit="1" customWidth="1"/>
    <col min="10" max="10" width="9" style="6"/>
    <col min="11" max="12" width="13" style="6" bestFit="1" customWidth="1"/>
    <col min="13" max="15" width="19.875" style="6" customWidth="1"/>
    <col min="16" max="16" width="37.125" style="6" bestFit="1" customWidth="1"/>
    <col min="17" max="17" width="13.75" style="67" customWidth="1"/>
    <col min="18" max="18" width="24.375" style="6" customWidth="1"/>
    <col min="19" max="31" width="7.125" style="6" customWidth="1"/>
    <col min="32" max="32" width="13.625" style="6" customWidth="1"/>
    <col min="33" max="33" width="20.375" style="6" customWidth="1"/>
    <col min="34" max="34" width="12.125" style="6" customWidth="1"/>
    <col min="35" max="35" width="12" style="6" customWidth="1"/>
    <col min="36" max="36" width="19.875" style="6" customWidth="1"/>
    <col min="37" max="37" width="22.75" style="6" customWidth="1"/>
    <col min="38" max="42" width="9.625" style="6" customWidth="1"/>
    <col min="43" max="43" width="13.875" style="6" bestFit="1" customWidth="1"/>
    <col min="44" max="44" width="17.25" style="6" bestFit="1" customWidth="1"/>
    <col min="45" max="45" width="9" style="6"/>
    <col min="46" max="46" width="11.5" style="6" bestFit="1" customWidth="1"/>
    <col min="47" max="47" width="19.875" style="6" bestFit="1" customWidth="1"/>
    <col min="48" max="16384" width="9" style="6"/>
  </cols>
  <sheetData>
    <row r="1" spans="1:47" s="11" customFormat="1" ht="21">
      <c r="A1" s="10"/>
      <c r="B1" s="11" t="s">
        <v>0</v>
      </c>
      <c r="Q1" s="79"/>
      <c r="AH1" s="110" t="s">
        <v>1</v>
      </c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</row>
    <row r="2" spans="1:47" ht="12.75"/>
    <row r="3" spans="1:47" s="11" customFormat="1" ht="21.75" customHeight="1">
      <c r="A3" s="35"/>
      <c r="B3" s="36"/>
      <c r="C3" s="36"/>
      <c r="D3" s="36"/>
      <c r="E3" s="69"/>
      <c r="F3" s="45"/>
      <c r="G3" s="45" t="s">
        <v>2</v>
      </c>
      <c r="H3" s="46"/>
      <c r="I3" s="47"/>
      <c r="J3" s="48"/>
      <c r="K3" s="48" t="s">
        <v>3</v>
      </c>
      <c r="L3" s="49"/>
      <c r="M3" s="28"/>
      <c r="N3" s="28"/>
      <c r="O3" s="32"/>
      <c r="P3" s="37"/>
      <c r="Q3" s="12"/>
      <c r="R3" s="12"/>
      <c r="S3" s="37" t="s">
        <v>4</v>
      </c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12"/>
      <c r="AG3" s="12"/>
      <c r="AH3" s="13"/>
      <c r="AI3" s="14"/>
      <c r="AJ3" s="34"/>
      <c r="AK3" s="14"/>
      <c r="AL3" s="14" t="s">
        <v>5</v>
      </c>
      <c r="AM3" s="14"/>
      <c r="AN3" s="14"/>
      <c r="AO3" s="14"/>
      <c r="AP3" s="14"/>
      <c r="AQ3" s="14"/>
      <c r="AR3" s="14"/>
      <c r="AS3" s="41"/>
      <c r="AT3" s="39"/>
      <c r="AU3" s="30"/>
    </row>
    <row r="4" spans="1:47" s="11" customFormat="1" ht="31.5" customHeight="1">
      <c r="A4" s="43" t="s">
        <v>6</v>
      </c>
      <c r="B4" s="44" t="s">
        <v>7</v>
      </c>
      <c r="C4" s="44" t="s">
        <v>8</v>
      </c>
      <c r="D4" s="44" t="s">
        <v>9</v>
      </c>
      <c r="E4" s="70" t="s">
        <v>10</v>
      </c>
      <c r="F4" s="15" t="s">
        <v>11</v>
      </c>
      <c r="G4" s="15" t="s">
        <v>12</v>
      </c>
      <c r="H4" s="16" t="s">
        <v>13</v>
      </c>
      <c r="I4" s="18" t="s">
        <v>14</v>
      </c>
      <c r="J4" s="17" t="s">
        <v>15</v>
      </c>
      <c r="K4" s="18" t="s">
        <v>16</v>
      </c>
      <c r="L4" s="19" t="s">
        <v>17</v>
      </c>
      <c r="M4" s="29" t="s">
        <v>18</v>
      </c>
      <c r="N4" s="29" t="s">
        <v>19</v>
      </c>
      <c r="O4" s="33" t="s">
        <v>20</v>
      </c>
      <c r="P4" s="38" t="s">
        <v>21</v>
      </c>
      <c r="Q4" s="20" t="s">
        <v>22</v>
      </c>
      <c r="R4" s="20" t="s">
        <v>23</v>
      </c>
      <c r="S4" s="20" t="s">
        <v>24</v>
      </c>
      <c r="T4" s="20" t="s">
        <v>25</v>
      </c>
      <c r="U4" s="20" t="s">
        <v>26</v>
      </c>
      <c r="V4" s="20" t="s">
        <v>27</v>
      </c>
      <c r="W4" s="20" t="s">
        <v>28</v>
      </c>
      <c r="X4" s="20" t="s">
        <v>29</v>
      </c>
      <c r="Y4" s="20" t="s">
        <v>30</v>
      </c>
      <c r="Z4" s="20" t="s">
        <v>31</v>
      </c>
      <c r="AA4" s="20" t="s">
        <v>32</v>
      </c>
      <c r="AB4" s="20" t="s">
        <v>33</v>
      </c>
      <c r="AC4" s="20" t="s">
        <v>34</v>
      </c>
      <c r="AD4" s="20" t="s">
        <v>35</v>
      </c>
      <c r="AE4" s="20" t="s">
        <v>36</v>
      </c>
      <c r="AF4" s="20" t="s">
        <v>37</v>
      </c>
      <c r="AG4" s="20" t="s">
        <v>38</v>
      </c>
      <c r="AH4" s="21" t="s">
        <v>39</v>
      </c>
      <c r="AI4" s="22" t="s">
        <v>40</v>
      </c>
      <c r="AJ4" s="22" t="s">
        <v>41</v>
      </c>
      <c r="AK4" s="22" t="s">
        <v>42</v>
      </c>
      <c r="AL4" s="23" t="s">
        <v>43</v>
      </c>
      <c r="AM4" s="23" t="s">
        <v>44</v>
      </c>
      <c r="AN4" s="23" t="s">
        <v>45</v>
      </c>
      <c r="AO4" s="23" t="s">
        <v>46</v>
      </c>
      <c r="AP4" s="23" t="s">
        <v>47</v>
      </c>
      <c r="AQ4" s="23" t="s">
        <v>48</v>
      </c>
      <c r="AR4" s="23" t="s">
        <v>49</v>
      </c>
      <c r="AS4" s="42" t="s">
        <v>50</v>
      </c>
      <c r="AT4" s="40" t="s">
        <v>51</v>
      </c>
      <c r="AU4" s="31" t="s">
        <v>52</v>
      </c>
    </row>
    <row r="5" spans="1:47" ht="15" customHeight="1">
      <c r="B5" s="6" t="s">
        <v>672</v>
      </c>
      <c r="C5" s="6">
        <v>4382215706</v>
      </c>
      <c r="E5" s="84" t="s">
        <v>673</v>
      </c>
      <c r="G5" s="9">
        <v>15822</v>
      </c>
      <c r="H5" s="6" t="s">
        <v>55</v>
      </c>
      <c r="I5" s="6" t="s">
        <v>34</v>
      </c>
      <c r="L5" s="6" t="s">
        <v>36</v>
      </c>
      <c r="M5" s="6">
        <v>36</v>
      </c>
      <c r="O5" s="6">
        <v>36</v>
      </c>
      <c r="P5" s="6" t="s">
        <v>674</v>
      </c>
      <c r="Q5" s="67" t="s">
        <v>57</v>
      </c>
      <c r="S5" s="6" t="s">
        <v>116</v>
      </c>
      <c r="T5" s="6" t="s">
        <v>92</v>
      </c>
      <c r="U5" s="6" t="s">
        <v>73</v>
      </c>
      <c r="V5" s="6" t="s">
        <v>81</v>
      </c>
      <c r="W5" s="6" t="s">
        <v>137</v>
      </c>
      <c r="AE5" s="6" t="s">
        <v>64</v>
      </c>
      <c r="AH5" s="6" t="s">
        <v>64</v>
      </c>
      <c r="AJ5" s="6" t="s">
        <v>675</v>
      </c>
      <c r="AL5" s="6" t="s">
        <v>116</v>
      </c>
      <c r="AM5" s="6" t="s">
        <v>92</v>
      </c>
      <c r="AQ5" s="6" t="s">
        <v>57</v>
      </c>
      <c r="AU5" s="67" t="s">
        <v>57</v>
      </c>
    </row>
    <row r="6" spans="1:47" ht="15" customHeight="1">
      <c r="B6" s="6" t="s">
        <v>676</v>
      </c>
      <c r="C6" s="6">
        <v>4389307614</v>
      </c>
      <c r="E6" s="84" t="s">
        <v>673</v>
      </c>
      <c r="G6" s="9">
        <v>11009</v>
      </c>
      <c r="H6" s="6" t="s">
        <v>55</v>
      </c>
      <c r="I6" s="6" t="s">
        <v>34</v>
      </c>
      <c r="L6" s="6" t="s">
        <v>36</v>
      </c>
      <c r="M6" s="6">
        <v>51</v>
      </c>
      <c r="O6" s="6">
        <v>51</v>
      </c>
      <c r="P6" s="6" t="s">
        <v>677</v>
      </c>
      <c r="Q6" s="67" t="s">
        <v>57</v>
      </c>
      <c r="S6" s="6" t="s">
        <v>124</v>
      </c>
      <c r="T6" s="6" t="s">
        <v>92</v>
      </c>
      <c r="U6" s="6" t="s">
        <v>81</v>
      </c>
      <c r="V6" s="6" t="s">
        <v>82</v>
      </c>
      <c r="W6" s="6" t="s">
        <v>64</v>
      </c>
      <c r="AE6" s="6" t="s">
        <v>137</v>
      </c>
      <c r="AH6" s="6" t="s">
        <v>137</v>
      </c>
      <c r="AJ6" s="6" t="s">
        <v>678</v>
      </c>
      <c r="AL6" s="6" t="s">
        <v>124</v>
      </c>
      <c r="AM6" s="6" t="s">
        <v>92</v>
      </c>
      <c r="AQ6" s="6" t="s">
        <v>57</v>
      </c>
      <c r="AU6" s="67" t="s">
        <v>57</v>
      </c>
    </row>
    <row r="7" spans="1:47" ht="15" customHeight="1">
      <c r="B7" s="6" t="s">
        <v>679</v>
      </c>
      <c r="C7" s="6">
        <v>4720259707</v>
      </c>
      <c r="E7" s="84" t="s">
        <v>673</v>
      </c>
      <c r="G7" s="9">
        <v>12555</v>
      </c>
      <c r="H7" s="6" t="s">
        <v>55</v>
      </c>
      <c r="I7" s="6" t="s">
        <v>34</v>
      </c>
      <c r="L7" s="6" t="s">
        <v>36</v>
      </c>
      <c r="M7" s="6">
        <v>5</v>
      </c>
      <c r="O7" s="6">
        <v>5</v>
      </c>
      <c r="P7" s="6" t="s">
        <v>680</v>
      </c>
      <c r="Q7" s="67" t="s">
        <v>57</v>
      </c>
      <c r="X7" s="6">
        <v>1</v>
      </c>
      <c r="AE7" s="6">
        <v>2</v>
      </c>
      <c r="AH7" s="6">
        <v>2</v>
      </c>
      <c r="AJ7" s="6" t="s">
        <v>681</v>
      </c>
      <c r="AN7" s="6">
        <v>1</v>
      </c>
      <c r="AQ7" s="6" t="s">
        <v>57</v>
      </c>
      <c r="AU7" s="67" t="s">
        <v>57</v>
      </c>
    </row>
    <row r="8" spans="1:47" ht="15" customHeight="1">
      <c r="B8" s="6" t="s">
        <v>682</v>
      </c>
      <c r="C8" s="6">
        <v>4381004639</v>
      </c>
      <c r="E8" s="84" t="s">
        <v>673</v>
      </c>
      <c r="G8" s="9">
        <v>16292</v>
      </c>
      <c r="H8" s="6" t="s">
        <v>55</v>
      </c>
      <c r="I8" s="6" t="s">
        <v>34</v>
      </c>
      <c r="L8" s="6" t="s">
        <v>36</v>
      </c>
      <c r="M8" s="6">
        <v>51</v>
      </c>
      <c r="O8" s="6">
        <v>51</v>
      </c>
      <c r="P8" s="6" t="s">
        <v>683</v>
      </c>
      <c r="Q8" s="67" t="s">
        <v>57</v>
      </c>
      <c r="S8" s="6" t="s">
        <v>124</v>
      </c>
      <c r="AE8" s="6" t="s">
        <v>68</v>
      </c>
      <c r="AH8" s="6" t="s">
        <v>68</v>
      </c>
      <c r="AJ8" s="6" t="s">
        <v>684</v>
      </c>
      <c r="AL8" s="6" t="s">
        <v>124</v>
      </c>
      <c r="AQ8" s="6" t="s">
        <v>57</v>
      </c>
      <c r="AU8" s="67" t="s">
        <v>57</v>
      </c>
    </row>
    <row r="9" spans="1:47" ht="15" customHeight="1">
      <c r="B9" s="6" t="s">
        <v>685</v>
      </c>
      <c r="C9" s="6">
        <v>4381475976</v>
      </c>
      <c r="E9" s="84" t="s">
        <v>673</v>
      </c>
      <c r="G9" s="9">
        <v>15688</v>
      </c>
      <c r="H9" s="6" t="s">
        <v>55</v>
      </c>
      <c r="I9" s="6" t="s">
        <v>34</v>
      </c>
      <c r="L9" s="6" t="s">
        <v>36</v>
      </c>
      <c r="M9" s="6">
        <v>32</v>
      </c>
      <c r="O9" s="6">
        <v>32</v>
      </c>
      <c r="P9" s="6" t="s">
        <v>686</v>
      </c>
      <c r="Q9" s="67" t="s">
        <v>57</v>
      </c>
      <c r="S9" s="6" t="s">
        <v>137</v>
      </c>
      <c r="T9" s="6" t="s">
        <v>92</v>
      </c>
      <c r="U9" s="6" t="s">
        <v>113</v>
      </c>
      <c r="V9" s="6" t="s">
        <v>81</v>
      </c>
      <c r="W9" s="6" t="s">
        <v>687</v>
      </c>
      <c r="AE9" s="6" t="s">
        <v>73</v>
      </c>
      <c r="AH9" s="6" t="s">
        <v>73</v>
      </c>
      <c r="AJ9" s="6" t="s">
        <v>688</v>
      </c>
      <c r="AL9" s="6" t="s">
        <v>137</v>
      </c>
      <c r="AM9" s="6" t="s">
        <v>92</v>
      </c>
      <c r="AQ9" s="6" t="s">
        <v>57</v>
      </c>
      <c r="AU9" s="67" t="s">
        <v>57</v>
      </c>
    </row>
    <row r="10" spans="1:47" ht="15" customHeight="1">
      <c r="B10" s="6" t="s">
        <v>689</v>
      </c>
      <c r="C10" s="6">
        <v>4388002216</v>
      </c>
      <c r="E10" s="6" t="s">
        <v>673</v>
      </c>
      <c r="G10" s="9">
        <v>17387</v>
      </c>
      <c r="H10" s="6" t="s">
        <v>55</v>
      </c>
      <c r="I10" s="6" t="s">
        <v>34</v>
      </c>
      <c r="K10" s="6" t="s">
        <v>36</v>
      </c>
      <c r="M10" s="6">
        <v>48</v>
      </c>
      <c r="O10" s="6">
        <v>48</v>
      </c>
      <c r="P10" s="6" t="s">
        <v>690</v>
      </c>
      <c r="Q10" s="67" t="s">
        <v>57</v>
      </c>
      <c r="S10" s="6" t="s">
        <v>82</v>
      </c>
      <c r="T10" s="6" t="s">
        <v>86</v>
      </c>
      <c r="AE10" s="6" t="s">
        <v>85</v>
      </c>
      <c r="AH10" s="6" t="s">
        <v>85</v>
      </c>
      <c r="AJ10" s="6" t="s">
        <v>691</v>
      </c>
      <c r="AL10" s="6" t="s">
        <v>82</v>
      </c>
      <c r="AM10" s="6" t="s">
        <v>86</v>
      </c>
      <c r="AQ10" s="6" t="s">
        <v>57</v>
      </c>
      <c r="AU10" s="67" t="s">
        <v>57</v>
      </c>
    </row>
    <row r="11" spans="1:47" ht="15" customHeight="1">
      <c r="B11" s="6" t="s">
        <v>692</v>
      </c>
      <c r="C11" s="6">
        <v>4308901790</v>
      </c>
      <c r="E11" s="6" t="s">
        <v>673</v>
      </c>
      <c r="G11" s="9">
        <v>19868</v>
      </c>
      <c r="H11" s="6" t="s">
        <v>55</v>
      </c>
      <c r="I11" s="6" t="s">
        <v>34</v>
      </c>
      <c r="L11" s="6" t="s">
        <v>36</v>
      </c>
      <c r="M11" s="6">
        <v>7</v>
      </c>
      <c r="O11" s="6">
        <v>7</v>
      </c>
      <c r="P11" s="6" t="s">
        <v>693</v>
      </c>
      <c r="Q11" s="67" t="s">
        <v>57</v>
      </c>
      <c r="X11" s="6" t="s">
        <v>424</v>
      </c>
      <c r="Y11" s="6" t="s">
        <v>694</v>
      </c>
      <c r="AE11" s="6" t="s">
        <v>425</v>
      </c>
      <c r="AH11" s="6" t="s">
        <v>425</v>
      </c>
      <c r="AN11" s="6" t="s">
        <v>424</v>
      </c>
      <c r="AO11" s="6" t="s">
        <v>694</v>
      </c>
      <c r="AQ11" s="6" t="s">
        <v>57</v>
      </c>
      <c r="AU11" s="67" t="s">
        <v>57</v>
      </c>
    </row>
    <row r="12" spans="1:47" ht="15" customHeight="1">
      <c r="B12" s="6" t="s">
        <v>695</v>
      </c>
      <c r="C12" s="6">
        <v>4463583314</v>
      </c>
      <c r="E12" s="6" t="s">
        <v>673</v>
      </c>
      <c r="G12" s="9">
        <v>19777</v>
      </c>
      <c r="H12" s="6" t="s">
        <v>55</v>
      </c>
      <c r="I12" s="6" t="s">
        <v>34</v>
      </c>
      <c r="L12" s="6" t="s">
        <v>36</v>
      </c>
      <c r="M12" s="6">
        <v>7</v>
      </c>
      <c r="O12" s="6">
        <v>7</v>
      </c>
      <c r="P12" s="6" t="s">
        <v>696</v>
      </c>
      <c r="Q12" s="67" t="s">
        <v>57</v>
      </c>
      <c r="X12" s="6" t="s">
        <v>697</v>
      </c>
      <c r="AE12" s="6" t="s">
        <v>698</v>
      </c>
      <c r="AH12" s="6" t="s">
        <v>105</v>
      </c>
      <c r="AN12" s="6" t="s">
        <v>58</v>
      </c>
      <c r="AQ12" s="6" t="s">
        <v>57</v>
      </c>
      <c r="AU12" s="67" t="s">
        <v>57</v>
      </c>
    </row>
    <row r="13" spans="1:47" ht="15" customHeight="1">
      <c r="B13" s="6" t="s">
        <v>699</v>
      </c>
      <c r="C13" s="6">
        <v>4949035150</v>
      </c>
      <c r="E13" s="6" t="s">
        <v>673</v>
      </c>
      <c r="G13" s="9">
        <v>21593</v>
      </c>
      <c r="H13" s="6" t="s">
        <v>55</v>
      </c>
      <c r="I13" s="6" t="s">
        <v>34</v>
      </c>
      <c r="K13" s="6" t="s">
        <v>36</v>
      </c>
      <c r="P13" s="6" t="s">
        <v>700</v>
      </c>
      <c r="Q13" s="67" t="s">
        <v>57</v>
      </c>
      <c r="X13" s="6" t="s">
        <v>105</v>
      </c>
      <c r="AE13" s="6" t="s">
        <v>58</v>
      </c>
      <c r="AH13" s="6" t="s">
        <v>58</v>
      </c>
      <c r="AN13" s="6" t="s">
        <v>105</v>
      </c>
      <c r="AQ13" s="6" t="s">
        <v>57</v>
      </c>
      <c r="AU13" s="67" t="s">
        <v>57</v>
      </c>
    </row>
    <row r="14" spans="1:47" s="75" customFormat="1" ht="15" customHeight="1">
      <c r="A14" s="6"/>
      <c r="B14" s="6" t="s">
        <v>701</v>
      </c>
      <c r="C14" s="6">
        <v>4387610336</v>
      </c>
      <c r="D14" s="6"/>
      <c r="E14" s="6" t="s">
        <v>673</v>
      </c>
      <c r="F14" s="6"/>
      <c r="G14" s="9">
        <v>15957</v>
      </c>
      <c r="H14" s="6" t="s">
        <v>55</v>
      </c>
      <c r="I14" s="6" t="s">
        <v>34</v>
      </c>
      <c r="J14" s="6"/>
      <c r="K14" s="6" t="s">
        <v>36</v>
      </c>
      <c r="L14" s="6"/>
      <c r="M14" s="6"/>
      <c r="N14" s="6"/>
      <c r="O14" s="6"/>
      <c r="P14" s="6" t="s">
        <v>702</v>
      </c>
      <c r="Q14" s="67" t="s">
        <v>57</v>
      </c>
      <c r="R14" s="6"/>
      <c r="S14" s="6"/>
      <c r="T14" s="6"/>
      <c r="U14" s="6"/>
      <c r="V14" s="6"/>
      <c r="W14" s="6"/>
      <c r="X14" s="6" t="s">
        <v>116</v>
      </c>
      <c r="Y14" s="6"/>
      <c r="Z14" s="6"/>
      <c r="AA14" s="6"/>
      <c r="AB14" s="6"/>
      <c r="AC14" s="6"/>
      <c r="AD14" s="6"/>
      <c r="AE14" s="6" t="s">
        <v>105</v>
      </c>
      <c r="AF14" s="6"/>
      <c r="AG14" s="6"/>
      <c r="AH14" s="6" t="s">
        <v>105</v>
      </c>
      <c r="AI14" s="6"/>
      <c r="AJ14" s="6"/>
      <c r="AK14" s="6"/>
      <c r="AL14" s="6"/>
      <c r="AM14" s="6"/>
      <c r="AN14" s="6" t="s">
        <v>116</v>
      </c>
      <c r="AO14" s="6"/>
      <c r="AP14" s="6"/>
      <c r="AQ14" s="6" t="s">
        <v>57</v>
      </c>
      <c r="AR14" s="6"/>
      <c r="AS14" s="6"/>
      <c r="AT14" s="6" t="s">
        <v>57</v>
      </c>
      <c r="AU14" s="67" t="s">
        <v>57</v>
      </c>
    </row>
    <row r="15" spans="1:47" ht="15" customHeight="1">
      <c r="B15" s="7" t="s">
        <v>703</v>
      </c>
      <c r="C15" s="7">
        <v>4384281684</v>
      </c>
      <c r="D15" s="7"/>
      <c r="E15" s="7"/>
      <c r="F15" s="7"/>
      <c r="G15" s="8">
        <v>16037</v>
      </c>
      <c r="H15" s="7" t="s">
        <v>55</v>
      </c>
      <c r="I15" s="6" t="s">
        <v>34</v>
      </c>
      <c r="L15" s="6" t="s">
        <v>704</v>
      </c>
      <c r="P15" s="6" t="s">
        <v>705</v>
      </c>
      <c r="Q15" s="67" t="s">
        <v>57</v>
      </c>
      <c r="S15" s="6" t="s">
        <v>247</v>
      </c>
      <c r="T15" s="6" t="s">
        <v>141</v>
      </c>
      <c r="AD15" s="6" t="s">
        <v>142</v>
      </c>
      <c r="AE15" s="6" t="s">
        <v>706</v>
      </c>
      <c r="AH15" s="6" t="s">
        <v>706</v>
      </c>
      <c r="AL15" s="6" t="s">
        <v>247</v>
      </c>
      <c r="AM15" s="6" t="s">
        <v>141</v>
      </c>
      <c r="AQ15" s="6" t="s">
        <v>57</v>
      </c>
      <c r="AU15" s="67" t="s">
        <v>57</v>
      </c>
    </row>
    <row r="16" spans="1:47" s="75" customFormat="1" ht="15" customHeight="1">
      <c r="A16" s="6"/>
      <c r="B16" s="6" t="s">
        <v>707</v>
      </c>
      <c r="C16" s="6">
        <v>4507920035</v>
      </c>
      <c r="D16" s="6"/>
      <c r="E16" s="6"/>
      <c r="F16" s="6"/>
      <c r="G16" s="9">
        <v>17378</v>
      </c>
      <c r="H16" s="6" t="s">
        <v>55</v>
      </c>
      <c r="I16" s="6" t="s">
        <v>34</v>
      </c>
      <c r="J16" s="6"/>
      <c r="K16" s="6"/>
      <c r="L16" s="6" t="s">
        <v>704</v>
      </c>
      <c r="M16" s="6"/>
      <c r="N16" s="6"/>
      <c r="O16" s="6"/>
      <c r="P16" s="6" t="s">
        <v>708</v>
      </c>
      <c r="Q16" s="67" t="s">
        <v>57</v>
      </c>
      <c r="R16" s="6"/>
      <c r="S16" s="6" t="s">
        <v>71</v>
      </c>
      <c r="T16" s="6" t="s">
        <v>73</v>
      </c>
      <c r="U16" s="6"/>
      <c r="V16" s="6"/>
      <c r="W16" s="6"/>
      <c r="X16" s="6"/>
      <c r="Y16" s="6"/>
      <c r="Z16" s="6"/>
      <c r="AA16" s="6"/>
      <c r="AB16" s="6"/>
      <c r="AC16" s="6"/>
      <c r="AD16" s="6" t="s">
        <v>58</v>
      </c>
      <c r="AE16" s="6" t="s">
        <v>72</v>
      </c>
      <c r="AF16" s="6"/>
      <c r="AG16" s="6"/>
      <c r="AH16" s="6" t="s">
        <v>72</v>
      </c>
      <c r="AI16" s="6"/>
      <c r="AJ16" s="6"/>
      <c r="AK16" s="6"/>
      <c r="AL16" s="6" t="s">
        <v>73</v>
      </c>
      <c r="AM16" s="6" t="s">
        <v>137</v>
      </c>
      <c r="AN16" s="6"/>
      <c r="AO16" s="6"/>
      <c r="AP16" s="6"/>
      <c r="AQ16" s="6" t="s">
        <v>57</v>
      </c>
      <c r="AR16" s="6"/>
      <c r="AS16" s="6"/>
      <c r="AT16" s="6"/>
      <c r="AU16" s="67" t="s">
        <v>57</v>
      </c>
    </row>
    <row r="17" spans="1:47" s="75" customFormat="1" ht="15" customHeight="1">
      <c r="A17" s="6"/>
      <c r="B17" s="6" t="s">
        <v>709</v>
      </c>
      <c r="C17" s="6">
        <v>4508580866</v>
      </c>
      <c r="D17" s="6"/>
      <c r="E17" s="6"/>
      <c r="F17" s="6"/>
      <c r="G17" s="9">
        <v>18042</v>
      </c>
      <c r="H17" s="6" t="s">
        <v>55</v>
      </c>
      <c r="I17" s="6" t="s">
        <v>34</v>
      </c>
      <c r="J17" s="6"/>
      <c r="K17" s="6"/>
      <c r="L17" s="6" t="s">
        <v>704</v>
      </c>
      <c r="M17" s="6"/>
      <c r="N17" s="6"/>
      <c r="O17" s="6"/>
      <c r="P17" s="86" t="s">
        <v>710</v>
      </c>
      <c r="Q17" s="67" t="s">
        <v>57</v>
      </c>
      <c r="R17" s="6"/>
      <c r="S17" s="6" t="s">
        <v>93</v>
      </c>
      <c r="T17" s="6" t="s">
        <v>68</v>
      </c>
      <c r="U17" s="6" t="s">
        <v>79</v>
      </c>
      <c r="V17" s="6"/>
      <c r="W17" s="6"/>
      <c r="X17" s="6"/>
      <c r="Y17" s="6"/>
      <c r="Z17" s="6"/>
      <c r="AA17" s="6"/>
      <c r="AB17" s="6"/>
      <c r="AC17" s="6"/>
      <c r="AD17" s="6"/>
      <c r="AE17" s="6" t="s">
        <v>76</v>
      </c>
      <c r="AF17" s="6"/>
      <c r="AG17" s="6"/>
      <c r="AH17" s="6" t="s">
        <v>76</v>
      </c>
      <c r="AI17" s="6"/>
      <c r="AJ17" s="6"/>
      <c r="AK17" s="6"/>
      <c r="AL17" s="6" t="s">
        <v>93</v>
      </c>
      <c r="AM17" s="6" t="s">
        <v>68</v>
      </c>
      <c r="AN17" s="6"/>
      <c r="AO17" s="6"/>
      <c r="AP17" s="6"/>
      <c r="AQ17" s="6" t="s">
        <v>57</v>
      </c>
      <c r="AR17" s="6"/>
      <c r="AS17" s="6"/>
      <c r="AT17" s="6"/>
      <c r="AU17" s="67" t="s">
        <v>57</v>
      </c>
    </row>
    <row r="18" spans="1:47" ht="15" customHeight="1">
      <c r="B18" s="6" t="s">
        <v>711</v>
      </c>
      <c r="C18" s="6">
        <v>4487102596</v>
      </c>
      <c r="G18" s="9">
        <v>22413</v>
      </c>
      <c r="H18" s="6" t="s">
        <v>55</v>
      </c>
      <c r="I18" s="6" t="s">
        <v>34</v>
      </c>
      <c r="L18" s="6" t="s">
        <v>704</v>
      </c>
      <c r="P18" s="6" t="s">
        <v>712</v>
      </c>
      <c r="Q18" s="67" t="s">
        <v>57</v>
      </c>
      <c r="AU18" s="67" t="s">
        <v>57</v>
      </c>
    </row>
    <row r="19" spans="1:47" ht="15" customHeight="1">
      <c r="B19" s="6" t="s">
        <v>713</v>
      </c>
      <c r="C19" s="6">
        <v>4583152876</v>
      </c>
      <c r="G19" s="9">
        <v>20731</v>
      </c>
      <c r="H19" s="6" t="s">
        <v>55</v>
      </c>
      <c r="I19" s="6" t="s">
        <v>34</v>
      </c>
      <c r="L19" s="6" t="s">
        <v>704</v>
      </c>
      <c r="P19" s="6" t="s">
        <v>714</v>
      </c>
      <c r="Q19" s="67" t="s">
        <v>57</v>
      </c>
      <c r="S19" s="6" t="s">
        <v>659</v>
      </c>
      <c r="T19" s="6" t="s">
        <v>715</v>
      </c>
      <c r="AD19" s="6" t="s">
        <v>716</v>
      </c>
      <c r="AE19" s="6" t="s">
        <v>717</v>
      </c>
      <c r="AH19" s="6" t="s">
        <v>717</v>
      </c>
      <c r="AL19" s="6" t="s">
        <v>659</v>
      </c>
      <c r="AM19" s="6" t="s">
        <v>715</v>
      </c>
      <c r="AQ19" s="6" t="s">
        <v>57</v>
      </c>
      <c r="AU19" s="67" t="s">
        <v>57</v>
      </c>
    </row>
    <row r="20" spans="1:47" ht="15" customHeight="1">
      <c r="B20" s="98" t="s">
        <v>718</v>
      </c>
      <c r="C20" s="6">
        <v>4508762700</v>
      </c>
      <c r="G20" s="9">
        <v>17725</v>
      </c>
      <c r="H20" s="6" t="s">
        <v>55</v>
      </c>
      <c r="I20" s="6" t="s">
        <v>34</v>
      </c>
      <c r="K20" s="6" t="s">
        <v>704</v>
      </c>
      <c r="P20" s="6" t="s">
        <v>434</v>
      </c>
      <c r="Q20" s="67" t="s">
        <v>57</v>
      </c>
      <c r="AE20" s="6" t="s">
        <v>434</v>
      </c>
      <c r="AU20" s="67" t="s">
        <v>57</v>
      </c>
    </row>
    <row r="21" spans="1:47" ht="15" customHeight="1">
      <c r="B21" s="98" t="s">
        <v>719</v>
      </c>
      <c r="C21" s="6">
        <v>4680953667</v>
      </c>
      <c r="G21" s="9">
        <v>18025</v>
      </c>
      <c r="H21" s="6" t="s">
        <v>55</v>
      </c>
      <c r="I21" s="6" t="s">
        <v>34</v>
      </c>
      <c r="K21" s="6" t="s">
        <v>704</v>
      </c>
      <c r="P21" s="6" t="s">
        <v>720</v>
      </c>
      <c r="Q21" s="67" t="s">
        <v>57</v>
      </c>
      <c r="AU21" s="67" t="s">
        <v>57</v>
      </c>
    </row>
    <row r="22" spans="1:47" ht="15" customHeight="1">
      <c r="B22" s="98" t="s">
        <v>721</v>
      </c>
      <c r="C22" s="6">
        <v>4741001806</v>
      </c>
      <c r="G22" s="9">
        <v>16331</v>
      </c>
      <c r="H22" s="6" t="s">
        <v>55</v>
      </c>
      <c r="I22" s="6" t="s">
        <v>34</v>
      </c>
      <c r="L22" s="6" t="s">
        <v>704</v>
      </c>
      <c r="P22" s="88" t="s">
        <v>476</v>
      </c>
      <c r="AE22" s="6" t="s">
        <v>476</v>
      </c>
      <c r="AU22" s="67"/>
    </row>
    <row r="23" spans="1:47" ht="15" customHeight="1">
      <c r="B23" s="82" t="s">
        <v>721</v>
      </c>
      <c r="G23" s="9">
        <v>19544</v>
      </c>
      <c r="H23" s="6" t="s">
        <v>55</v>
      </c>
      <c r="AU23" s="67"/>
    </row>
    <row r="24" spans="1:47" ht="15" hidden="1" customHeight="1">
      <c r="A24" s="75" t="s">
        <v>317</v>
      </c>
      <c r="B24" s="75" t="s">
        <v>722</v>
      </c>
      <c r="C24" s="75"/>
      <c r="D24" s="75"/>
      <c r="E24" s="75"/>
      <c r="F24" s="75"/>
      <c r="G24" s="78">
        <v>30498</v>
      </c>
      <c r="H24" s="75" t="s">
        <v>55</v>
      </c>
      <c r="I24" s="75"/>
      <c r="J24" s="75"/>
      <c r="K24" s="75"/>
      <c r="L24" s="75"/>
      <c r="M24" s="75"/>
      <c r="N24" s="75"/>
      <c r="O24" s="75"/>
      <c r="P24" s="75"/>
      <c r="Q24" s="80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80"/>
    </row>
    <row r="25" spans="1:47" s="75" customFormat="1" ht="15" customHeight="1">
      <c r="A25" s="6"/>
      <c r="B25" s="6" t="s">
        <v>723</v>
      </c>
      <c r="C25" s="6">
        <v>6243922782</v>
      </c>
      <c r="D25" s="6"/>
      <c r="E25" s="6"/>
      <c r="F25" s="6"/>
      <c r="G25" s="9">
        <v>16937</v>
      </c>
      <c r="H25" s="6" t="s">
        <v>55</v>
      </c>
      <c r="I25" s="6" t="s">
        <v>34</v>
      </c>
      <c r="J25" s="6"/>
      <c r="K25" s="6"/>
      <c r="L25" s="6" t="s">
        <v>704</v>
      </c>
      <c r="M25" s="6"/>
      <c r="N25" s="6"/>
      <c r="O25" s="6"/>
      <c r="P25" s="6" t="s">
        <v>724</v>
      </c>
      <c r="Q25" s="67" t="s">
        <v>57</v>
      </c>
      <c r="R25" s="6"/>
      <c r="S25" s="6" t="s">
        <v>137</v>
      </c>
      <c r="T25" s="6" t="s">
        <v>92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 t="s">
        <v>476</v>
      </c>
      <c r="AF25" s="6"/>
      <c r="AG25" s="6"/>
      <c r="AH25" s="6" t="s">
        <v>476</v>
      </c>
      <c r="AI25" s="6"/>
      <c r="AJ25" s="6"/>
      <c r="AK25" s="6"/>
      <c r="AL25" s="6" t="s">
        <v>137</v>
      </c>
      <c r="AM25" s="6" t="s">
        <v>92</v>
      </c>
      <c r="AN25" s="6"/>
      <c r="AO25" s="6"/>
      <c r="AP25" s="6"/>
      <c r="AQ25" s="6" t="s">
        <v>57</v>
      </c>
      <c r="AR25" s="6"/>
      <c r="AS25" s="6"/>
      <c r="AT25" s="6"/>
      <c r="AU25" s="67" t="s">
        <v>57</v>
      </c>
    </row>
    <row r="26" spans="1:47" ht="15" hidden="1" customHeight="1">
      <c r="A26" s="75" t="s">
        <v>317</v>
      </c>
      <c r="B26" s="75" t="s">
        <v>725</v>
      </c>
      <c r="C26" s="75"/>
      <c r="D26" s="75"/>
      <c r="E26" s="75"/>
      <c r="F26" s="75"/>
      <c r="G26" s="78">
        <v>16400</v>
      </c>
      <c r="H26" s="75" t="s">
        <v>55</v>
      </c>
      <c r="I26" s="75"/>
      <c r="J26" s="75"/>
      <c r="K26" s="75"/>
      <c r="L26" s="75"/>
      <c r="M26" s="75"/>
      <c r="N26" s="75"/>
      <c r="O26" s="75"/>
      <c r="P26" s="75"/>
      <c r="Q26" s="80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80"/>
    </row>
    <row r="27" spans="1:47" ht="15" hidden="1" customHeight="1">
      <c r="A27" s="75" t="s">
        <v>317</v>
      </c>
      <c r="B27" s="75" t="s">
        <v>726</v>
      </c>
      <c r="C27" s="75"/>
      <c r="D27" s="75"/>
      <c r="E27" s="75"/>
      <c r="F27" s="75"/>
      <c r="G27" s="78">
        <v>27482</v>
      </c>
      <c r="H27" s="75" t="s">
        <v>55</v>
      </c>
      <c r="I27" s="75"/>
      <c r="J27" s="75"/>
      <c r="K27" s="75"/>
      <c r="L27" s="75"/>
      <c r="M27" s="75"/>
      <c r="N27" s="75"/>
      <c r="O27" s="75"/>
      <c r="P27" s="75"/>
      <c r="Q27" s="80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80"/>
    </row>
    <row r="28" spans="1:47" ht="15" customHeight="1">
      <c r="B28" s="89" t="s">
        <v>727</v>
      </c>
      <c r="C28" s="6">
        <v>4363163534</v>
      </c>
      <c r="G28" s="9">
        <v>12826</v>
      </c>
      <c r="H28" s="6" t="s">
        <v>55</v>
      </c>
      <c r="I28" s="6" t="s">
        <v>34</v>
      </c>
      <c r="L28" s="6" t="s">
        <v>704</v>
      </c>
      <c r="P28" s="6" t="s">
        <v>728</v>
      </c>
      <c r="Q28" s="67" t="s">
        <v>57</v>
      </c>
      <c r="S28" s="6" t="s">
        <v>729</v>
      </c>
      <c r="T28" s="6" t="s">
        <v>137</v>
      </c>
      <c r="U28" s="6" t="s">
        <v>730</v>
      </c>
      <c r="V28" s="6" t="s">
        <v>731</v>
      </c>
      <c r="X28" s="6" t="s">
        <v>255</v>
      </c>
      <c r="Y28" s="6" t="s">
        <v>255</v>
      </c>
      <c r="AE28" s="6" t="s">
        <v>732</v>
      </c>
      <c r="AH28" s="6" t="s">
        <v>732</v>
      </c>
      <c r="AL28" s="6" t="s">
        <v>73</v>
      </c>
      <c r="AN28" s="6" t="s">
        <v>255</v>
      </c>
      <c r="AQ28" s="6" t="s">
        <v>57</v>
      </c>
      <c r="AU28" s="67" t="s">
        <v>57</v>
      </c>
    </row>
    <row r="29" spans="1:47" s="75" customFormat="1" ht="15" customHeight="1">
      <c r="A29" s="6"/>
      <c r="B29" s="98" t="s">
        <v>733</v>
      </c>
      <c r="C29" s="6">
        <v>7069360517</v>
      </c>
      <c r="D29" s="6"/>
      <c r="E29" s="6"/>
      <c r="F29" s="6"/>
      <c r="G29" s="9">
        <v>19360</v>
      </c>
      <c r="H29" s="6" t="s">
        <v>55</v>
      </c>
      <c r="I29" s="6" t="s">
        <v>34</v>
      </c>
      <c r="J29" s="6"/>
      <c r="K29" s="6"/>
      <c r="L29" s="6" t="s">
        <v>704</v>
      </c>
      <c r="M29" s="6"/>
      <c r="N29" s="6"/>
      <c r="O29" s="6"/>
      <c r="P29" s="6"/>
      <c r="Q29" s="67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7"/>
    </row>
    <row r="30" spans="1:47" s="75" customFormat="1" ht="15" customHeight="1">
      <c r="A30" s="6"/>
      <c r="B30" s="6" t="s">
        <v>734</v>
      </c>
      <c r="C30" s="6">
        <v>4085601830</v>
      </c>
      <c r="D30" s="6"/>
      <c r="E30" s="6"/>
      <c r="F30" s="6"/>
      <c r="G30" s="9">
        <v>23537</v>
      </c>
      <c r="H30" s="6" t="s">
        <v>55</v>
      </c>
      <c r="I30" s="6" t="s">
        <v>34</v>
      </c>
      <c r="J30" s="6"/>
      <c r="K30" s="6" t="s">
        <v>704</v>
      </c>
      <c r="L30" s="6"/>
      <c r="M30" s="6"/>
      <c r="N30" s="6"/>
      <c r="O30" s="6"/>
      <c r="P30" s="6" t="s">
        <v>735</v>
      </c>
      <c r="Q30" s="67" t="s">
        <v>57</v>
      </c>
      <c r="R30" s="6"/>
      <c r="S30" s="6" t="s">
        <v>248</v>
      </c>
      <c r="T30" s="6" t="s">
        <v>172</v>
      </c>
      <c r="U30" s="6"/>
      <c r="V30" s="6"/>
      <c r="W30" s="6"/>
      <c r="X30" s="6"/>
      <c r="Y30" s="6"/>
      <c r="Z30" s="6"/>
      <c r="AA30" s="6"/>
      <c r="AB30" s="6"/>
      <c r="AC30" s="6"/>
      <c r="AD30" s="6" t="s">
        <v>736</v>
      </c>
      <c r="AE30" s="6" t="s">
        <v>156</v>
      </c>
      <c r="AF30" s="6"/>
      <c r="AG30" s="6"/>
      <c r="AH30" s="6" t="s">
        <v>156</v>
      </c>
      <c r="AI30" s="6"/>
      <c r="AJ30" s="6"/>
      <c r="AK30" s="6"/>
      <c r="AL30" s="6" t="s">
        <v>172</v>
      </c>
      <c r="AM30" s="6"/>
      <c r="AN30" s="6"/>
      <c r="AO30" s="6"/>
      <c r="AP30" s="6"/>
      <c r="AQ30" s="6" t="s">
        <v>57</v>
      </c>
      <c r="AR30" s="6"/>
      <c r="AS30" s="6"/>
      <c r="AT30" s="6"/>
      <c r="AU30" s="67" t="s">
        <v>57</v>
      </c>
    </row>
    <row r="31" spans="1:47" ht="15" customHeight="1">
      <c r="B31" s="6" t="s">
        <v>737</v>
      </c>
      <c r="C31" s="6">
        <v>4145574028</v>
      </c>
      <c r="G31" s="9">
        <v>26122</v>
      </c>
      <c r="H31" s="6" t="s">
        <v>55</v>
      </c>
      <c r="I31" s="6" t="s">
        <v>34</v>
      </c>
      <c r="J31" s="6" t="s">
        <v>704</v>
      </c>
      <c r="P31" s="6" t="s">
        <v>738</v>
      </c>
      <c r="Q31" s="67" t="s">
        <v>57</v>
      </c>
      <c r="S31" s="6" t="s">
        <v>79</v>
      </c>
      <c r="AE31" s="6" t="s">
        <v>72</v>
      </c>
      <c r="AH31" s="6" t="s">
        <v>72</v>
      </c>
      <c r="AL31" s="6" t="s">
        <v>79</v>
      </c>
      <c r="AQ31" s="6" t="s">
        <v>57</v>
      </c>
      <c r="AU31" s="67" t="s">
        <v>57</v>
      </c>
    </row>
    <row r="32" spans="1:47" ht="15" customHeight="1">
      <c r="B32" s="6" t="s">
        <v>739</v>
      </c>
      <c r="C32" s="6">
        <v>4764019485</v>
      </c>
      <c r="G32" s="9">
        <v>23385</v>
      </c>
      <c r="H32" s="6" t="s">
        <v>55</v>
      </c>
      <c r="I32" s="6" t="s">
        <v>34</v>
      </c>
      <c r="L32" s="6" t="s">
        <v>704</v>
      </c>
      <c r="P32" s="6" t="s">
        <v>740</v>
      </c>
      <c r="Q32" s="67" t="s">
        <v>57</v>
      </c>
      <c r="AD32" s="6" t="s">
        <v>741</v>
      </c>
      <c r="AE32" s="6" t="s">
        <v>182</v>
      </c>
      <c r="AU32" s="67" t="s">
        <v>57</v>
      </c>
    </row>
    <row r="33" spans="1:47" s="75" customFormat="1" ht="15" customHeight="1">
      <c r="A33" s="6"/>
      <c r="B33" s="6" t="s">
        <v>742</v>
      </c>
      <c r="C33" s="6">
        <v>4829120444</v>
      </c>
      <c r="D33" s="6"/>
      <c r="E33" s="6"/>
      <c r="F33" s="6"/>
      <c r="G33" s="9">
        <v>23015</v>
      </c>
      <c r="H33" s="6" t="s">
        <v>55</v>
      </c>
      <c r="I33" s="6" t="s">
        <v>34</v>
      </c>
      <c r="J33" s="6" t="s">
        <v>704</v>
      </c>
      <c r="K33" s="6"/>
      <c r="L33" s="6"/>
      <c r="M33" s="6"/>
      <c r="N33" s="6"/>
      <c r="O33" s="6"/>
      <c r="P33" s="6" t="s">
        <v>743</v>
      </c>
      <c r="Q33" s="67" t="s">
        <v>57</v>
      </c>
      <c r="R33" s="6"/>
      <c r="S33" s="6" t="s">
        <v>64</v>
      </c>
      <c r="T33" s="6" t="s">
        <v>81</v>
      </c>
      <c r="U33" s="6" t="s">
        <v>137</v>
      </c>
      <c r="V33" s="6"/>
      <c r="W33" s="6"/>
      <c r="X33" s="6"/>
      <c r="Y33" s="6"/>
      <c r="Z33" s="6"/>
      <c r="AA33" s="6"/>
      <c r="AB33" s="6"/>
      <c r="AC33" s="6"/>
      <c r="AD33" s="6" t="s">
        <v>58</v>
      </c>
      <c r="AE33" s="6" t="s">
        <v>476</v>
      </c>
      <c r="AF33" s="6"/>
      <c r="AG33" s="6"/>
      <c r="AH33" s="6" t="s">
        <v>476</v>
      </c>
      <c r="AI33" s="6"/>
      <c r="AJ33" s="6"/>
      <c r="AK33" s="6"/>
      <c r="AL33" s="6" t="s">
        <v>64</v>
      </c>
      <c r="AM33" s="6" t="s">
        <v>81</v>
      </c>
      <c r="AN33" s="6"/>
      <c r="AO33" s="6"/>
      <c r="AP33" s="6"/>
      <c r="AQ33" s="6" t="s">
        <v>57</v>
      </c>
      <c r="AR33" s="6"/>
      <c r="AS33" s="6"/>
      <c r="AT33" s="6"/>
      <c r="AU33" s="67" t="s">
        <v>57</v>
      </c>
    </row>
    <row r="34" spans="1:47" ht="15" customHeight="1">
      <c r="B34" s="6" t="s">
        <v>744</v>
      </c>
      <c r="C34" s="6">
        <v>4583577109</v>
      </c>
      <c r="G34" s="9">
        <v>20897</v>
      </c>
      <c r="H34" s="6" t="s">
        <v>55</v>
      </c>
      <c r="I34" s="6" t="s">
        <v>34</v>
      </c>
      <c r="K34" s="6" t="s">
        <v>704</v>
      </c>
      <c r="P34" s="6" t="s">
        <v>745</v>
      </c>
      <c r="Q34" s="67" t="s">
        <v>57</v>
      </c>
      <c r="S34" s="6" t="s">
        <v>58</v>
      </c>
      <c r="T34" s="6" t="s">
        <v>93</v>
      </c>
      <c r="U34" s="6" t="s">
        <v>81</v>
      </c>
      <c r="AE34" s="6" t="s">
        <v>116</v>
      </c>
      <c r="AH34" s="6" t="s">
        <v>116</v>
      </c>
      <c r="AL34" s="6" t="s">
        <v>58</v>
      </c>
      <c r="AM34" s="6" t="s">
        <v>93</v>
      </c>
      <c r="AQ34" s="6" t="s">
        <v>57</v>
      </c>
      <c r="AU34" s="67" t="s">
        <v>57</v>
      </c>
    </row>
    <row r="35" spans="1:47" ht="15" hidden="1" customHeight="1">
      <c r="A35" s="75" t="s">
        <v>317</v>
      </c>
      <c r="B35" s="75" t="s">
        <v>746</v>
      </c>
      <c r="C35" s="75"/>
      <c r="D35" s="75"/>
      <c r="E35" s="75"/>
      <c r="F35" s="75"/>
      <c r="G35" s="78">
        <v>15518</v>
      </c>
      <c r="H35" s="75" t="s">
        <v>55</v>
      </c>
      <c r="I35" s="75"/>
      <c r="J35" s="75"/>
      <c r="K35" s="75"/>
      <c r="L35" s="75"/>
      <c r="M35" s="75"/>
      <c r="N35" s="75"/>
      <c r="O35" s="75"/>
      <c r="P35" s="75"/>
      <c r="Q35" s="80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80"/>
    </row>
    <row r="36" spans="1:47" s="75" customFormat="1" ht="15" customHeight="1">
      <c r="A36" s="6"/>
      <c r="B36" s="6" t="s">
        <v>747</v>
      </c>
      <c r="C36" s="6">
        <v>4201574148</v>
      </c>
      <c r="D36" s="6"/>
      <c r="E36" s="6"/>
      <c r="F36" s="6"/>
      <c r="G36" s="9">
        <v>18080</v>
      </c>
      <c r="H36" s="6" t="s">
        <v>55</v>
      </c>
      <c r="I36" s="6" t="s">
        <v>34</v>
      </c>
      <c r="J36" s="6"/>
      <c r="K36" s="6"/>
      <c r="L36" s="6" t="s">
        <v>704</v>
      </c>
      <c r="M36" s="6"/>
      <c r="N36" s="6"/>
      <c r="O36" s="6"/>
      <c r="P36" s="6" t="s">
        <v>748</v>
      </c>
      <c r="Q36" s="67" t="s">
        <v>57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 t="s">
        <v>749</v>
      </c>
      <c r="AE36" s="6" t="s">
        <v>71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7" t="s">
        <v>57</v>
      </c>
    </row>
    <row r="37" spans="1:47" ht="15" customHeight="1">
      <c r="B37" s="6" t="s">
        <v>750</v>
      </c>
      <c r="C37" s="6">
        <v>4362056769</v>
      </c>
      <c r="G37" s="9">
        <v>14403</v>
      </c>
      <c r="H37" s="6" t="s">
        <v>55</v>
      </c>
      <c r="I37" s="6" t="s">
        <v>34</v>
      </c>
      <c r="L37" s="6" t="s">
        <v>704</v>
      </c>
      <c r="P37" s="6" t="s">
        <v>751</v>
      </c>
      <c r="Q37" s="67" t="s">
        <v>57</v>
      </c>
      <c r="AE37" s="6" t="s">
        <v>72</v>
      </c>
      <c r="AU37" s="67" t="s">
        <v>57</v>
      </c>
    </row>
    <row r="38" spans="1:47" s="75" customFormat="1" ht="15" customHeight="1">
      <c r="A38" s="6"/>
      <c r="B38" s="6" t="s">
        <v>752</v>
      </c>
      <c r="C38" s="6">
        <v>4562078138</v>
      </c>
      <c r="D38" s="6"/>
      <c r="E38" s="6"/>
      <c r="F38" s="6"/>
      <c r="G38" s="9">
        <v>19129</v>
      </c>
      <c r="H38" s="6" t="s">
        <v>55</v>
      </c>
      <c r="I38" s="6" t="s">
        <v>34</v>
      </c>
      <c r="J38" s="6"/>
      <c r="K38" s="6"/>
      <c r="L38" s="6" t="s">
        <v>704</v>
      </c>
      <c r="M38" s="6"/>
      <c r="N38" s="6"/>
      <c r="O38" s="6"/>
      <c r="P38" s="6" t="s">
        <v>753</v>
      </c>
      <c r="Q38" s="67" t="s">
        <v>57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 t="s">
        <v>79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7" t="s">
        <v>57</v>
      </c>
    </row>
    <row r="39" spans="1:47" ht="15" hidden="1" customHeight="1">
      <c r="A39" s="75" t="s">
        <v>317</v>
      </c>
      <c r="B39" s="75" t="s">
        <v>754</v>
      </c>
      <c r="C39" s="75"/>
      <c r="D39" s="75"/>
      <c r="E39" s="75"/>
      <c r="F39" s="75"/>
      <c r="G39" s="78">
        <v>21336</v>
      </c>
      <c r="H39" s="75" t="s">
        <v>55</v>
      </c>
      <c r="I39" s="75"/>
      <c r="J39" s="75"/>
      <c r="K39" s="75"/>
      <c r="L39" s="75"/>
      <c r="M39" s="75"/>
      <c r="N39" s="75"/>
      <c r="O39" s="75"/>
      <c r="P39" s="75"/>
      <c r="Q39" s="80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80"/>
    </row>
    <row r="40" spans="1:47" ht="15" hidden="1" customHeight="1">
      <c r="A40" s="75" t="s">
        <v>317</v>
      </c>
      <c r="B40" s="75" t="s">
        <v>755</v>
      </c>
      <c r="C40" s="75"/>
      <c r="D40" s="75"/>
      <c r="E40" s="75"/>
      <c r="F40" s="75"/>
      <c r="G40" s="78">
        <v>17341</v>
      </c>
      <c r="H40" s="75" t="s">
        <v>55</v>
      </c>
      <c r="I40" s="75"/>
      <c r="J40" s="75"/>
      <c r="K40" s="75"/>
      <c r="L40" s="75"/>
      <c r="M40" s="75"/>
      <c r="N40" s="75"/>
      <c r="O40" s="75"/>
      <c r="P40" s="75"/>
      <c r="Q40" s="80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80"/>
    </row>
    <row r="41" spans="1:47" s="75" customFormat="1" ht="15" hidden="1" customHeight="1">
      <c r="A41" s="75" t="s">
        <v>317</v>
      </c>
      <c r="B41" s="75" t="s">
        <v>756</v>
      </c>
      <c r="C41" s="75">
        <v>6101632164</v>
      </c>
      <c r="G41" s="78">
        <v>16476</v>
      </c>
      <c r="H41" s="75" t="s">
        <v>55</v>
      </c>
      <c r="I41" s="75" t="s">
        <v>34</v>
      </c>
      <c r="J41" s="75" t="s">
        <v>704</v>
      </c>
      <c r="P41" s="75" t="s">
        <v>757</v>
      </c>
      <c r="Q41" s="80" t="s">
        <v>57</v>
      </c>
      <c r="S41" s="75" t="s">
        <v>97</v>
      </c>
      <c r="T41" s="75" t="s">
        <v>89</v>
      </c>
      <c r="U41" s="75" t="s">
        <v>67</v>
      </c>
      <c r="V41" s="75" t="s">
        <v>85</v>
      </c>
      <c r="W41" s="75" t="s">
        <v>173</v>
      </c>
      <c r="X41" s="75" t="s">
        <v>758</v>
      </c>
      <c r="Y41" s="75" t="s">
        <v>759</v>
      </c>
      <c r="Z41" s="75" t="s">
        <v>760</v>
      </c>
      <c r="AA41" s="75" t="s">
        <v>408</v>
      </c>
      <c r="AB41" s="75" t="s">
        <v>253</v>
      </c>
      <c r="AD41" s="75" t="s">
        <v>761</v>
      </c>
      <c r="AE41" s="75" t="s">
        <v>124</v>
      </c>
      <c r="AU41" s="80" t="s">
        <v>57</v>
      </c>
    </row>
    <row r="42" spans="1:47" ht="15" customHeight="1">
      <c r="B42" s="6" t="s">
        <v>762</v>
      </c>
      <c r="C42" s="6">
        <v>4607765821</v>
      </c>
      <c r="G42" s="9">
        <v>20325</v>
      </c>
      <c r="H42" s="6" t="s">
        <v>55</v>
      </c>
      <c r="I42" s="6" t="s">
        <v>34</v>
      </c>
      <c r="J42" s="6" t="s">
        <v>704</v>
      </c>
      <c r="P42" s="6" t="s">
        <v>763</v>
      </c>
      <c r="S42" s="6" t="s">
        <v>92</v>
      </c>
      <c r="T42" s="6" t="s">
        <v>93</v>
      </c>
      <c r="U42" s="6" t="s">
        <v>82</v>
      </c>
      <c r="AD42" s="6" t="s">
        <v>764</v>
      </c>
      <c r="AE42" s="6" t="s">
        <v>64</v>
      </c>
      <c r="AH42" s="6" t="s">
        <v>64</v>
      </c>
      <c r="AL42" s="6" t="s">
        <v>92</v>
      </c>
      <c r="AM42" s="6" t="s">
        <v>93</v>
      </c>
      <c r="AQ42" s="6" t="s">
        <v>57</v>
      </c>
      <c r="AU42" s="67"/>
    </row>
    <row r="43" spans="1:47" ht="15" hidden="1" customHeight="1">
      <c r="A43" s="75" t="s">
        <v>317</v>
      </c>
      <c r="B43" s="75" t="s">
        <v>765</v>
      </c>
      <c r="C43" s="75"/>
      <c r="D43" s="75"/>
      <c r="E43" s="75"/>
      <c r="F43" s="75"/>
      <c r="G43" s="78">
        <v>22505</v>
      </c>
      <c r="H43" s="75" t="s">
        <v>55</v>
      </c>
      <c r="I43" s="75"/>
      <c r="J43" s="75"/>
      <c r="K43" s="75"/>
      <c r="L43" s="75"/>
      <c r="M43" s="75"/>
      <c r="N43" s="75"/>
      <c r="O43" s="75"/>
      <c r="P43" s="75"/>
      <c r="Q43" s="80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80"/>
    </row>
    <row r="44" spans="1:47" ht="15" customHeight="1">
      <c r="B44" s="6" t="s">
        <v>766</v>
      </c>
      <c r="C44" s="6">
        <v>4963025051</v>
      </c>
      <c r="G44" s="9">
        <v>14448</v>
      </c>
      <c r="H44" s="6" t="s">
        <v>55</v>
      </c>
      <c r="I44" s="6" t="s">
        <v>34</v>
      </c>
      <c r="K44" s="6" t="s">
        <v>704</v>
      </c>
      <c r="P44" s="6" t="s">
        <v>767</v>
      </c>
      <c r="Q44" s="67" t="s">
        <v>57</v>
      </c>
      <c r="S44" s="6" t="s">
        <v>71</v>
      </c>
      <c r="T44" s="6" t="s">
        <v>768</v>
      </c>
      <c r="U44" s="6" t="s">
        <v>89</v>
      </c>
      <c r="V44" s="6" t="s">
        <v>93</v>
      </c>
      <c r="W44" s="6" t="s">
        <v>769</v>
      </c>
      <c r="AE44" s="6" t="s">
        <v>72</v>
      </c>
      <c r="AH44" s="6" t="s">
        <v>72</v>
      </c>
      <c r="AL44" s="6" t="s">
        <v>89</v>
      </c>
      <c r="AM44" s="6" t="s">
        <v>93</v>
      </c>
      <c r="AQ44" s="6" t="s">
        <v>57</v>
      </c>
      <c r="AU44" s="67" t="s">
        <v>57</v>
      </c>
    </row>
    <row r="45" spans="1:47" s="75" customFormat="1" ht="15" customHeight="1">
      <c r="A45" s="6"/>
      <c r="B45" s="6" t="s">
        <v>770</v>
      </c>
      <c r="C45" s="6">
        <v>4520840074</v>
      </c>
      <c r="D45" s="6"/>
      <c r="E45" s="6"/>
      <c r="F45" s="6"/>
      <c r="G45" s="9">
        <v>18776</v>
      </c>
      <c r="H45" s="6" t="s">
        <v>55</v>
      </c>
      <c r="I45" s="6" t="s">
        <v>34</v>
      </c>
      <c r="J45" s="6"/>
      <c r="K45" s="6"/>
      <c r="L45" s="6" t="s">
        <v>704</v>
      </c>
      <c r="M45" s="6"/>
      <c r="N45" s="6"/>
      <c r="O45" s="6"/>
      <c r="P45" s="6" t="s">
        <v>771</v>
      </c>
      <c r="Q45" s="67" t="s">
        <v>57</v>
      </c>
      <c r="R45" s="6"/>
      <c r="S45" s="6" t="s">
        <v>72</v>
      </c>
      <c r="T45" s="6" t="s">
        <v>92</v>
      </c>
      <c r="U45" s="6" t="s">
        <v>93</v>
      </c>
      <c r="V45" s="6"/>
      <c r="W45" s="6"/>
      <c r="X45" s="6"/>
      <c r="Y45" s="6"/>
      <c r="Z45" s="6"/>
      <c r="AA45" s="6"/>
      <c r="AB45" s="6"/>
      <c r="AC45" s="6"/>
      <c r="AD45" s="6"/>
      <c r="AE45" s="6" t="s">
        <v>71</v>
      </c>
      <c r="AF45" s="6"/>
      <c r="AG45" s="6"/>
      <c r="AH45" s="6" t="s">
        <v>71</v>
      </c>
      <c r="AI45" s="6"/>
      <c r="AJ45" s="6"/>
      <c r="AK45" s="6"/>
      <c r="AL45" s="6" t="s">
        <v>92</v>
      </c>
      <c r="AM45" s="6" t="s">
        <v>93</v>
      </c>
      <c r="AN45" s="6"/>
      <c r="AO45" s="6"/>
      <c r="AP45" s="6"/>
      <c r="AQ45" s="6" t="s">
        <v>57</v>
      </c>
      <c r="AR45" s="6"/>
      <c r="AS45" s="6"/>
      <c r="AT45" s="6"/>
      <c r="AU45" s="67" t="s">
        <v>57</v>
      </c>
    </row>
    <row r="46" spans="1:47" ht="15" hidden="1" customHeight="1">
      <c r="A46" s="75" t="s">
        <v>317</v>
      </c>
      <c r="B46" s="75" t="s">
        <v>772</v>
      </c>
      <c r="C46" s="75"/>
      <c r="D46" s="75"/>
      <c r="E46" s="75"/>
      <c r="F46" s="75"/>
      <c r="G46" s="78">
        <v>14638</v>
      </c>
      <c r="H46" s="75" t="s">
        <v>55</v>
      </c>
      <c r="I46" s="75"/>
      <c r="J46" s="75"/>
      <c r="K46" s="75"/>
      <c r="L46" s="75"/>
      <c r="M46" s="75"/>
      <c r="N46" s="75"/>
      <c r="O46" s="75"/>
      <c r="P46" s="75"/>
      <c r="Q46" s="80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80"/>
    </row>
    <row r="47" spans="1:47" ht="15" customHeight="1">
      <c r="B47" s="6" t="s">
        <v>773</v>
      </c>
      <c r="C47" s="6">
        <v>4506025385</v>
      </c>
      <c r="G47" s="9">
        <v>20966</v>
      </c>
      <c r="H47" s="6" t="s">
        <v>55</v>
      </c>
      <c r="I47" s="6" t="s">
        <v>34</v>
      </c>
      <c r="L47" s="6" t="s">
        <v>704</v>
      </c>
      <c r="P47" s="6" t="s">
        <v>774</v>
      </c>
      <c r="Q47" s="67" t="s">
        <v>57</v>
      </c>
      <c r="S47" s="6" t="s">
        <v>73</v>
      </c>
      <c r="AE47" s="6" t="s">
        <v>476</v>
      </c>
      <c r="AH47" s="6" t="s">
        <v>476</v>
      </c>
      <c r="AL47" s="6" t="s">
        <v>73</v>
      </c>
      <c r="AQ47" s="6" t="s">
        <v>57</v>
      </c>
      <c r="AU47" s="67" t="s">
        <v>57</v>
      </c>
    </row>
    <row r="48" spans="1:47" ht="15" hidden="1" customHeight="1">
      <c r="A48" s="75" t="s">
        <v>317</v>
      </c>
      <c r="B48" s="75" t="s">
        <v>775</v>
      </c>
      <c r="C48" s="75"/>
      <c r="D48" s="75"/>
      <c r="E48" s="75"/>
      <c r="F48" s="75"/>
      <c r="G48" s="78">
        <v>26505</v>
      </c>
      <c r="H48" s="75" t="s">
        <v>55</v>
      </c>
      <c r="I48" s="75"/>
      <c r="J48" s="75"/>
      <c r="K48" s="75"/>
      <c r="L48" s="75"/>
      <c r="M48" s="75"/>
      <c r="N48" s="75"/>
      <c r="O48" s="75"/>
      <c r="P48" s="75"/>
      <c r="Q48" s="80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80"/>
    </row>
    <row r="49" spans="1:47" ht="15" customHeight="1">
      <c r="B49" s="98" t="s">
        <v>776</v>
      </c>
      <c r="C49" s="6">
        <v>4861670438</v>
      </c>
      <c r="G49" s="9">
        <v>22149</v>
      </c>
      <c r="H49" s="6" t="s">
        <v>55</v>
      </c>
      <c r="I49" s="6" t="s">
        <v>34</v>
      </c>
      <c r="J49" s="6" t="s">
        <v>704</v>
      </c>
      <c r="AU49" s="67"/>
    </row>
    <row r="50" spans="1:47" ht="15" customHeight="1">
      <c r="B50" s="6" t="s">
        <v>777</v>
      </c>
      <c r="C50" s="6">
        <v>4463708869</v>
      </c>
      <c r="G50" s="9">
        <v>19910</v>
      </c>
      <c r="H50" s="6" t="s">
        <v>55</v>
      </c>
      <c r="I50" s="6" t="s">
        <v>34</v>
      </c>
      <c r="K50" s="6" t="s">
        <v>704</v>
      </c>
      <c r="P50" s="6" t="s">
        <v>778</v>
      </c>
      <c r="Q50" s="67" t="s">
        <v>57</v>
      </c>
      <c r="S50" s="6" t="s">
        <v>73</v>
      </c>
      <c r="AE50" s="6" t="s">
        <v>81</v>
      </c>
      <c r="AH50" s="6" t="s">
        <v>72</v>
      </c>
      <c r="AL50" s="6" t="s">
        <v>73</v>
      </c>
      <c r="AQ50" s="6" t="s">
        <v>57</v>
      </c>
      <c r="AU50" s="67" t="s">
        <v>57</v>
      </c>
    </row>
    <row r="51" spans="1:47" ht="15" customHeight="1">
      <c r="B51" s="6" t="s">
        <v>779</v>
      </c>
      <c r="C51" s="6">
        <v>4582646263</v>
      </c>
      <c r="E51" s="6" t="s">
        <v>673</v>
      </c>
      <c r="G51" s="9">
        <v>19875</v>
      </c>
      <c r="H51" s="6" t="s">
        <v>55</v>
      </c>
      <c r="I51" s="6" t="s">
        <v>34</v>
      </c>
      <c r="L51" s="6" t="s">
        <v>36</v>
      </c>
      <c r="P51" s="6" t="s">
        <v>780</v>
      </c>
      <c r="Q51" s="67" t="s">
        <v>57</v>
      </c>
      <c r="X51" s="6" t="s">
        <v>105</v>
      </c>
      <c r="Y51" s="6" t="s">
        <v>116</v>
      </c>
      <c r="Z51" s="6" t="s">
        <v>64</v>
      </c>
      <c r="AA51" s="6" t="s">
        <v>137</v>
      </c>
      <c r="AE51" s="6" t="s">
        <v>58</v>
      </c>
      <c r="AH51" s="6" t="s">
        <v>58</v>
      </c>
      <c r="AN51" s="6" t="s">
        <v>105</v>
      </c>
      <c r="AO51" s="6" t="s">
        <v>116</v>
      </c>
      <c r="AQ51" s="6" t="s">
        <v>57</v>
      </c>
      <c r="AT51" s="6" t="s">
        <v>57</v>
      </c>
      <c r="AU51" s="67" t="s">
        <v>57</v>
      </c>
    </row>
    <row r="52" spans="1:47" s="75" customFormat="1" ht="15" customHeight="1">
      <c r="A52" s="6"/>
      <c r="B52" s="98" t="s">
        <v>781</v>
      </c>
      <c r="C52" s="6">
        <v>4487068401</v>
      </c>
      <c r="D52" s="6"/>
      <c r="E52" s="6"/>
      <c r="F52" s="6"/>
      <c r="G52" s="9">
        <v>21565</v>
      </c>
      <c r="H52" s="6" t="s">
        <v>55</v>
      </c>
      <c r="I52" s="6" t="s">
        <v>34</v>
      </c>
      <c r="J52" s="6"/>
      <c r="K52" s="6" t="s">
        <v>704</v>
      </c>
      <c r="L52" s="6"/>
      <c r="M52" s="6"/>
      <c r="N52" s="6"/>
      <c r="O52" s="6"/>
      <c r="P52" s="6"/>
      <c r="Q52" s="67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7"/>
    </row>
    <row r="53" spans="1:47" ht="15" customHeight="1">
      <c r="B53" s="6" t="s">
        <v>782</v>
      </c>
      <c r="C53" s="6">
        <v>4124346735</v>
      </c>
      <c r="G53" s="9">
        <v>25565</v>
      </c>
      <c r="H53" s="6" t="s">
        <v>55</v>
      </c>
      <c r="I53" s="6" t="s">
        <v>34</v>
      </c>
      <c r="J53" s="6" t="s">
        <v>704</v>
      </c>
      <c r="P53" s="6" t="s">
        <v>783</v>
      </c>
      <c r="Q53" s="67" t="s">
        <v>57</v>
      </c>
      <c r="AU53" s="67" t="s">
        <v>57</v>
      </c>
    </row>
    <row r="54" spans="1:47" ht="15" customHeight="1">
      <c r="B54" s="6" t="s">
        <v>784</v>
      </c>
      <c r="C54" s="6">
        <v>4083465573</v>
      </c>
      <c r="G54" s="9">
        <v>28850</v>
      </c>
      <c r="H54" s="6" t="s">
        <v>55</v>
      </c>
      <c r="I54" s="6" t="s">
        <v>34</v>
      </c>
      <c r="J54" s="6" t="s">
        <v>704</v>
      </c>
      <c r="P54" s="6" t="s">
        <v>785</v>
      </c>
      <c r="Q54" s="67" t="s">
        <v>57</v>
      </c>
      <c r="S54" s="6" t="s">
        <v>68</v>
      </c>
      <c r="AD54" s="6" t="s">
        <v>96</v>
      </c>
      <c r="AE54" s="6" t="s">
        <v>67</v>
      </c>
      <c r="AH54" s="6" t="s">
        <v>67</v>
      </c>
      <c r="AL54" s="6" t="s">
        <v>68</v>
      </c>
      <c r="AQ54" s="6" t="s">
        <v>57</v>
      </c>
      <c r="AU54" s="67" t="s">
        <v>57</v>
      </c>
    </row>
    <row r="55" spans="1:47" ht="15" customHeight="1">
      <c r="B55" s="98" t="s">
        <v>786</v>
      </c>
      <c r="C55" s="6">
        <v>6270577373</v>
      </c>
      <c r="G55" s="9">
        <v>18181</v>
      </c>
      <c r="H55" s="6" t="s">
        <v>55</v>
      </c>
      <c r="I55" s="6" t="s">
        <v>34</v>
      </c>
      <c r="L55" s="6" t="s">
        <v>704</v>
      </c>
      <c r="AU55" s="67"/>
    </row>
    <row r="56" spans="1:47" ht="15" hidden="1" customHeight="1">
      <c r="A56" s="75" t="s">
        <v>317</v>
      </c>
      <c r="B56" s="75" t="s">
        <v>787</v>
      </c>
      <c r="C56" s="75"/>
      <c r="D56" s="75"/>
      <c r="E56" s="75"/>
      <c r="F56" s="75"/>
      <c r="G56" s="78">
        <v>27990</v>
      </c>
      <c r="H56" s="75" t="s">
        <v>55</v>
      </c>
      <c r="I56" s="75"/>
      <c r="J56" s="75"/>
      <c r="K56" s="75"/>
      <c r="L56" s="75"/>
      <c r="M56" s="75"/>
      <c r="N56" s="75"/>
      <c r="O56" s="75"/>
      <c r="P56" s="75"/>
      <c r="Q56" s="80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80"/>
    </row>
    <row r="57" spans="1:47" ht="15" customHeight="1">
      <c r="B57" s="6" t="s">
        <v>788</v>
      </c>
      <c r="C57" s="6">
        <v>4942549604</v>
      </c>
      <c r="G57" s="9">
        <v>16605</v>
      </c>
      <c r="H57" s="6" t="s">
        <v>55</v>
      </c>
      <c r="I57" s="6" t="s">
        <v>34</v>
      </c>
      <c r="K57" s="6" t="s">
        <v>704</v>
      </c>
      <c r="P57" s="6" t="s">
        <v>789</v>
      </c>
      <c r="Q57" s="67" t="s">
        <v>57</v>
      </c>
      <c r="S57" s="6" t="s">
        <v>73</v>
      </c>
      <c r="AE57" s="6" t="s">
        <v>71</v>
      </c>
      <c r="AH57" s="6" t="s">
        <v>71</v>
      </c>
      <c r="AL57" s="6" t="s">
        <v>73</v>
      </c>
      <c r="AQ57" s="6" t="s">
        <v>57</v>
      </c>
      <c r="AU57" s="67" t="s">
        <v>57</v>
      </c>
    </row>
    <row r="58" spans="1:47" ht="15" customHeight="1">
      <c r="B58" s="98" t="s">
        <v>790</v>
      </c>
      <c r="C58" s="6">
        <v>4782020961</v>
      </c>
      <c r="G58" s="9">
        <v>23163</v>
      </c>
      <c r="H58" s="6" t="s">
        <v>55</v>
      </c>
      <c r="I58" s="6" t="s">
        <v>34</v>
      </c>
      <c r="L58" s="6" t="s">
        <v>704</v>
      </c>
      <c r="AU58" s="67"/>
    </row>
    <row r="59" spans="1:47" s="75" customFormat="1" ht="15" customHeight="1">
      <c r="A59" s="6"/>
      <c r="B59" s="6" t="s">
        <v>791</v>
      </c>
      <c r="C59" s="6">
        <v>4508003729</v>
      </c>
      <c r="D59" s="6"/>
      <c r="E59" s="6"/>
      <c r="F59" s="6"/>
      <c r="G59" s="9">
        <v>17258</v>
      </c>
      <c r="H59" s="6" t="s">
        <v>55</v>
      </c>
      <c r="I59" s="6" t="s">
        <v>34</v>
      </c>
      <c r="J59" s="6"/>
      <c r="K59" s="6" t="s">
        <v>704</v>
      </c>
      <c r="L59" s="6"/>
      <c r="M59" s="6"/>
      <c r="N59" s="6"/>
      <c r="O59" s="6"/>
      <c r="P59" s="6" t="s">
        <v>792</v>
      </c>
      <c r="Q59" s="67" t="s">
        <v>57</v>
      </c>
      <c r="R59" s="6"/>
      <c r="S59" s="6" t="s">
        <v>89</v>
      </c>
      <c r="T59" s="6" t="s">
        <v>182</v>
      </c>
      <c r="U59" s="6" t="s">
        <v>149</v>
      </c>
      <c r="V59" s="6" t="s">
        <v>151</v>
      </c>
      <c r="W59" s="6" t="s">
        <v>793</v>
      </c>
      <c r="X59" s="6" t="s">
        <v>794</v>
      </c>
      <c r="Y59" s="6" t="s">
        <v>795</v>
      </c>
      <c r="Z59" s="6" t="s">
        <v>652</v>
      </c>
      <c r="AA59" s="6" t="s">
        <v>796</v>
      </c>
      <c r="AB59" s="6" t="s">
        <v>797</v>
      </c>
      <c r="AC59" s="6"/>
      <c r="AD59" s="6" t="s">
        <v>798</v>
      </c>
      <c r="AE59" s="6" t="s">
        <v>79</v>
      </c>
      <c r="AF59" s="6"/>
      <c r="AG59" s="6"/>
      <c r="AH59" s="6" t="s">
        <v>79</v>
      </c>
      <c r="AI59" s="6"/>
      <c r="AJ59" s="6"/>
      <c r="AK59" s="6"/>
      <c r="AL59" s="6" t="s">
        <v>89</v>
      </c>
      <c r="AM59" s="6"/>
      <c r="AN59" s="6" t="s">
        <v>794</v>
      </c>
      <c r="AO59" s="6"/>
      <c r="AP59" s="6"/>
      <c r="AQ59" s="6" t="s">
        <v>57</v>
      </c>
      <c r="AR59" s="6"/>
      <c r="AS59" s="6"/>
      <c r="AT59" s="6"/>
      <c r="AU59" s="67" t="s">
        <v>57</v>
      </c>
    </row>
    <row r="60" spans="1:47" s="75" customFormat="1" ht="15" customHeight="1">
      <c r="A60" s="6"/>
      <c r="B60" s="6" t="s">
        <v>799</v>
      </c>
      <c r="C60" s="6">
        <v>4784771816</v>
      </c>
      <c r="D60" s="6"/>
      <c r="E60" s="6"/>
      <c r="F60" s="6"/>
      <c r="G60" s="9">
        <v>23494</v>
      </c>
      <c r="H60" s="6" t="s">
        <v>55</v>
      </c>
      <c r="I60" s="6" t="s">
        <v>34</v>
      </c>
      <c r="J60" s="6" t="s">
        <v>704</v>
      </c>
      <c r="K60" s="6"/>
      <c r="L60" s="6"/>
      <c r="M60" s="6"/>
      <c r="N60" s="6"/>
      <c r="O60" s="6"/>
      <c r="P60" s="6" t="s">
        <v>800</v>
      </c>
      <c r="Q60" s="67" t="s">
        <v>57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 t="s">
        <v>137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7" t="s">
        <v>57</v>
      </c>
    </row>
    <row r="61" spans="1:47" ht="15" customHeight="1">
      <c r="B61" s="6" t="s">
        <v>801</v>
      </c>
      <c r="C61" s="6">
        <v>4303025399</v>
      </c>
      <c r="G61" s="9">
        <v>16992</v>
      </c>
      <c r="H61" s="6" t="s">
        <v>55</v>
      </c>
      <c r="I61" s="6" t="s">
        <v>34</v>
      </c>
      <c r="K61" s="6" t="s">
        <v>704</v>
      </c>
      <c r="P61" s="6" t="s">
        <v>802</v>
      </c>
      <c r="Q61" s="67" t="s">
        <v>57</v>
      </c>
      <c r="S61" s="6" t="s">
        <v>137</v>
      </c>
      <c r="AE61" s="6" t="s">
        <v>64</v>
      </c>
      <c r="AH61" s="6" t="s">
        <v>64</v>
      </c>
      <c r="AL61" s="6" t="s">
        <v>137</v>
      </c>
      <c r="AQ61" s="6" t="s">
        <v>57</v>
      </c>
      <c r="AU61" s="67" t="s">
        <v>57</v>
      </c>
    </row>
    <row r="62" spans="1:47" ht="15" customHeight="1">
      <c r="B62" s="6" t="s">
        <v>803</v>
      </c>
      <c r="C62" s="6">
        <v>4668667625</v>
      </c>
      <c r="G62" s="9">
        <v>16901</v>
      </c>
      <c r="H62" s="6" t="s">
        <v>55</v>
      </c>
      <c r="I62" s="6" t="s">
        <v>34</v>
      </c>
      <c r="K62" s="6" t="s">
        <v>704</v>
      </c>
      <c r="P62" s="6" t="s">
        <v>804</v>
      </c>
      <c r="Q62" s="67" t="s">
        <v>57</v>
      </c>
      <c r="AU62" s="67" t="s">
        <v>57</v>
      </c>
    </row>
    <row r="63" spans="1:47" ht="15" hidden="1" customHeight="1">
      <c r="A63" s="75" t="s">
        <v>317</v>
      </c>
      <c r="B63" s="75" t="s">
        <v>805</v>
      </c>
      <c r="C63" s="75"/>
      <c r="D63" s="75"/>
      <c r="E63" s="75"/>
      <c r="F63" s="75"/>
      <c r="G63" s="78">
        <v>19422</v>
      </c>
      <c r="H63" s="75" t="s">
        <v>55</v>
      </c>
      <c r="I63" s="75"/>
      <c r="J63" s="75"/>
      <c r="K63" s="75"/>
      <c r="L63" s="75"/>
      <c r="M63" s="75"/>
      <c r="N63" s="75"/>
      <c r="O63" s="75"/>
      <c r="P63" s="75"/>
      <c r="Q63" s="80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80"/>
    </row>
    <row r="64" spans="1:47" ht="15" customHeight="1">
      <c r="B64" s="6" t="s">
        <v>806</v>
      </c>
      <c r="C64" s="6">
        <v>4422277502</v>
      </c>
      <c r="G64" s="9">
        <v>15454</v>
      </c>
      <c r="H64" s="6" t="s">
        <v>55</v>
      </c>
      <c r="I64" s="6" t="s">
        <v>34</v>
      </c>
      <c r="K64" s="6" t="s">
        <v>704</v>
      </c>
      <c r="P64" s="6" t="s">
        <v>807</v>
      </c>
      <c r="Q64" s="67" t="s">
        <v>57</v>
      </c>
      <c r="S64" s="6" t="s">
        <v>137</v>
      </c>
      <c r="T64" s="6" t="s">
        <v>81</v>
      </c>
      <c r="AD64" s="6" t="s">
        <v>116</v>
      </c>
      <c r="AE64" s="6" t="s">
        <v>77</v>
      </c>
      <c r="AH64" s="6" t="s">
        <v>77</v>
      </c>
      <c r="AL64" s="6" t="s">
        <v>137</v>
      </c>
      <c r="AM64" s="6" t="s">
        <v>81</v>
      </c>
      <c r="AQ64" s="6" t="s">
        <v>57</v>
      </c>
      <c r="AU64" s="67" t="s">
        <v>57</v>
      </c>
    </row>
    <row r="65" spans="1:47" ht="15" customHeight="1">
      <c r="B65" s="98" t="s">
        <v>808</v>
      </c>
      <c r="C65" s="6">
        <v>6221314097</v>
      </c>
      <c r="G65" s="9">
        <v>22841</v>
      </c>
      <c r="H65" s="6" t="s">
        <v>55</v>
      </c>
      <c r="I65" s="6" t="s">
        <v>34</v>
      </c>
      <c r="K65" s="6" t="s">
        <v>704</v>
      </c>
      <c r="P65" s="6" t="s">
        <v>809</v>
      </c>
      <c r="Q65" s="67" t="s">
        <v>57</v>
      </c>
      <c r="S65" s="6" t="s">
        <v>64</v>
      </c>
      <c r="AE65" s="6" t="s">
        <v>81</v>
      </c>
      <c r="AH65" s="6" t="s">
        <v>81</v>
      </c>
      <c r="AL65" s="6" t="s">
        <v>64</v>
      </c>
      <c r="AQ65" s="6" t="s">
        <v>57</v>
      </c>
      <c r="AU65" s="67" t="s">
        <v>57</v>
      </c>
    </row>
    <row r="66" spans="1:47" ht="15" customHeight="1">
      <c r="B66" s="6" t="s">
        <v>810</v>
      </c>
      <c r="C66" s="6">
        <v>4861238919</v>
      </c>
      <c r="G66" s="9">
        <v>22503</v>
      </c>
      <c r="H66" s="6" t="s">
        <v>55</v>
      </c>
      <c r="I66" s="6" t="s">
        <v>34</v>
      </c>
      <c r="K66" s="6" t="s">
        <v>704</v>
      </c>
      <c r="P66" s="6" t="s">
        <v>811</v>
      </c>
      <c r="Q66" s="67" t="s">
        <v>57</v>
      </c>
      <c r="S66" s="6" t="s">
        <v>81</v>
      </c>
      <c r="AE66" s="6" t="s">
        <v>71</v>
      </c>
      <c r="AH66" s="6" t="s">
        <v>71</v>
      </c>
      <c r="AL66" s="6" t="s">
        <v>81</v>
      </c>
      <c r="AQ66" s="6" t="s">
        <v>57</v>
      </c>
      <c r="AU66" s="67" t="s">
        <v>57</v>
      </c>
    </row>
    <row r="67" spans="1:47" ht="15" customHeight="1">
      <c r="B67" s="6" t="s">
        <v>812</v>
      </c>
      <c r="C67" s="6">
        <v>4883697835</v>
      </c>
      <c r="E67" s="6" t="s">
        <v>673</v>
      </c>
      <c r="G67" s="9">
        <v>15121</v>
      </c>
      <c r="H67" s="6" t="s">
        <v>55</v>
      </c>
      <c r="I67" s="6" t="s">
        <v>34</v>
      </c>
      <c r="K67" s="6" t="s">
        <v>36</v>
      </c>
      <c r="P67" s="6" t="s">
        <v>702</v>
      </c>
      <c r="Q67" s="67" t="s">
        <v>57</v>
      </c>
      <c r="X67" s="6" t="s">
        <v>58</v>
      </c>
      <c r="Y67" s="6" t="s">
        <v>105</v>
      </c>
      <c r="Z67" s="6" t="s">
        <v>64</v>
      </c>
      <c r="AE67" s="6" t="s">
        <v>116</v>
      </c>
      <c r="AH67" s="6" t="s">
        <v>116</v>
      </c>
      <c r="AN67" s="6" t="s">
        <v>58</v>
      </c>
      <c r="AO67" s="6" t="s">
        <v>105</v>
      </c>
      <c r="AQ67" s="6" t="s">
        <v>57</v>
      </c>
      <c r="AT67" s="6" t="s">
        <v>57</v>
      </c>
      <c r="AU67" s="67" t="s">
        <v>57</v>
      </c>
    </row>
    <row r="68" spans="1:47" ht="15" customHeight="1">
      <c r="B68" s="6" t="s">
        <v>813</v>
      </c>
      <c r="C68" s="6">
        <v>4860072065</v>
      </c>
      <c r="G68" s="9">
        <v>23727</v>
      </c>
      <c r="H68" s="6" t="s">
        <v>55</v>
      </c>
      <c r="I68" s="6" t="s">
        <v>34</v>
      </c>
      <c r="K68" s="6" t="s">
        <v>704</v>
      </c>
      <c r="P68" s="6" t="s">
        <v>814</v>
      </c>
      <c r="Q68" s="67" t="s">
        <v>57</v>
      </c>
      <c r="S68" s="6" t="s">
        <v>815</v>
      </c>
      <c r="T68" s="6" t="s">
        <v>137</v>
      </c>
      <c r="U68" s="6" t="s">
        <v>64</v>
      </c>
      <c r="V68" s="6" t="s">
        <v>81</v>
      </c>
      <c r="W68" s="6" t="s">
        <v>816</v>
      </c>
      <c r="AE68" s="6" t="s">
        <v>79</v>
      </c>
      <c r="AH68" s="6" t="s">
        <v>79</v>
      </c>
      <c r="AL68" s="6" t="s">
        <v>137</v>
      </c>
      <c r="AM68" s="6" t="s">
        <v>64</v>
      </c>
      <c r="AQ68" s="6" t="s">
        <v>57</v>
      </c>
      <c r="AU68" s="67" t="s">
        <v>57</v>
      </c>
    </row>
    <row r="69" spans="1:47" ht="15" customHeight="1">
      <c r="B69" s="6" t="s">
        <v>817</v>
      </c>
      <c r="C69" s="6">
        <v>4562039582</v>
      </c>
      <c r="G69" s="9">
        <v>18622</v>
      </c>
      <c r="H69" s="6" t="s">
        <v>55</v>
      </c>
      <c r="I69" s="6" t="s">
        <v>34</v>
      </c>
      <c r="K69" s="6" t="s">
        <v>704</v>
      </c>
      <c r="P69" s="6" t="s">
        <v>818</v>
      </c>
      <c r="Q69" s="67" t="s">
        <v>57</v>
      </c>
      <c r="S69" s="6" t="s">
        <v>68</v>
      </c>
      <c r="T69" s="6" t="s">
        <v>97</v>
      </c>
      <c r="U69" s="6" t="s">
        <v>78</v>
      </c>
      <c r="V69" s="6" t="s">
        <v>124</v>
      </c>
      <c r="W69" s="6" t="s">
        <v>819</v>
      </c>
      <c r="AD69" s="6" t="s">
        <v>116</v>
      </c>
      <c r="AE69" s="6" t="s">
        <v>85</v>
      </c>
      <c r="AH69" s="6" t="s">
        <v>85</v>
      </c>
      <c r="AL69" s="6" t="s">
        <v>68</v>
      </c>
      <c r="AM69" s="6" t="s">
        <v>97</v>
      </c>
      <c r="AQ69" s="6" t="s">
        <v>57</v>
      </c>
      <c r="AU69" s="67" t="s">
        <v>57</v>
      </c>
    </row>
    <row r="70" spans="1:47" s="75" customFormat="1" ht="15" customHeight="1">
      <c r="A70" s="6"/>
      <c r="B70" s="6" t="s">
        <v>820</v>
      </c>
      <c r="C70" s="6">
        <v>4508069339</v>
      </c>
      <c r="D70" s="6"/>
      <c r="E70" s="6"/>
      <c r="F70" s="6"/>
      <c r="G70" s="9">
        <v>17532</v>
      </c>
      <c r="H70" s="6" t="s">
        <v>55</v>
      </c>
      <c r="I70" s="6" t="s">
        <v>34</v>
      </c>
      <c r="J70" s="6"/>
      <c r="K70" s="6" t="s">
        <v>704</v>
      </c>
      <c r="L70" s="6"/>
      <c r="M70" s="6"/>
      <c r="N70" s="6"/>
      <c r="O70" s="6"/>
      <c r="P70" s="6" t="s">
        <v>821</v>
      </c>
      <c r="Q70" s="67" t="s">
        <v>57</v>
      </c>
      <c r="R70" s="6"/>
      <c r="S70" s="6" t="s">
        <v>97</v>
      </c>
      <c r="T70" s="6" t="s">
        <v>67</v>
      </c>
      <c r="U70" s="6" t="s">
        <v>85</v>
      </c>
      <c r="V70" s="6" t="s">
        <v>89</v>
      </c>
      <c r="W70" s="6" t="s">
        <v>64</v>
      </c>
      <c r="X70" s="6"/>
      <c r="Y70" s="6"/>
      <c r="Z70" s="6"/>
      <c r="AA70" s="6"/>
      <c r="AB70" s="6"/>
      <c r="AC70" s="6"/>
      <c r="AD70" s="6"/>
      <c r="AE70" s="6" t="s">
        <v>60</v>
      </c>
      <c r="AF70" s="6"/>
      <c r="AG70" s="6"/>
      <c r="AH70" s="6" t="s">
        <v>60</v>
      </c>
      <c r="AI70" s="6"/>
      <c r="AJ70" s="6"/>
      <c r="AK70" s="6"/>
      <c r="AL70" s="6" t="s">
        <v>97</v>
      </c>
      <c r="AM70" s="6" t="s">
        <v>67</v>
      </c>
      <c r="AN70" s="6"/>
      <c r="AO70" s="6"/>
      <c r="AP70" s="6"/>
      <c r="AQ70" s="6" t="s">
        <v>57</v>
      </c>
      <c r="AR70" s="6"/>
      <c r="AS70" s="6"/>
      <c r="AT70" s="6"/>
      <c r="AU70" s="67" t="s">
        <v>57</v>
      </c>
    </row>
    <row r="71" spans="1:47" ht="15" hidden="1" customHeight="1">
      <c r="A71" s="75" t="s">
        <v>317</v>
      </c>
      <c r="B71" s="75" t="s">
        <v>822</v>
      </c>
      <c r="C71" s="75"/>
      <c r="D71" s="75"/>
      <c r="E71" s="75"/>
      <c r="F71" s="75"/>
      <c r="G71" s="78">
        <v>24018</v>
      </c>
      <c r="H71" s="75" t="s">
        <v>55</v>
      </c>
      <c r="I71" s="75"/>
      <c r="J71" s="75"/>
      <c r="K71" s="75"/>
      <c r="L71" s="75"/>
      <c r="M71" s="75"/>
      <c r="N71" s="75"/>
      <c r="O71" s="75"/>
      <c r="P71" s="75"/>
      <c r="Q71" s="80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80"/>
    </row>
    <row r="72" spans="1:47" ht="15" hidden="1" customHeight="1">
      <c r="A72" s="75" t="s">
        <v>317</v>
      </c>
      <c r="B72" s="75" t="s">
        <v>823</v>
      </c>
      <c r="C72" s="75"/>
      <c r="D72" s="75"/>
      <c r="E72" s="75"/>
      <c r="F72" s="75"/>
      <c r="G72" s="78">
        <v>21798</v>
      </c>
      <c r="H72" s="75" t="s">
        <v>55</v>
      </c>
      <c r="I72" s="75"/>
      <c r="J72" s="75"/>
      <c r="K72" s="75"/>
      <c r="L72" s="75"/>
      <c r="M72" s="75"/>
      <c r="N72" s="75"/>
      <c r="O72" s="75"/>
      <c r="P72" s="75"/>
      <c r="Q72" s="80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80"/>
    </row>
    <row r="73" spans="1:47" ht="15" customHeight="1">
      <c r="B73" s="6" t="s">
        <v>824</v>
      </c>
      <c r="C73" s="6">
        <v>4849034780</v>
      </c>
      <c r="G73" s="9">
        <v>21936</v>
      </c>
      <c r="H73" s="6" t="s">
        <v>55</v>
      </c>
      <c r="I73" s="6" t="s">
        <v>34</v>
      </c>
      <c r="K73" s="6" t="s">
        <v>704</v>
      </c>
      <c r="P73" s="6" t="s">
        <v>825</v>
      </c>
      <c r="Q73" s="67" t="s">
        <v>57</v>
      </c>
      <c r="S73" s="6" t="s">
        <v>92</v>
      </c>
      <c r="T73" s="6" t="s">
        <v>93</v>
      </c>
      <c r="U73" s="6" t="s">
        <v>64</v>
      </c>
      <c r="V73" s="6" t="s">
        <v>81</v>
      </c>
      <c r="AE73" s="6" t="s">
        <v>476</v>
      </c>
      <c r="AH73" s="6" t="s">
        <v>476</v>
      </c>
      <c r="AL73" s="6" t="s">
        <v>92</v>
      </c>
      <c r="AM73" s="6" t="s">
        <v>93</v>
      </c>
      <c r="AQ73" s="6" t="s">
        <v>57</v>
      </c>
      <c r="AU73" s="67" t="s">
        <v>57</v>
      </c>
    </row>
    <row r="74" spans="1:47" ht="15" customHeight="1">
      <c r="B74" s="6" t="s">
        <v>826</v>
      </c>
      <c r="C74" s="6">
        <v>4628457360</v>
      </c>
      <c r="G74" s="9">
        <v>19424</v>
      </c>
      <c r="H74" s="6" t="s">
        <v>55</v>
      </c>
      <c r="I74" s="6" t="s">
        <v>34</v>
      </c>
      <c r="K74" s="6" t="s">
        <v>704</v>
      </c>
      <c r="P74" s="6" t="s">
        <v>827</v>
      </c>
      <c r="Q74" s="67" t="s">
        <v>57</v>
      </c>
      <c r="S74" s="6" t="s">
        <v>72</v>
      </c>
      <c r="T74" s="6" t="s">
        <v>92</v>
      </c>
      <c r="U74" s="6" t="s">
        <v>97</v>
      </c>
      <c r="V74" s="6" t="s">
        <v>93</v>
      </c>
      <c r="W74" s="6" t="s">
        <v>67</v>
      </c>
      <c r="X74" s="6" t="s">
        <v>252</v>
      </c>
      <c r="Y74" s="6" t="s">
        <v>253</v>
      </c>
      <c r="Z74" s="6" t="s">
        <v>485</v>
      </c>
      <c r="AA74" s="6" t="s">
        <v>63</v>
      </c>
      <c r="AD74" s="6" t="s">
        <v>828</v>
      </c>
      <c r="AE74" s="6" t="s">
        <v>79</v>
      </c>
      <c r="AH74" s="6" t="s">
        <v>79</v>
      </c>
      <c r="AL74" s="6" t="s">
        <v>92</v>
      </c>
      <c r="AN74" s="6" t="s">
        <v>252</v>
      </c>
      <c r="AQ74" s="6" t="s">
        <v>57</v>
      </c>
      <c r="AU74" s="67" t="s">
        <v>57</v>
      </c>
    </row>
    <row r="75" spans="1:47" ht="15" customHeight="1">
      <c r="B75" s="6" t="s">
        <v>829</v>
      </c>
      <c r="C75" s="6">
        <v>4981689101</v>
      </c>
      <c r="G75" s="9">
        <v>24325</v>
      </c>
      <c r="H75" s="6" t="s">
        <v>55</v>
      </c>
      <c r="I75" s="6" t="s">
        <v>34</v>
      </c>
      <c r="K75" s="6" t="s">
        <v>704</v>
      </c>
      <c r="P75" s="6" t="s">
        <v>830</v>
      </c>
      <c r="Q75" s="67" t="s">
        <v>57</v>
      </c>
      <c r="S75" s="6" t="s">
        <v>172</v>
      </c>
      <c r="T75" s="6" t="s">
        <v>124</v>
      </c>
      <c r="U75" s="6" t="s">
        <v>76</v>
      </c>
      <c r="V75" s="6" t="s">
        <v>68</v>
      </c>
      <c r="X75" s="6" t="s">
        <v>831</v>
      </c>
      <c r="Y75" s="6" t="s">
        <v>832</v>
      </c>
      <c r="Z75" s="6" t="s">
        <v>265</v>
      </c>
      <c r="AD75" s="6" t="s">
        <v>833</v>
      </c>
      <c r="AE75" s="6" t="s">
        <v>149</v>
      </c>
      <c r="AH75" s="6" t="s">
        <v>149</v>
      </c>
      <c r="AL75" s="6" t="s">
        <v>172</v>
      </c>
      <c r="AN75" s="6" t="s">
        <v>831</v>
      </c>
      <c r="AQ75" s="6" t="s">
        <v>57</v>
      </c>
      <c r="AU75" s="67" t="s">
        <v>57</v>
      </c>
    </row>
    <row r="76" spans="1:47" s="75" customFormat="1" ht="15" customHeight="1">
      <c r="A76" s="6"/>
      <c r="B76" s="6" t="s">
        <v>834</v>
      </c>
      <c r="C76" s="6">
        <v>4382541670</v>
      </c>
      <c r="D76" s="6"/>
      <c r="E76" s="6"/>
      <c r="F76" s="6"/>
      <c r="G76" s="9">
        <v>15743</v>
      </c>
      <c r="H76" s="6" t="s">
        <v>55</v>
      </c>
      <c r="I76" s="6" t="s">
        <v>34</v>
      </c>
      <c r="J76" s="6"/>
      <c r="K76" s="6" t="s">
        <v>704</v>
      </c>
      <c r="L76" s="6"/>
      <c r="M76" s="6"/>
      <c r="N76" s="6"/>
      <c r="O76" s="6"/>
      <c r="P76" s="6" t="s">
        <v>835</v>
      </c>
      <c r="Q76" s="67" t="s">
        <v>57</v>
      </c>
      <c r="R76" s="6"/>
      <c r="S76" s="6" t="s">
        <v>82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 t="s">
        <v>113</v>
      </c>
      <c r="AF76" s="6"/>
      <c r="AG76" s="6"/>
      <c r="AH76" s="6" t="s">
        <v>113</v>
      </c>
      <c r="AI76" s="6"/>
      <c r="AJ76" s="6"/>
      <c r="AK76" s="6"/>
      <c r="AL76" s="6" t="s">
        <v>82</v>
      </c>
      <c r="AM76" s="6"/>
      <c r="AN76" s="6"/>
      <c r="AO76" s="6"/>
      <c r="AP76" s="6"/>
      <c r="AQ76" s="6" t="s">
        <v>57</v>
      </c>
      <c r="AR76" s="6"/>
      <c r="AS76" s="6"/>
      <c r="AT76" s="6"/>
      <c r="AU76" s="67" t="s">
        <v>57</v>
      </c>
    </row>
    <row r="77" spans="1:47" ht="15" customHeight="1">
      <c r="B77" s="6" t="s">
        <v>836</v>
      </c>
      <c r="C77" s="6">
        <v>4367564835</v>
      </c>
      <c r="G77" s="9">
        <v>12891</v>
      </c>
      <c r="H77" s="6" t="s">
        <v>55</v>
      </c>
      <c r="I77" s="6" t="s">
        <v>34</v>
      </c>
      <c r="K77" s="6" t="s">
        <v>704</v>
      </c>
      <c r="P77" s="6" t="s">
        <v>837</v>
      </c>
      <c r="Q77" s="67" t="s">
        <v>57</v>
      </c>
      <c r="S77" s="6" t="s">
        <v>64</v>
      </c>
      <c r="T77" s="6" t="s">
        <v>116</v>
      </c>
      <c r="AE77" s="6" t="s">
        <v>137</v>
      </c>
      <c r="AH77" s="6" t="s">
        <v>137</v>
      </c>
      <c r="AI77" s="6" t="s">
        <v>116</v>
      </c>
      <c r="AL77" s="6" t="s">
        <v>64</v>
      </c>
      <c r="AQ77" s="6" t="s">
        <v>57</v>
      </c>
      <c r="AU77" s="67" t="s">
        <v>57</v>
      </c>
    </row>
    <row r="78" spans="1:47" ht="15" customHeight="1">
      <c r="B78" s="6" t="s">
        <v>838</v>
      </c>
      <c r="C78" s="6">
        <v>4381449568</v>
      </c>
      <c r="G78" s="9">
        <v>16664</v>
      </c>
      <c r="H78" s="6" t="s">
        <v>55</v>
      </c>
      <c r="I78" s="6" t="s">
        <v>34</v>
      </c>
      <c r="K78" s="6" t="s">
        <v>704</v>
      </c>
      <c r="P78" s="6" t="s">
        <v>839</v>
      </c>
      <c r="Q78" s="67" t="s">
        <v>57</v>
      </c>
      <c r="S78" s="6" t="s">
        <v>96</v>
      </c>
      <c r="T78" s="6" t="s">
        <v>67</v>
      </c>
      <c r="U78" s="6" t="s">
        <v>97</v>
      </c>
      <c r="AE78" s="6" t="s">
        <v>77</v>
      </c>
      <c r="AH78" s="6" t="s">
        <v>96</v>
      </c>
      <c r="AI78" s="6" t="s">
        <v>77</v>
      </c>
      <c r="AL78" s="6" t="s">
        <v>67</v>
      </c>
      <c r="AM78" s="6" t="s">
        <v>97</v>
      </c>
      <c r="AQ78" s="6" t="s">
        <v>57</v>
      </c>
      <c r="AU78" s="67" t="s">
        <v>57</v>
      </c>
    </row>
    <row r="79" spans="1:47" ht="15" customHeight="1">
      <c r="B79" s="98" t="s">
        <v>840</v>
      </c>
      <c r="C79" s="6">
        <v>4800363527</v>
      </c>
      <c r="G79" s="9">
        <v>21449</v>
      </c>
      <c r="H79" s="6" t="s">
        <v>55</v>
      </c>
      <c r="I79" s="6" t="s">
        <v>34</v>
      </c>
      <c r="K79" s="6" t="s">
        <v>704</v>
      </c>
      <c r="AU79" s="67"/>
    </row>
    <row r="80" spans="1:47" ht="15" customHeight="1">
      <c r="B80" s="6" t="s">
        <v>841</v>
      </c>
      <c r="C80" s="6">
        <v>4381636163</v>
      </c>
      <c r="G80" s="9">
        <v>16792</v>
      </c>
      <c r="H80" s="6" t="s">
        <v>55</v>
      </c>
      <c r="I80" s="6" t="s">
        <v>34</v>
      </c>
      <c r="K80" s="6" t="s">
        <v>704</v>
      </c>
      <c r="P80" s="86" t="s">
        <v>842</v>
      </c>
      <c r="Q80" s="67" t="s">
        <v>57</v>
      </c>
      <c r="AD80" s="6" t="s">
        <v>116</v>
      </c>
      <c r="AE80" s="6" t="s">
        <v>137</v>
      </c>
      <c r="AU80" s="67" t="s">
        <v>57</v>
      </c>
    </row>
    <row r="81" spans="1:47" ht="15" customHeight="1">
      <c r="B81" s="6" t="s">
        <v>843</v>
      </c>
      <c r="C81" s="6">
        <v>4981124538</v>
      </c>
      <c r="G81" s="9">
        <v>22402</v>
      </c>
      <c r="H81" s="6" t="s">
        <v>55</v>
      </c>
      <c r="I81" s="6" t="s">
        <v>34</v>
      </c>
      <c r="J81" s="6" t="s">
        <v>704</v>
      </c>
      <c r="P81" s="6" t="s">
        <v>844</v>
      </c>
      <c r="Q81" s="67" t="s">
        <v>57</v>
      </c>
      <c r="S81" s="6" t="s">
        <v>58</v>
      </c>
      <c r="T81" s="6" t="s">
        <v>81</v>
      </c>
      <c r="AD81" s="6" t="s">
        <v>845</v>
      </c>
      <c r="AE81" s="6" t="s">
        <v>105</v>
      </c>
      <c r="AH81" s="6" t="s">
        <v>105</v>
      </c>
      <c r="AL81" s="6" t="s">
        <v>58</v>
      </c>
      <c r="AM81" s="6" t="s">
        <v>81</v>
      </c>
      <c r="AQ81" s="6" t="s">
        <v>57</v>
      </c>
      <c r="AU81" s="67" t="s">
        <v>57</v>
      </c>
    </row>
    <row r="82" spans="1:47" ht="15" hidden="1" customHeight="1">
      <c r="A82" s="75" t="s">
        <v>317</v>
      </c>
      <c r="B82" s="75" t="s">
        <v>846</v>
      </c>
      <c r="C82" s="75"/>
      <c r="D82" s="75"/>
      <c r="E82" s="75"/>
      <c r="F82" s="75"/>
      <c r="G82" s="78">
        <v>22713</v>
      </c>
      <c r="H82" s="75" t="s">
        <v>55</v>
      </c>
      <c r="I82" s="75"/>
      <c r="J82" s="75"/>
      <c r="K82" s="75"/>
      <c r="L82" s="75"/>
      <c r="M82" s="75"/>
      <c r="N82" s="75"/>
      <c r="O82" s="75"/>
      <c r="P82" s="75"/>
      <c r="Q82" s="80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80"/>
    </row>
    <row r="83" spans="1:47" ht="15" customHeight="1">
      <c r="B83" s="6" t="s">
        <v>847</v>
      </c>
      <c r="C83" s="6">
        <v>4343138828</v>
      </c>
      <c r="G83" s="9">
        <v>12031</v>
      </c>
      <c r="H83" s="6" t="s">
        <v>55</v>
      </c>
      <c r="I83" s="6" t="s">
        <v>34</v>
      </c>
      <c r="K83" s="6" t="s">
        <v>704</v>
      </c>
      <c r="P83" s="6" t="s">
        <v>848</v>
      </c>
      <c r="Q83" s="67" t="s">
        <v>57</v>
      </c>
      <c r="S83" s="6" t="s">
        <v>73</v>
      </c>
      <c r="T83" s="6" t="s">
        <v>82</v>
      </c>
      <c r="U83" s="6" t="s">
        <v>93</v>
      </c>
      <c r="V83" s="6" t="s">
        <v>137</v>
      </c>
      <c r="W83" s="6" t="s">
        <v>92</v>
      </c>
      <c r="AE83" s="6" t="s">
        <v>77</v>
      </c>
      <c r="AH83" s="6" t="s">
        <v>77</v>
      </c>
      <c r="AL83" s="6" t="s">
        <v>73</v>
      </c>
      <c r="AM83" s="6" t="s">
        <v>82</v>
      </c>
      <c r="AQ83" s="6" t="s">
        <v>57</v>
      </c>
      <c r="AU83" s="67" t="s">
        <v>57</v>
      </c>
    </row>
    <row r="84" spans="1:47" ht="15" customHeight="1">
      <c r="B84" s="6" t="s">
        <v>849</v>
      </c>
      <c r="C84" s="6">
        <v>4583874057</v>
      </c>
      <c r="G84" s="9">
        <v>20556</v>
      </c>
      <c r="H84" s="6" t="s">
        <v>55</v>
      </c>
      <c r="I84" s="6" t="s">
        <v>34</v>
      </c>
      <c r="K84" s="6" t="s">
        <v>704</v>
      </c>
      <c r="P84" s="6" t="s">
        <v>850</v>
      </c>
      <c r="Q84" s="67" t="s">
        <v>57</v>
      </c>
      <c r="S84" s="6" t="s">
        <v>89</v>
      </c>
      <c r="T84" s="6" t="s">
        <v>68</v>
      </c>
      <c r="U84" s="6" t="s">
        <v>85</v>
      </c>
      <c r="V84" s="6" t="s">
        <v>67</v>
      </c>
      <c r="W84" s="6" t="s">
        <v>851</v>
      </c>
      <c r="AE84" s="6" t="s">
        <v>431</v>
      </c>
      <c r="AH84" s="6" t="s">
        <v>431</v>
      </c>
      <c r="AL84" s="6" t="s">
        <v>89</v>
      </c>
      <c r="AM84" s="6" t="s">
        <v>68</v>
      </c>
      <c r="AQ84" s="6" t="s">
        <v>57</v>
      </c>
      <c r="AU84" s="67" t="s">
        <v>57</v>
      </c>
    </row>
    <row r="85" spans="1:47" ht="15" customHeight="1">
      <c r="B85" s="98" t="s">
        <v>852</v>
      </c>
      <c r="C85" s="6">
        <v>4482004022</v>
      </c>
      <c r="G85" s="9">
        <v>18484</v>
      </c>
      <c r="H85" s="6" t="s">
        <v>55</v>
      </c>
      <c r="I85" s="6" t="s">
        <v>34</v>
      </c>
      <c r="J85" s="6" t="s">
        <v>704</v>
      </c>
      <c r="P85" s="6" t="s">
        <v>434</v>
      </c>
      <c r="Q85" s="67" t="s">
        <v>57</v>
      </c>
      <c r="AE85" s="6" t="s">
        <v>434</v>
      </c>
      <c r="AU85" s="67" t="s">
        <v>57</v>
      </c>
    </row>
    <row r="86" spans="1:47" s="75" customFormat="1" ht="15" customHeight="1">
      <c r="A86" s="6"/>
      <c r="B86" s="6" t="s">
        <v>853</v>
      </c>
      <c r="C86" s="6">
        <v>4123563848</v>
      </c>
      <c r="D86" s="6"/>
      <c r="E86" s="6"/>
      <c r="F86" s="6"/>
      <c r="G86" s="9">
        <v>26556</v>
      </c>
      <c r="H86" s="6" t="s">
        <v>55</v>
      </c>
      <c r="I86" s="6" t="s">
        <v>34</v>
      </c>
      <c r="J86" s="6" t="s">
        <v>704</v>
      </c>
      <c r="K86" s="6"/>
      <c r="L86" s="6"/>
      <c r="M86" s="6"/>
      <c r="N86" s="6"/>
      <c r="O86" s="6"/>
      <c r="P86" s="6" t="s">
        <v>854</v>
      </c>
      <c r="Q86" s="67" t="s">
        <v>57</v>
      </c>
      <c r="R86" s="6"/>
      <c r="S86" s="6" t="s">
        <v>92</v>
      </c>
      <c r="T86" s="6" t="s">
        <v>72</v>
      </c>
      <c r="U86" s="6" t="s">
        <v>79</v>
      </c>
      <c r="V86" s="6"/>
      <c r="W86" s="6"/>
      <c r="X86" s="6"/>
      <c r="Y86" s="6"/>
      <c r="Z86" s="6"/>
      <c r="AA86" s="6"/>
      <c r="AB86" s="6"/>
      <c r="AC86" s="6"/>
      <c r="AD86" s="6"/>
      <c r="AE86" s="6" t="s">
        <v>93</v>
      </c>
      <c r="AF86" s="6"/>
      <c r="AG86" s="6"/>
      <c r="AH86" s="6" t="s">
        <v>93</v>
      </c>
      <c r="AI86" s="6"/>
      <c r="AJ86" s="6"/>
      <c r="AK86" s="6"/>
      <c r="AL86" s="6" t="s">
        <v>92</v>
      </c>
      <c r="AM86" s="6" t="s">
        <v>72</v>
      </c>
      <c r="AN86" s="6"/>
      <c r="AO86" s="6"/>
      <c r="AP86" s="6"/>
      <c r="AQ86" s="6" t="s">
        <v>57</v>
      </c>
      <c r="AR86" s="6"/>
      <c r="AS86" s="6"/>
      <c r="AT86" s="6"/>
      <c r="AU86" s="67" t="s">
        <v>57</v>
      </c>
    </row>
    <row r="87" spans="1:47" ht="15" customHeight="1">
      <c r="B87" s="6" t="s">
        <v>855</v>
      </c>
      <c r="C87" s="6">
        <v>7048159871</v>
      </c>
      <c r="G87" s="9">
        <v>22329</v>
      </c>
      <c r="H87" s="6" t="s">
        <v>55</v>
      </c>
      <c r="I87" s="6" t="s">
        <v>34</v>
      </c>
      <c r="L87" s="6" t="s">
        <v>704</v>
      </c>
      <c r="P87" s="6" t="s">
        <v>856</v>
      </c>
      <c r="Q87" s="67" t="s">
        <v>57</v>
      </c>
      <c r="S87" s="6" t="s">
        <v>92</v>
      </c>
      <c r="T87" s="6" t="s">
        <v>93</v>
      </c>
      <c r="AD87" s="6" t="s">
        <v>857</v>
      </c>
      <c r="AE87" s="6" t="s">
        <v>79</v>
      </c>
      <c r="AH87" s="6" t="s">
        <v>79</v>
      </c>
      <c r="AL87" s="6" t="s">
        <v>92</v>
      </c>
      <c r="AM87" s="6" t="s">
        <v>93</v>
      </c>
      <c r="AQ87" s="6" t="s">
        <v>57</v>
      </c>
      <c r="AU87" s="67" t="s">
        <v>57</v>
      </c>
    </row>
    <row r="88" spans="1:47" ht="15" hidden="1" customHeight="1">
      <c r="A88" s="75" t="s">
        <v>317</v>
      </c>
      <c r="B88" s="75" t="s">
        <v>858</v>
      </c>
      <c r="C88" s="75"/>
      <c r="D88" s="75"/>
      <c r="E88" s="75"/>
      <c r="F88" s="75"/>
      <c r="G88" s="78">
        <v>23034</v>
      </c>
      <c r="H88" s="75" t="s">
        <v>55</v>
      </c>
      <c r="I88" s="75"/>
      <c r="J88" s="75"/>
      <c r="K88" s="75"/>
      <c r="L88" s="75"/>
      <c r="M88" s="75"/>
      <c r="N88" s="75"/>
      <c r="O88" s="75"/>
      <c r="P88" s="75"/>
      <c r="Q88" s="80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80"/>
    </row>
    <row r="89" spans="1:47" s="75" customFormat="1" ht="15" customHeight="1">
      <c r="A89" s="6"/>
      <c r="B89" s="6" t="s">
        <v>859</v>
      </c>
      <c r="C89" s="6">
        <v>4380766446</v>
      </c>
      <c r="D89" s="6"/>
      <c r="E89" s="6"/>
      <c r="F89" s="6"/>
      <c r="G89" s="9">
        <v>14960</v>
      </c>
      <c r="H89" s="6" t="s">
        <v>55</v>
      </c>
      <c r="I89" s="6" t="s">
        <v>34</v>
      </c>
      <c r="J89" s="6"/>
      <c r="K89" s="6" t="s">
        <v>704</v>
      </c>
      <c r="L89" s="6"/>
      <c r="M89" s="6"/>
      <c r="N89" s="6"/>
      <c r="O89" s="6"/>
      <c r="P89" s="6" t="s">
        <v>860</v>
      </c>
      <c r="Q89" s="67" t="s">
        <v>57</v>
      </c>
      <c r="R89" s="6"/>
      <c r="S89" s="6" t="s">
        <v>137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 t="s">
        <v>476</v>
      </c>
      <c r="AF89" s="6"/>
      <c r="AG89" s="6"/>
      <c r="AH89" s="6" t="s">
        <v>476</v>
      </c>
      <c r="AI89" s="6"/>
      <c r="AJ89" s="6"/>
      <c r="AK89" s="6"/>
      <c r="AL89" s="6" t="s">
        <v>137</v>
      </c>
      <c r="AM89" s="6"/>
      <c r="AN89" s="6"/>
      <c r="AO89" s="6"/>
      <c r="AP89" s="6"/>
      <c r="AQ89" s="6" t="s">
        <v>57</v>
      </c>
      <c r="AR89" s="6"/>
      <c r="AS89" s="6"/>
      <c r="AT89" s="6"/>
      <c r="AU89" s="67" t="s">
        <v>57</v>
      </c>
    </row>
    <row r="90" spans="1:47" s="75" customFormat="1" ht="15" customHeight="1">
      <c r="A90" s="6"/>
      <c r="B90" s="6" t="s">
        <v>861</v>
      </c>
      <c r="C90" s="6">
        <v>4583283547</v>
      </c>
      <c r="D90" s="6"/>
      <c r="E90" s="6"/>
      <c r="F90" s="6"/>
      <c r="G90" s="9">
        <v>20226</v>
      </c>
      <c r="H90" s="6" t="s">
        <v>55</v>
      </c>
      <c r="I90" s="6" t="s">
        <v>34</v>
      </c>
      <c r="J90" s="6"/>
      <c r="K90" s="6" t="s">
        <v>704</v>
      </c>
      <c r="L90" s="6"/>
      <c r="M90" s="6"/>
      <c r="N90" s="6"/>
      <c r="O90" s="6"/>
      <c r="P90" s="6" t="s">
        <v>862</v>
      </c>
      <c r="Q90" s="67" t="s">
        <v>57</v>
      </c>
      <c r="R90" s="6"/>
      <c r="S90" s="6" t="s">
        <v>67</v>
      </c>
      <c r="T90" s="6" t="s">
        <v>68</v>
      </c>
      <c r="U90" s="6" t="s">
        <v>89</v>
      </c>
      <c r="V90" s="6"/>
      <c r="W90" s="6"/>
      <c r="X90" s="6"/>
      <c r="Y90" s="6"/>
      <c r="Z90" s="6"/>
      <c r="AA90" s="6"/>
      <c r="AB90" s="6"/>
      <c r="AC90" s="6"/>
      <c r="AD90" s="6"/>
      <c r="AE90" s="6" t="s">
        <v>97</v>
      </c>
      <c r="AF90" s="6"/>
      <c r="AG90" s="6"/>
      <c r="AH90" s="6" t="s">
        <v>97</v>
      </c>
      <c r="AI90" s="6"/>
      <c r="AJ90" s="6"/>
      <c r="AK90" s="6"/>
      <c r="AL90" s="6" t="s">
        <v>67</v>
      </c>
      <c r="AM90" s="6" t="s">
        <v>68</v>
      </c>
      <c r="AN90" s="6"/>
      <c r="AO90" s="6"/>
      <c r="AP90" s="6"/>
      <c r="AQ90" s="6" t="s">
        <v>57</v>
      </c>
      <c r="AR90" s="6"/>
      <c r="AS90" s="6"/>
      <c r="AT90" s="6"/>
      <c r="AU90" s="67" t="s">
        <v>57</v>
      </c>
    </row>
    <row r="91" spans="1:47" ht="15" customHeight="1">
      <c r="B91" s="6" t="s">
        <v>863</v>
      </c>
      <c r="C91" s="6">
        <v>4086894823</v>
      </c>
      <c r="G91" s="9">
        <v>24877</v>
      </c>
      <c r="H91" s="6" t="s">
        <v>55</v>
      </c>
      <c r="I91" s="6" t="s">
        <v>34</v>
      </c>
      <c r="J91" s="6" t="s">
        <v>704</v>
      </c>
      <c r="P91" s="6" t="s">
        <v>864</v>
      </c>
      <c r="Q91" s="67" t="s">
        <v>57</v>
      </c>
      <c r="AE91" s="6" t="s">
        <v>58</v>
      </c>
      <c r="AU91" s="67" t="s">
        <v>57</v>
      </c>
    </row>
    <row r="92" spans="1:47" ht="15" customHeight="1">
      <c r="B92" s="6" t="s">
        <v>865</v>
      </c>
      <c r="C92" s="6">
        <v>4086379015</v>
      </c>
      <c r="G92" s="9">
        <v>32829</v>
      </c>
      <c r="H92" s="6" t="s">
        <v>55</v>
      </c>
      <c r="I92" s="6" t="s">
        <v>34</v>
      </c>
      <c r="L92" s="6" t="s">
        <v>704</v>
      </c>
      <c r="P92" s="6" t="s">
        <v>866</v>
      </c>
      <c r="Q92" s="67" t="s">
        <v>57</v>
      </c>
      <c r="S92" s="6" t="s">
        <v>72</v>
      </c>
      <c r="T92" s="6" t="s">
        <v>89</v>
      </c>
      <c r="AD92" s="6" t="s">
        <v>97</v>
      </c>
      <c r="AE92" s="6" t="s">
        <v>79</v>
      </c>
      <c r="AH92" s="6" t="s">
        <v>79</v>
      </c>
      <c r="AL92" s="6" t="s">
        <v>72</v>
      </c>
      <c r="AM92" s="6" t="s">
        <v>89</v>
      </c>
      <c r="AQ92" s="6" t="s">
        <v>57</v>
      </c>
      <c r="AU92" s="67" t="s">
        <v>57</v>
      </c>
    </row>
    <row r="93" spans="1:47" ht="15" customHeight="1">
      <c r="B93" s="98" t="s">
        <v>867</v>
      </c>
      <c r="C93" s="6">
        <v>4880218340</v>
      </c>
      <c r="G93" s="9">
        <v>18361</v>
      </c>
      <c r="H93" s="6" t="s">
        <v>55</v>
      </c>
      <c r="I93" s="6" t="s">
        <v>34</v>
      </c>
      <c r="K93" s="6" t="s">
        <v>704</v>
      </c>
      <c r="P93" s="6" t="s">
        <v>868</v>
      </c>
      <c r="Q93" s="67" t="s">
        <v>57</v>
      </c>
      <c r="S93" s="6" t="s">
        <v>476</v>
      </c>
      <c r="AE93" s="6" t="s">
        <v>434</v>
      </c>
      <c r="AH93" s="6" t="s">
        <v>434</v>
      </c>
      <c r="AL93" s="6" t="s">
        <v>476</v>
      </c>
      <c r="AQ93" s="6" t="s">
        <v>57</v>
      </c>
      <c r="AU93" s="67" t="s">
        <v>57</v>
      </c>
    </row>
    <row r="94" spans="1:47" ht="15" customHeight="1">
      <c r="B94" s="98" t="s">
        <v>869</v>
      </c>
      <c r="C94" s="6">
        <v>4620178209</v>
      </c>
      <c r="G94" s="9">
        <v>22159</v>
      </c>
      <c r="H94" s="6" t="s">
        <v>55</v>
      </c>
      <c r="I94" s="6" t="s">
        <v>34</v>
      </c>
      <c r="K94" s="6" t="s">
        <v>704</v>
      </c>
      <c r="AU94" s="67"/>
    </row>
    <row r="95" spans="1:47" s="75" customFormat="1" ht="15" customHeight="1">
      <c r="A95" s="6"/>
      <c r="B95" s="6" t="s">
        <v>870</v>
      </c>
      <c r="C95" s="6">
        <v>4648501470</v>
      </c>
      <c r="D95" s="6"/>
      <c r="E95" s="6"/>
      <c r="F95" s="6"/>
      <c r="G95" s="9">
        <v>11866</v>
      </c>
      <c r="H95" s="6" t="s">
        <v>55</v>
      </c>
      <c r="I95" s="6" t="s">
        <v>34</v>
      </c>
      <c r="J95" s="6"/>
      <c r="K95" s="6" t="s">
        <v>704</v>
      </c>
      <c r="L95" s="6"/>
      <c r="M95" s="6"/>
      <c r="N95" s="6"/>
      <c r="O95" s="6"/>
      <c r="P95" s="6" t="s">
        <v>871</v>
      </c>
      <c r="Q95" s="67" t="s">
        <v>57</v>
      </c>
      <c r="R95" s="6"/>
      <c r="S95" s="6" t="s">
        <v>81</v>
      </c>
      <c r="T95" s="6" t="s">
        <v>73</v>
      </c>
      <c r="U95" s="6"/>
      <c r="V95" s="6"/>
      <c r="W95" s="6"/>
      <c r="X95" s="6"/>
      <c r="Y95" s="6"/>
      <c r="Z95" s="6"/>
      <c r="AA95" s="6"/>
      <c r="AB95" s="6"/>
      <c r="AC95" s="6"/>
      <c r="AD95" s="6" t="s">
        <v>92</v>
      </c>
      <c r="AE95" s="6" t="s">
        <v>71</v>
      </c>
      <c r="AF95" s="6"/>
      <c r="AG95" s="6"/>
      <c r="AH95" s="6" t="s">
        <v>71</v>
      </c>
      <c r="AI95" s="6"/>
      <c r="AJ95" s="6"/>
      <c r="AK95" s="6"/>
      <c r="AL95" s="6" t="s">
        <v>81</v>
      </c>
      <c r="AM95" s="6" t="s">
        <v>73</v>
      </c>
      <c r="AN95" s="6"/>
      <c r="AO95" s="6"/>
      <c r="AP95" s="6"/>
      <c r="AQ95" s="6" t="s">
        <v>57</v>
      </c>
      <c r="AR95" s="6"/>
      <c r="AS95" s="6"/>
      <c r="AT95" s="6"/>
      <c r="AU95" s="67" t="s">
        <v>57</v>
      </c>
    </row>
    <row r="96" spans="1:47" ht="15" customHeight="1">
      <c r="B96" s="6" t="s">
        <v>872</v>
      </c>
      <c r="C96" s="6">
        <v>4107007073</v>
      </c>
      <c r="G96" s="9">
        <v>24986</v>
      </c>
      <c r="H96" s="6" t="s">
        <v>55</v>
      </c>
      <c r="I96" s="6" t="s">
        <v>34</v>
      </c>
      <c r="K96" s="6" t="s">
        <v>704</v>
      </c>
      <c r="P96" s="6" t="s">
        <v>873</v>
      </c>
      <c r="Q96" s="67" t="s">
        <v>57</v>
      </c>
      <c r="S96" s="6" t="s">
        <v>67</v>
      </c>
      <c r="T96" s="6" t="s">
        <v>68</v>
      </c>
      <c r="U96" s="6" t="s">
        <v>97</v>
      </c>
      <c r="V96" s="6" t="s">
        <v>85</v>
      </c>
      <c r="W96" s="6" t="s">
        <v>874</v>
      </c>
      <c r="X96" s="6" t="s">
        <v>255</v>
      </c>
      <c r="Y96" s="6" t="s">
        <v>659</v>
      </c>
      <c r="Z96" s="6" t="s">
        <v>717</v>
      </c>
      <c r="AA96" s="6" t="s">
        <v>875</v>
      </c>
      <c r="AD96" s="6" t="s">
        <v>876</v>
      </c>
      <c r="AE96" s="6" t="s">
        <v>124</v>
      </c>
      <c r="AH96" s="6" t="s">
        <v>124</v>
      </c>
      <c r="AL96" s="6" t="s">
        <v>67</v>
      </c>
      <c r="AN96" s="6" t="s">
        <v>255</v>
      </c>
      <c r="AQ96" s="6" t="s">
        <v>57</v>
      </c>
      <c r="AU96" s="67" t="s">
        <v>57</v>
      </c>
    </row>
    <row r="97" spans="1:47" ht="15" customHeight="1">
      <c r="B97" s="6" t="s">
        <v>877</v>
      </c>
      <c r="C97" s="6">
        <v>4583429037</v>
      </c>
      <c r="G97" s="9">
        <v>20351</v>
      </c>
      <c r="H97" s="6" t="s">
        <v>55</v>
      </c>
      <c r="I97" s="6" t="s">
        <v>34</v>
      </c>
      <c r="K97" s="6" t="s">
        <v>704</v>
      </c>
      <c r="P97" s="6" t="s">
        <v>878</v>
      </c>
      <c r="Q97" s="67" t="s">
        <v>57</v>
      </c>
      <c r="S97" s="6" t="s">
        <v>116</v>
      </c>
      <c r="T97" s="6" t="s">
        <v>105</v>
      </c>
      <c r="U97" s="6" t="s">
        <v>77</v>
      </c>
      <c r="AE97" s="6" t="s">
        <v>58</v>
      </c>
      <c r="AH97" s="6" t="s">
        <v>58</v>
      </c>
      <c r="AL97" s="6" t="s">
        <v>116</v>
      </c>
      <c r="AM97" s="6" t="s">
        <v>105</v>
      </c>
      <c r="AQ97" s="6" t="s">
        <v>57</v>
      </c>
      <c r="AU97" s="67" t="s">
        <v>57</v>
      </c>
    </row>
    <row r="98" spans="1:47" ht="15" hidden="1" customHeight="1">
      <c r="A98" s="75" t="s">
        <v>317</v>
      </c>
      <c r="B98" s="75" t="s">
        <v>879</v>
      </c>
      <c r="C98" s="75"/>
      <c r="D98" s="75"/>
      <c r="E98" s="75"/>
      <c r="F98" s="75"/>
      <c r="G98" s="78">
        <v>24683</v>
      </c>
      <c r="H98" s="75" t="s">
        <v>55</v>
      </c>
      <c r="I98" s="75"/>
      <c r="J98" s="75"/>
      <c r="K98" s="75"/>
      <c r="L98" s="75"/>
      <c r="M98" s="75"/>
      <c r="N98" s="75"/>
      <c r="O98" s="75"/>
      <c r="P98" s="75"/>
      <c r="Q98" s="80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80"/>
    </row>
    <row r="99" spans="1:47" ht="15" customHeight="1">
      <c r="B99" s="6" t="s">
        <v>880</v>
      </c>
      <c r="C99" s="6">
        <v>6287109335</v>
      </c>
      <c r="G99" s="9">
        <v>23557</v>
      </c>
      <c r="H99" s="6" t="s">
        <v>55</v>
      </c>
      <c r="I99" s="6" t="s">
        <v>34</v>
      </c>
      <c r="K99" s="6" t="s">
        <v>704</v>
      </c>
      <c r="P99" s="6" t="s">
        <v>881</v>
      </c>
      <c r="Q99" s="67" t="s">
        <v>57</v>
      </c>
      <c r="S99" s="6" t="s">
        <v>71</v>
      </c>
      <c r="T99" s="6" t="s">
        <v>81</v>
      </c>
      <c r="U99" s="6" t="s">
        <v>92</v>
      </c>
      <c r="AD99" s="6" t="s">
        <v>73</v>
      </c>
      <c r="AE99" s="6" t="s">
        <v>76</v>
      </c>
      <c r="AH99" s="6" t="s">
        <v>71</v>
      </c>
      <c r="AI99" s="6" t="s">
        <v>76</v>
      </c>
      <c r="AL99" s="6" t="s">
        <v>81</v>
      </c>
      <c r="AQ99" s="6" t="s">
        <v>57</v>
      </c>
      <c r="AU99" s="67" t="s">
        <v>57</v>
      </c>
    </row>
    <row r="100" spans="1:47" ht="15" customHeight="1">
      <c r="B100" s="6" t="s">
        <v>882</v>
      </c>
      <c r="C100" s="6">
        <v>4086700913</v>
      </c>
      <c r="G100" s="9">
        <v>30560</v>
      </c>
      <c r="H100" s="6" t="s">
        <v>55</v>
      </c>
      <c r="I100" s="6" t="s">
        <v>34</v>
      </c>
      <c r="L100" s="6" t="s">
        <v>704</v>
      </c>
      <c r="P100" s="6" t="s">
        <v>883</v>
      </c>
      <c r="Q100" s="67" t="s">
        <v>57</v>
      </c>
      <c r="AU100" s="67" t="s">
        <v>57</v>
      </c>
    </row>
    <row r="101" spans="1:47" ht="15" hidden="1" customHeight="1">
      <c r="A101" s="75" t="s">
        <v>317</v>
      </c>
      <c r="B101" s="75" t="s">
        <v>884</v>
      </c>
      <c r="C101" s="75"/>
      <c r="D101" s="75"/>
      <c r="E101" s="75"/>
      <c r="F101" s="75"/>
      <c r="G101" s="78">
        <v>16431</v>
      </c>
      <c r="H101" s="75" t="s">
        <v>55</v>
      </c>
      <c r="I101" s="75"/>
      <c r="J101" s="75"/>
      <c r="K101" s="75"/>
      <c r="L101" s="75"/>
      <c r="M101" s="75"/>
      <c r="N101" s="75"/>
      <c r="O101" s="75"/>
      <c r="P101" s="75"/>
      <c r="Q101" s="80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80"/>
    </row>
    <row r="102" spans="1:47" ht="15" hidden="1" customHeight="1">
      <c r="A102" s="75" t="s">
        <v>317</v>
      </c>
      <c r="B102" s="75" t="s">
        <v>885</v>
      </c>
      <c r="C102" s="75"/>
      <c r="D102" s="75"/>
      <c r="E102" s="75"/>
      <c r="F102" s="75"/>
      <c r="G102" s="78">
        <v>24106</v>
      </c>
      <c r="H102" s="75" t="s">
        <v>55</v>
      </c>
      <c r="I102" s="75"/>
      <c r="J102" s="75"/>
      <c r="K102" s="75"/>
      <c r="L102" s="75"/>
      <c r="M102" s="75"/>
      <c r="N102" s="75"/>
      <c r="O102" s="75"/>
      <c r="P102" s="75"/>
      <c r="Q102" s="80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80"/>
    </row>
    <row r="103" spans="1:47" s="75" customFormat="1" ht="15" customHeight="1">
      <c r="A103" s="6"/>
      <c r="B103" s="6" t="s">
        <v>886</v>
      </c>
      <c r="C103" s="6">
        <v>4583818831</v>
      </c>
      <c r="D103" s="6"/>
      <c r="E103" s="6"/>
      <c r="F103" s="6"/>
      <c r="G103" s="9">
        <v>21145</v>
      </c>
      <c r="H103" s="6" t="s">
        <v>55</v>
      </c>
      <c r="I103" s="6" t="s">
        <v>34</v>
      </c>
      <c r="J103" s="6"/>
      <c r="K103" s="6" t="s">
        <v>704</v>
      </c>
      <c r="L103" s="6"/>
      <c r="M103" s="6"/>
      <c r="N103" s="6"/>
      <c r="O103" s="6"/>
      <c r="P103" s="6" t="s">
        <v>887</v>
      </c>
      <c r="Q103" s="67" t="s">
        <v>57</v>
      </c>
      <c r="R103" s="6"/>
      <c r="S103" s="6" t="s">
        <v>160</v>
      </c>
      <c r="T103" s="6" t="s">
        <v>158</v>
      </c>
      <c r="U103" s="6" t="s">
        <v>93</v>
      </c>
      <c r="V103" s="6" t="s">
        <v>140</v>
      </c>
      <c r="W103" s="6" t="s">
        <v>888</v>
      </c>
      <c r="X103" s="6"/>
      <c r="Y103" s="6"/>
      <c r="Z103" s="6"/>
      <c r="AA103" s="6"/>
      <c r="AB103" s="6"/>
      <c r="AC103" s="6"/>
      <c r="AD103" s="6"/>
      <c r="AE103" s="6" t="s">
        <v>231</v>
      </c>
      <c r="AF103" s="6"/>
      <c r="AG103" s="6"/>
      <c r="AH103" s="6" t="s">
        <v>231</v>
      </c>
      <c r="AI103" s="6"/>
      <c r="AJ103" s="6"/>
      <c r="AK103" s="6"/>
      <c r="AL103" s="6" t="s">
        <v>160</v>
      </c>
      <c r="AM103" s="6" t="s">
        <v>158</v>
      </c>
      <c r="AN103" s="6"/>
      <c r="AO103" s="6"/>
      <c r="AP103" s="6"/>
      <c r="AQ103" s="6" t="s">
        <v>57</v>
      </c>
      <c r="AR103" s="6"/>
      <c r="AS103" s="6"/>
      <c r="AT103" s="6"/>
      <c r="AU103" s="67" t="s">
        <v>57</v>
      </c>
    </row>
    <row r="104" spans="1:47" ht="15" customHeight="1">
      <c r="B104" s="6" t="s">
        <v>889</v>
      </c>
      <c r="C104" s="6">
        <v>4563849642</v>
      </c>
      <c r="G104" s="9">
        <v>19477</v>
      </c>
      <c r="H104" s="6" t="s">
        <v>55</v>
      </c>
      <c r="I104" s="6" t="s">
        <v>34</v>
      </c>
      <c r="K104" s="6" t="s">
        <v>704</v>
      </c>
      <c r="P104" s="6" t="s">
        <v>890</v>
      </c>
      <c r="Q104" s="67" t="s">
        <v>57</v>
      </c>
      <c r="S104" s="6" t="s">
        <v>76</v>
      </c>
      <c r="T104" s="6" t="s">
        <v>151</v>
      </c>
      <c r="U104" s="6" t="s">
        <v>431</v>
      </c>
      <c r="V104" s="6" t="s">
        <v>68</v>
      </c>
      <c r="W104" s="6" t="s">
        <v>891</v>
      </c>
      <c r="X104" s="6" t="s">
        <v>576</v>
      </c>
      <c r="Y104" s="6" t="s">
        <v>892</v>
      </c>
      <c r="Z104" s="6" t="s">
        <v>569</v>
      </c>
      <c r="AA104" s="6" t="s">
        <v>832</v>
      </c>
      <c r="AB104" s="6" t="s">
        <v>265</v>
      </c>
      <c r="AD104" s="6" t="s">
        <v>893</v>
      </c>
      <c r="AE104" s="6" t="s">
        <v>149</v>
      </c>
      <c r="AH104" s="6" t="s">
        <v>149</v>
      </c>
      <c r="AL104" s="6" t="s">
        <v>68</v>
      </c>
      <c r="AN104" s="6" t="s">
        <v>576</v>
      </c>
      <c r="AQ104" s="6" t="s">
        <v>57</v>
      </c>
      <c r="AU104" s="67" t="s">
        <v>57</v>
      </c>
    </row>
    <row r="105" spans="1:47" ht="15" customHeight="1">
      <c r="B105" s="6" t="s">
        <v>894</v>
      </c>
      <c r="C105" s="6">
        <v>4862121543</v>
      </c>
      <c r="G105" s="9">
        <v>23482</v>
      </c>
      <c r="H105" s="6" t="s">
        <v>55</v>
      </c>
      <c r="I105" s="6" t="s">
        <v>34</v>
      </c>
      <c r="J105" s="6" t="s">
        <v>704</v>
      </c>
      <c r="P105" s="6" t="s">
        <v>540</v>
      </c>
      <c r="Q105" s="67" t="s">
        <v>895</v>
      </c>
      <c r="S105" s="6" t="s">
        <v>82</v>
      </c>
      <c r="T105" s="6" t="s">
        <v>92</v>
      </c>
      <c r="U105" s="6" t="s">
        <v>93</v>
      </c>
      <c r="AE105" s="6" t="s">
        <v>64</v>
      </c>
      <c r="AH105" s="6" t="s">
        <v>64</v>
      </c>
      <c r="AL105" s="6" t="s">
        <v>82</v>
      </c>
      <c r="AM105" s="6" t="s">
        <v>92</v>
      </c>
      <c r="AQ105" s="6" t="s">
        <v>57</v>
      </c>
      <c r="AU105" s="67" t="s">
        <v>895</v>
      </c>
    </row>
    <row r="106" spans="1:47" s="75" customFormat="1" ht="15" customHeight="1">
      <c r="A106" s="6"/>
      <c r="B106" s="98" t="s">
        <v>896</v>
      </c>
      <c r="C106" s="6">
        <v>4383690599</v>
      </c>
      <c r="D106" s="6"/>
      <c r="E106" s="6"/>
      <c r="F106" s="6"/>
      <c r="G106" s="9">
        <v>14648</v>
      </c>
      <c r="H106" s="6" t="s">
        <v>55</v>
      </c>
      <c r="I106" s="6" t="s">
        <v>34</v>
      </c>
      <c r="J106" s="6"/>
      <c r="K106" s="6" t="s">
        <v>704</v>
      </c>
      <c r="L106" s="6"/>
      <c r="M106" s="6"/>
      <c r="N106" s="6"/>
      <c r="O106" s="6"/>
      <c r="P106" s="6" t="s">
        <v>897</v>
      </c>
      <c r="Q106" s="67" t="s">
        <v>57</v>
      </c>
      <c r="R106" s="6"/>
      <c r="S106" s="6" t="s">
        <v>59</v>
      </c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 t="s">
        <v>60</v>
      </c>
      <c r="AF106" s="6"/>
      <c r="AG106" s="6"/>
      <c r="AH106" s="6" t="s">
        <v>60</v>
      </c>
      <c r="AI106" s="6"/>
      <c r="AJ106" s="6"/>
      <c r="AK106" s="6"/>
      <c r="AL106" s="6" t="s">
        <v>59</v>
      </c>
      <c r="AM106" s="6"/>
      <c r="AN106" s="6"/>
      <c r="AO106" s="6"/>
      <c r="AP106" s="6"/>
      <c r="AQ106" s="6" t="s">
        <v>57</v>
      </c>
      <c r="AR106" s="6"/>
      <c r="AS106" s="6"/>
      <c r="AT106" s="6"/>
      <c r="AU106" s="67" t="s">
        <v>57</v>
      </c>
    </row>
    <row r="107" spans="1:47" ht="15" hidden="1" customHeight="1">
      <c r="A107" s="75" t="s">
        <v>317</v>
      </c>
      <c r="B107" s="75" t="s">
        <v>898</v>
      </c>
      <c r="C107" s="75"/>
      <c r="D107" s="75"/>
      <c r="E107" s="75"/>
      <c r="F107" s="75"/>
      <c r="G107" s="78">
        <v>24245</v>
      </c>
      <c r="H107" s="75" t="s">
        <v>55</v>
      </c>
      <c r="I107" s="75"/>
      <c r="J107" s="75"/>
      <c r="K107" s="75"/>
      <c r="L107" s="75"/>
      <c r="M107" s="75"/>
      <c r="N107" s="75"/>
      <c r="O107" s="75"/>
      <c r="P107" s="75"/>
      <c r="Q107" s="80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80"/>
    </row>
    <row r="108" spans="1:47" ht="15" customHeight="1">
      <c r="B108" s="6" t="s">
        <v>899</v>
      </c>
      <c r="C108" s="6">
        <v>4860704134</v>
      </c>
      <c r="G108" s="9">
        <v>22846</v>
      </c>
      <c r="H108" s="6" t="s">
        <v>55</v>
      </c>
      <c r="I108" s="6" t="s">
        <v>34</v>
      </c>
      <c r="K108" s="6" t="s">
        <v>704</v>
      </c>
      <c r="P108" s="6" t="s">
        <v>900</v>
      </c>
      <c r="Q108" s="67" t="s">
        <v>57</v>
      </c>
      <c r="S108" s="6" t="s">
        <v>82</v>
      </c>
      <c r="T108" s="6" t="s">
        <v>92</v>
      </c>
      <c r="U108" s="6" t="s">
        <v>93</v>
      </c>
      <c r="AD108" s="6" t="s">
        <v>113</v>
      </c>
      <c r="AE108" s="6" t="s">
        <v>79</v>
      </c>
      <c r="AH108" s="6" t="s">
        <v>79</v>
      </c>
      <c r="AL108" s="6" t="s">
        <v>82</v>
      </c>
      <c r="AM108" s="6" t="s">
        <v>92</v>
      </c>
      <c r="AQ108" s="6" t="s">
        <v>57</v>
      </c>
      <c r="AU108" s="67" t="s">
        <v>57</v>
      </c>
    </row>
    <row r="109" spans="1:47" ht="15" customHeight="1">
      <c r="B109" s="98" t="s">
        <v>901</v>
      </c>
      <c r="C109" s="6">
        <v>4387637234</v>
      </c>
      <c r="G109" s="9">
        <v>18059</v>
      </c>
      <c r="H109" s="6" t="s">
        <v>55</v>
      </c>
      <c r="I109" s="6" t="s">
        <v>34</v>
      </c>
      <c r="L109" s="6" t="s">
        <v>704</v>
      </c>
      <c r="AU109" s="67"/>
    </row>
    <row r="110" spans="1:47" ht="15" customHeight="1">
      <c r="B110" s="6" t="s">
        <v>902</v>
      </c>
      <c r="C110" s="6">
        <v>4521181511</v>
      </c>
      <c r="G110" s="9">
        <v>19094</v>
      </c>
      <c r="H110" s="6" t="s">
        <v>55</v>
      </c>
      <c r="I110" s="6" t="s">
        <v>34</v>
      </c>
      <c r="K110" s="6" t="s">
        <v>704</v>
      </c>
      <c r="P110" s="6" t="s">
        <v>903</v>
      </c>
      <c r="Q110" s="67" t="s">
        <v>895</v>
      </c>
      <c r="S110" s="6" t="s">
        <v>151</v>
      </c>
      <c r="T110" s="6" t="s">
        <v>85</v>
      </c>
      <c r="U110" s="6" t="s">
        <v>86</v>
      </c>
      <c r="V110" s="6" t="s">
        <v>89</v>
      </c>
      <c r="W110" s="6" t="s">
        <v>904</v>
      </c>
      <c r="AE110" s="6" t="s">
        <v>149</v>
      </c>
      <c r="AH110" s="6" t="s">
        <v>149</v>
      </c>
      <c r="AL110" s="6" t="s">
        <v>85</v>
      </c>
      <c r="AM110" s="6" t="s">
        <v>86</v>
      </c>
      <c r="AQ110" s="6" t="s">
        <v>57</v>
      </c>
      <c r="AU110" s="67" t="s">
        <v>895</v>
      </c>
    </row>
    <row r="111" spans="1:47" ht="15" customHeight="1">
      <c r="B111" s="6" t="s">
        <v>905</v>
      </c>
      <c r="C111" s="6">
        <v>4482663042</v>
      </c>
      <c r="G111" s="9">
        <v>19036</v>
      </c>
      <c r="H111" s="6" t="s">
        <v>55</v>
      </c>
      <c r="I111" s="6" t="s">
        <v>34</v>
      </c>
      <c r="L111" s="6" t="s">
        <v>704</v>
      </c>
      <c r="P111" s="6" t="s">
        <v>906</v>
      </c>
      <c r="Q111" s="67" t="s">
        <v>57</v>
      </c>
      <c r="S111" s="6" t="s">
        <v>81</v>
      </c>
      <c r="T111" s="6" t="s">
        <v>64</v>
      </c>
      <c r="U111" s="6" t="s">
        <v>58</v>
      </c>
      <c r="AE111" s="6" t="s">
        <v>137</v>
      </c>
      <c r="AH111" s="6" t="s">
        <v>71</v>
      </c>
      <c r="AL111" s="6" t="s">
        <v>81</v>
      </c>
      <c r="AM111" s="6" t="s">
        <v>64</v>
      </c>
      <c r="AQ111" s="6" t="s">
        <v>57</v>
      </c>
      <c r="AU111" s="67" t="s">
        <v>57</v>
      </c>
    </row>
    <row r="112" spans="1:47" ht="15" customHeight="1">
      <c r="B112" s="6" t="s">
        <v>907</v>
      </c>
      <c r="C112" s="6">
        <v>4329084198</v>
      </c>
      <c r="G112" s="9">
        <v>14226</v>
      </c>
      <c r="H112" s="6" t="s">
        <v>55</v>
      </c>
      <c r="I112" s="6" t="s">
        <v>34</v>
      </c>
      <c r="L112" s="6" t="s">
        <v>704</v>
      </c>
      <c r="P112" s="6" t="s">
        <v>908</v>
      </c>
      <c r="Q112" s="67" t="s">
        <v>57</v>
      </c>
      <c r="AU112" s="67" t="s">
        <v>57</v>
      </c>
    </row>
    <row r="113" spans="1:47" ht="15" customHeight="1">
      <c r="B113" s="6" t="s">
        <v>909</v>
      </c>
      <c r="C113" s="6">
        <v>4124318766</v>
      </c>
      <c r="G113" s="9">
        <v>24193</v>
      </c>
      <c r="H113" s="6" t="s">
        <v>55</v>
      </c>
      <c r="I113" s="6" t="s">
        <v>34</v>
      </c>
      <c r="J113" s="6" t="s">
        <v>704</v>
      </c>
      <c r="P113" s="6" t="s">
        <v>910</v>
      </c>
      <c r="Q113" s="67" t="s">
        <v>57</v>
      </c>
      <c r="AU113" s="67" t="s">
        <v>57</v>
      </c>
    </row>
    <row r="114" spans="1:47" ht="15" customHeight="1">
      <c r="B114" s="6" t="s">
        <v>911</v>
      </c>
      <c r="C114" s="6">
        <v>4863113390</v>
      </c>
      <c r="G114" s="9">
        <v>22003</v>
      </c>
      <c r="H114" s="6" t="s">
        <v>55</v>
      </c>
      <c r="I114" s="6" t="s">
        <v>34</v>
      </c>
      <c r="L114" s="6" t="s">
        <v>704</v>
      </c>
      <c r="P114" s="6" t="s">
        <v>912</v>
      </c>
      <c r="Q114" s="67" t="s">
        <v>57</v>
      </c>
      <c r="S114" s="6" t="s">
        <v>137</v>
      </c>
      <c r="T114" s="6" t="s">
        <v>64</v>
      </c>
      <c r="U114" s="6" t="s">
        <v>81</v>
      </c>
      <c r="V114" s="6" t="s">
        <v>116</v>
      </c>
      <c r="AE114" s="6" t="s">
        <v>434</v>
      </c>
      <c r="AH114" s="6" t="s">
        <v>434</v>
      </c>
      <c r="AL114" s="6" t="s">
        <v>137</v>
      </c>
      <c r="AM114" s="6" t="s">
        <v>64</v>
      </c>
      <c r="AQ114" s="6" t="s">
        <v>57</v>
      </c>
      <c r="AU114" s="67" t="s">
        <v>57</v>
      </c>
    </row>
    <row r="115" spans="1:47" ht="15" hidden="1" customHeight="1">
      <c r="A115" s="75" t="s">
        <v>317</v>
      </c>
      <c r="B115" s="75" t="s">
        <v>913</v>
      </c>
      <c r="C115" s="75"/>
      <c r="D115" s="75"/>
      <c r="E115" s="75"/>
      <c r="F115" s="75"/>
      <c r="G115" s="78">
        <v>21539</v>
      </c>
      <c r="H115" s="75" t="s">
        <v>55</v>
      </c>
      <c r="I115" s="75"/>
      <c r="J115" s="75"/>
      <c r="K115" s="75"/>
      <c r="L115" s="75"/>
      <c r="M115" s="75"/>
      <c r="N115" s="75"/>
      <c r="O115" s="75"/>
      <c r="P115" s="75"/>
      <c r="Q115" s="80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s="80"/>
    </row>
    <row r="116" spans="1:47" ht="15" customHeight="1">
      <c r="B116" s="6" t="s">
        <v>914</v>
      </c>
      <c r="C116" s="6">
        <v>4382620104</v>
      </c>
      <c r="G116" s="9">
        <v>16995</v>
      </c>
      <c r="H116" s="6" t="s">
        <v>55</v>
      </c>
      <c r="I116" s="6" t="s">
        <v>34</v>
      </c>
      <c r="J116" s="6" t="s">
        <v>704</v>
      </c>
      <c r="P116" s="6" t="s">
        <v>915</v>
      </c>
      <c r="Q116" s="67" t="s">
        <v>57</v>
      </c>
      <c r="S116" s="82" t="s">
        <v>67</v>
      </c>
      <c r="T116" s="82" t="s">
        <v>173</v>
      </c>
      <c r="U116" s="82" t="s">
        <v>68</v>
      </c>
      <c r="V116" s="82" t="s">
        <v>124</v>
      </c>
      <c r="AE116" s="82" t="s">
        <v>78</v>
      </c>
      <c r="AU116" s="67" t="s">
        <v>57</v>
      </c>
    </row>
    <row r="117" spans="1:47" ht="15" customHeight="1">
      <c r="B117" s="6" t="s">
        <v>916</v>
      </c>
      <c r="C117" s="6">
        <v>4387739606</v>
      </c>
      <c r="G117" s="9">
        <v>17221</v>
      </c>
      <c r="H117" s="6" t="s">
        <v>55</v>
      </c>
      <c r="I117" s="6" t="s">
        <v>34</v>
      </c>
      <c r="L117" s="6" t="s">
        <v>704</v>
      </c>
      <c r="P117" s="6" t="s">
        <v>917</v>
      </c>
      <c r="Q117" s="67" t="s">
        <v>57</v>
      </c>
      <c r="S117" s="6" t="s">
        <v>67</v>
      </c>
      <c r="T117" s="6" t="s">
        <v>173</v>
      </c>
      <c r="U117" s="6" t="s">
        <v>68</v>
      </c>
      <c r="V117" s="6" t="s">
        <v>124</v>
      </c>
      <c r="AE117" s="6" t="s">
        <v>78</v>
      </c>
      <c r="AH117" s="6" t="s">
        <v>78</v>
      </c>
      <c r="AL117" s="6" t="s">
        <v>67</v>
      </c>
      <c r="AM117" s="6" t="s">
        <v>173</v>
      </c>
      <c r="AQ117" s="6" t="s">
        <v>57</v>
      </c>
      <c r="AU117" s="67" t="s">
        <v>57</v>
      </c>
    </row>
    <row r="118" spans="1:47" ht="15" hidden="1" customHeight="1">
      <c r="A118" s="75" t="s">
        <v>317</v>
      </c>
      <c r="B118" s="75" t="s">
        <v>918</v>
      </c>
      <c r="C118" s="75"/>
      <c r="D118" s="75"/>
      <c r="E118" s="75"/>
      <c r="F118" s="75"/>
      <c r="G118" s="78">
        <v>21012</v>
      </c>
      <c r="H118" s="75" t="s">
        <v>55</v>
      </c>
      <c r="I118" s="75"/>
      <c r="J118" s="75"/>
      <c r="K118" s="75"/>
      <c r="L118" s="75"/>
      <c r="M118" s="75"/>
      <c r="N118" s="75"/>
      <c r="O118" s="75"/>
      <c r="P118" s="75"/>
      <c r="Q118" s="80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80"/>
    </row>
    <row r="119" spans="1:47" ht="15" customHeight="1">
      <c r="B119" s="6" t="s">
        <v>919</v>
      </c>
      <c r="C119" s="6">
        <v>4849102654</v>
      </c>
      <c r="G119" s="9">
        <v>21703</v>
      </c>
      <c r="H119" s="6" t="s">
        <v>55</v>
      </c>
      <c r="I119" s="6" t="s">
        <v>34</v>
      </c>
      <c r="K119" s="6" t="s">
        <v>704</v>
      </c>
      <c r="P119" s="6" t="s">
        <v>920</v>
      </c>
      <c r="Q119" s="67" t="s">
        <v>57</v>
      </c>
      <c r="AU119" s="67" t="s">
        <v>57</v>
      </c>
    </row>
    <row r="120" spans="1:47" ht="15" customHeight="1">
      <c r="B120" s="6" t="s">
        <v>921</v>
      </c>
      <c r="C120" s="6">
        <v>4124370369</v>
      </c>
      <c r="G120" s="9">
        <v>26325</v>
      </c>
      <c r="H120" s="6" t="s">
        <v>55</v>
      </c>
      <c r="I120" s="6" t="s">
        <v>34</v>
      </c>
      <c r="J120" s="6" t="s">
        <v>704</v>
      </c>
      <c r="P120" s="6" t="s">
        <v>922</v>
      </c>
      <c r="Q120" s="67" t="s">
        <v>57</v>
      </c>
      <c r="AE120" s="6" t="s">
        <v>81</v>
      </c>
      <c r="AU120" s="67" t="s">
        <v>57</v>
      </c>
    </row>
    <row r="121" spans="1:47" ht="15" customHeight="1">
      <c r="B121" s="6" t="s">
        <v>923</v>
      </c>
      <c r="C121" s="6">
        <v>6289958151</v>
      </c>
      <c r="G121" s="9">
        <v>22750</v>
      </c>
      <c r="H121" s="6" t="s">
        <v>55</v>
      </c>
      <c r="I121" s="6" t="s">
        <v>34</v>
      </c>
      <c r="J121" s="6" t="s">
        <v>704</v>
      </c>
      <c r="P121" s="6" t="s">
        <v>218</v>
      </c>
      <c r="Q121" s="67" t="s">
        <v>57</v>
      </c>
      <c r="AE121" s="6" t="s">
        <v>58</v>
      </c>
      <c r="AU121" s="67" t="s">
        <v>57</v>
      </c>
    </row>
    <row r="122" spans="1:47" ht="15" customHeight="1">
      <c r="B122" s="6" t="s">
        <v>924</v>
      </c>
      <c r="C122" s="6">
        <v>4381318161</v>
      </c>
      <c r="G122" s="9">
        <v>15971</v>
      </c>
      <c r="H122" s="6" t="s">
        <v>55</v>
      </c>
      <c r="I122" s="6" t="s">
        <v>34</v>
      </c>
      <c r="L122" s="6" t="s">
        <v>704</v>
      </c>
      <c r="P122" s="6" t="s">
        <v>925</v>
      </c>
      <c r="Q122" s="67" t="s">
        <v>57</v>
      </c>
      <c r="S122" s="6" t="s">
        <v>715</v>
      </c>
      <c r="T122" s="6" t="s">
        <v>926</v>
      </c>
      <c r="U122" s="6" t="s">
        <v>927</v>
      </c>
      <c r="V122" s="6" t="s">
        <v>928</v>
      </c>
      <c r="W122" s="6" t="s">
        <v>929</v>
      </c>
      <c r="AE122" s="6" t="s">
        <v>930</v>
      </c>
      <c r="AH122" s="6" t="s">
        <v>930</v>
      </c>
      <c r="AL122" s="6" t="s">
        <v>715</v>
      </c>
      <c r="AM122" s="6" t="s">
        <v>926</v>
      </c>
      <c r="AQ122" s="6" t="s">
        <v>57</v>
      </c>
      <c r="AU122" s="67" t="s">
        <v>57</v>
      </c>
    </row>
    <row r="123" spans="1:47" ht="15" customHeight="1">
      <c r="B123" s="6" t="s">
        <v>931</v>
      </c>
      <c r="C123" s="6">
        <v>4583383061</v>
      </c>
      <c r="G123" s="9">
        <v>20474</v>
      </c>
      <c r="H123" s="6" t="s">
        <v>55</v>
      </c>
      <c r="I123" s="6" t="s">
        <v>34</v>
      </c>
      <c r="K123" s="6" t="s">
        <v>704</v>
      </c>
      <c r="P123" s="6" t="s">
        <v>932</v>
      </c>
      <c r="Q123" s="67" t="s">
        <v>57</v>
      </c>
      <c r="S123" s="6" t="s">
        <v>163</v>
      </c>
      <c r="T123" s="6" t="s">
        <v>173</v>
      </c>
      <c r="U123" s="6" t="s">
        <v>173</v>
      </c>
      <c r="V123" s="6" t="s">
        <v>124</v>
      </c>
      <c r="W123" s="6" t="s">
        <v>933</v>
      </c>
      <c r="AE123" s="6" t="s">
        <v>60</v>
      </c>
      <c r="AH123" s="6" t="s">
        <v>60</v>
      </c>
      <c r="AL123" s="6" t="s">
        <v>173</v>
      </c>
      <c r="AM123" s="6" t="s">
        <v>124</v>
      </c>
      <c r="AQ123" s="6" t="s">
        <v>57</v>
      </c>
      <c r="AU123" s="67" t="s">
        <v>57</v>
      </c>
    </row>
    <row r="124" spans="1:47" ht="15" customHeight="1">
      <c r="B124" s="6" t="s">
        <v>934</v>
      </c>
      <c r="C124" s="6">
        <v>4482469521</v>
      </c>
      <c r="G124" s="9">
        <v>18903</v>
      </c>
      <c r="H124" s="6" t="s">
        <v>55</v>
      </c>
      <c r="I124" s="6" t="s">
        <v>34</v>
      </c>
      <c r="K124" s="6" t="s">
        <v>704</v>
      </c>
      <c r="P124" s="86" t="s">
        <v>935</v>
      </c>
      <c r="Q124" s="67" t="s">
        <v>57</v>
      </c>
      <c r="S124" s="6" t="s">
        <v>116</v>
      </c>
      <c r="T124" s="6" t="s">
        <v>137</v>
      </c>
      <c r="U124" s="6" t="s">
        <v>81</v>
      </c>
      <c r="V124" s="6" t="s">
        <v>92</v>
      </c>
      <c r="W124" s="6" t="s">
        <v>82</v>
      </c>
      <c r="AE124" s="6" t="s">
        <v>64</v>
      </c>
      <c r="AH124" s="6" t="s">
        <v>64</v>
      </c>
      <c r="AL124" s="6" t="s">
        <v>116</v>
      </c>
      <c r="AM124" s="6" t="s">
        <v>137</v>
      </c>
      <c r="AQ124" s="6" t="s">
        <v>57</v>
      </c>
      <c r="AU124" s="67" t="s">
        <v>57</v>
      </c>
    </row>
    <row r="125" spans="1:47" ht="15" customHeight="1">
      <c r="B125" s="98" t="s">
        <v>936</v>
      </c>
      <c r="C125" s="6">
        <v>4509406711</v>
      </c>
      <c r="G125" s="9">
        <v>18511</v>
      </c>
      <c r="H125" s="6" t="s">
        <v>55</v>
      </c>
      <c r="I125" s="6" t="s">
        <v>34</v>
      </c>
      <c r="L125" s="6" t="s">
        <v>704</v>
      </c>
      <c r="AU125" s="67"/>
    </row>
    <row r="126" spans="1:47" ht="15" customHeight="1">
      <c r="B126" s="6" t="s">
        <v>937</v>
      </c>
      <c r="C126" s="6">
        <v>4504894297</v>
      </c>
      <c r="G126" s="9">
        <v>18395</v>
      </c>
      <c r="H126" s="6" t="s">
        <v>55</v>
      </c>
      <c r="I126" s="6" t="s">
        <v>34</v>
      </c>
      <c r="K126" s="6" t="s">
        <v>704</v>
      </c>
      <c r="P126" s="6" t="s">
        <v>596</v>
      </c>
      <c r="Q126" s="67" t="s">
        <v>57</v>
      </c>
      <c r="S126" s="6" t="s">
        <v>73</v>
      </c>
      <c r="AE126" s="6" t="s">
        <v>81</v>
      </c>
      <c r="AH126" s="6" t="s">
        <v>72</v>
      </c>
      <c r="AL126" s="6" t="s">
        <v>73</v>
      </c>
      <c r="AQ126" s="6" t="s">
        <v>57</v>
      </c>
      <c r="AU126" s="67" t="s">
        <v>57</v>
      </c>
    </row>
    <row r="127" spans="1:47" ht="15" customHeight="1">
      <c r="B127" s="6" t="s">
        <v>938</v>
      </c>
      <c r="C127" s="6">
        <v>4505659534</v>
      </c>
      <c r="G127" s="9">
        <v>19846</v>
      </c>
      <c r="H127" s="6" t="s">
        <v>55</v>
      </c>
      <c r="I127" s="6" t="s">
        <v>34</v>
      </c>
      <c r="K127" s="6" t="s">
        <v>704</v>
      </c>
      <c r="P127" s="6" t="s">
        <v>939</v>
      </c>
      <c r="Q127" s="67" t="s">
        <v>57</v>
      </c>
      <c r="S127" s="6" t="s">
        <v>73</v>
      </c>
      <c r="T127" s="6" t="s">
        <v>81</v>
      </c>
      <c r="U127" s="6" t="s">
        <v>137</v>
      </c>
      <c r="AE127" s="6" t="s">
        <v>476</v>
      </c>
      <c r="AH127" s="6" t="s">
        <v>476</v>
      </c>
      <c r="AL127" s="6" t="s">
        <v>73</v>
      </c>
      <c r="AM127" s="6" t="s">
        <v>81</v>
      </c>
      <c r="AQ127" s="6" t="s">
        <v>57</v>
      </c>
      <c r="AU127" s="67" t="s">
        <v>57</v>
      </c>
    </row>
    <row r="128" spans="1:47" ht="15" customHeight="1">
      <c r="B128" s="6" t="s">
        <v>940</v>
      </c>
      <c r="C128" s="6">
        <v>6514469078</v>
      </c>
      <c r="G128" s="9">
        <v>22959</v>
      </c>
      <c r="H128" s="6" t="s">
        <v>55</v>
      </c>
      <c r="I128" s="6" t="s">
        <v>34</v>
      </c>
      <c r="L128" s="6" t="s">
        <v>704</v>
      </c>
      <c r="P128" s="6" t="s">
        <v>941</v>
      </c>
      <c r="Q128" s="67" t="s">
        <v>57</v>
      </c>
      <c r="S128" s="6" t="s">
        <v>212</v>
      </c>
      <c r="T128" s="6" t="s">
        <v>173</v>
      </c>
      <c r="U128" s="6" t="s">
        <v>78</v>
      </c>
      <c r="V128" s="6" t="s">
        <v>172</v>
      </c>
      <c r="W128" s="6" t="s">
        <v>942</v>
      </c>
      <c r="AE128" s="6" t="s">
        <v>509</v>
      </c>
      <c r="AH128" s="6" t="s">
        <v>509</v>
      </c>
      <c r="AL128" s="6" t="s">
        <v>212</v>
      </c>
      <c r="AM128" s="6" t="s">
        <v>173</v>
      </c>
      <c r="AQ128" s="6" t="s">
        <v>57</v>
      </c>
      <c r="AU128" s="67" t="s">
        <v>57</v>
      </c>
    </row>
    <row r="129" spans="1:47" ht="15" customHeight="1">
      <c r="B129" s="6" t="s">
        <v>943</v>
      </c>
      <c r="C129" s="6">
        <v>6241142747</v>
      </c>
      <c r="G129" s="9">
        <v>20182</v>
      </c>
      <c r="H129" s="6" t="s">
        <v>55</v>
      </c>
      <c r="I129" s="6" t="s">
        <v>34</v>
      </c>
      <c r="K129" s="6" t="s">
        <v>704</v>
      </c>
      <c r="P129" s="6" t="s">
        <v>944</v>
      </c>
      <c r="Q129" s="67" t="s">
        <v>57</v>
      </c>
      <c r="S129" s="6" t="s">
        <v>173</v>
      </c>
      <c r="T129" s="6" t="s">
        <v>78</v>
      </c>
      <c r="U129" s="6" t="s">
        <v>172</v>
      </c>
      <c r="V129" s="6" t="s">
        <v>68</v>
      </c>
      <c r="W129" s="6" t="s">
        <v>124</v>
      </c>
      <c r="AE129" s="6" t="s">
        <v>67</v>
      </c>
      <c r="AH129" s="6" t="s">
        <v>67</v>
      </c>
      <c r="AL129" s="6" t="s">
        <v>173</v>
      </c>
      <c r="AM129" s="6" t="s">
        <v>78</v>
      </c>
      <c r="AQ129" s="6" t="s">
        <v>57</v>
      </c>
      <c r="AU129" s="67" t="s">
        <v>57</v>
      </c>
    </row>
    <row r="130" spans="1:47" ht="15" customHeight="1">
      <c r="B130" s="6" t="s">
        <v>945</v>
      </c>
      <c r="C130" s="6">
        <v>4382229278</v>
      </c>
      <c r="G130" s="9">
        <v>17390</v>
      </c>
      <c r="H130" s="6" t="s">
        <v>55</v>
      </c>
      <c r="I130" s="6" t="s">
        <v>34</v>
      </c>
      <c r="P130" s="6" t="s">
        <v>946</v>
      </c>
      <c r="Q130" s="67" t="s">
        <v>57</v>
      </c>
      <c r="S130" s="6" t="s">
        <v>68</v>
      </c>
      <c r="T130" s="6" t="s">
        <v>85</v>
      </c>
      <c r="U130" s="6" t="s">
        <v>173</v>
      </c>
      <c r="V130" s="6" t="s">
        <v>67</v>
      </c>
      <c r="W130" s="6" t="s">
        <v>947</v>
      </c>
      <c r="AE130" s="6" t="s">
        <v>97</v>
      </c>
      <c r="AH130" s="6" t="s">
        <v>97</v>
      </c>
      <c r="AL130" s="6" t="s">
        <v>68</v>
      </c>
      <c r="AM130" s="6" t="s">
        <v>85</v>
      </c>
      <c r="AU130" s="67" t="s">
        <v>57</v>
      </c>
    </row>
    <row r="131" spans="1:47" ht="15" customHeight="1">
      <c r="B131" s="6" t="s">
        <v>948</v>
      </c>
      <c r="C131" s="6">
        <v>4124350430</v>
      </c>
      <c r="E131" s="6" t="s">
        <v>673</v>
      </c>
      <c r="G131" s="9">
        <v>25761</v>
      </c>
      <c r="H131" s="6" t="s">
        <v>55</v>
      </c>
      <c r="I131" s="6" t="s">
        <v>34</v>
      </c>
      <c r="K131" s="6" t="s">
        <v>36</v>
      </c>
      <c r="P131" s="6" t="s">
        <v>949</v>
      </c>
      <c r="Q131" s="67" t="s">
        <v>57</v>
      </c>
      <c r="X131" s="6" t="s">
        <v>407</v>
      </c>
      <c r="Y131" s="6" t="s">
        <v>485</v>
      </c>
      <c r="Z131" s="6" t="s">
        <v>950</v>
      </c>
      <c r="AA131" s="6" t="s">
        <v>374</v>
      </c>
      <c r="AD131" s="6" t="s">
        <v>951</v>
      </c>
      <c r="AE131" s="6" t="s">
        <v>952</v>
      </c>
      <c r="AH131" s="6" t="s">
        <v>953</v>
      </c>
      <c r="AN131" s="6" t="s">
        <v>407</v>
      </c>
      <c r="AO131" s="6" t="s">
        <v>485</v>
      </c>
      <c r="AQ131" s="6" t="s">
        <v>57</v>
      </c>
      <c r="AT131" s="6" t="s">
        <v>57</v>
      </c>
      <c r="AU131" s="67" t="s">
        <v>57</v>
      </c>
    </row>
    <row r="132" spans="1:47" ht="15" customHeight="1">
      <c r="B132" s="6" t="s">
        <v>954</v>
      </c>
      <c r="C132" s="6">
        <v>4643702346</v>
      </c>
      <c r="E132" s="6" t="s">
        <v>673</v>
      </c>
      <c r="G132" s="9">
        <v>13034</v>
      </c>
      <c r="H132" s="6" t="s">
        <v>55</v>
      </c>
      <c r="I132" s="6" t="s">
        <v>34</v>
      </c>
      <c r="K132" s="6" t="s">
        <v>36</v>
      </c>
      <c r="P132" s="6" t="s">
        <v>955</v>
      </c>
      <c r="Q132" s="67" t="s">
        <v>57</v>
      </c>
      <c r="X132" s="6" t="s">
        <v>58</v>
      </c>
      <c r="AE132" s="6" t="s">
        <v>105</v>
      </c>
      <c r="AH132" s="6" t="s">
        <v>105</v>
      </c>
      <c r="AN132" s="6" t="s">
        <v>58</v>
      </c>
      <c r="AQ132" s="6" t="s">
        <v>57</v>
      </c>
      <c r="AT132" s="6" t="s">
        <v>57</v>
      </c>
      <c r="AU132" s="67" t="s">
        <v>57</v>
      </c>
    </row>
    <row r="133" spans="1:47" ht="15" customHeight="1">
      <c r="G133" s="9"/>
    </row>
    <row r="134" spans="1:47" ht="15" customHeight="1">
      <c r="G134" s="9"/>
    </row>
    <row r="135" spans="1:47" ht="15" customHeight="1">
      <c r="G135" s="9"/>
    </row>
    <row r="136" spans="1:47" ht="15" customHeight="1">
      <c r="G136" s="9"/>
    </row>
    <row r="137" spans="1:47" ht="15" customHeight="1">
      <c r="G137" s="9"/>
    </row>
    <row r="139" spans="1:47" ht="15" customHeight="1">
      <c r="A139" s="73">
        <f>COUNTA(Table134[Rejected])</f>
        <v>22</v>
      </c>
      <c r="B139" s="73">
        <f>COUNTA(Table134[Specimen number])</f>
        <v>128</v>
      </c>
      <c r="C139" s="73">
        <f>COUNTA(Table134[NHS numbers])</f>
        <v>106</v>
      </c>
      <c r="D139" s="73">
        <f>COUNTA(Table134[Tissue Pathway])</f>
        <v>0</v>
      </c>
      <c r="E139" s="73">
        <f>COUNTA(Table134[Specimen List Notes])</f>
        <v>14</v>
      </c>
      <c r="F139" s="73">
        <f>COUNTA(Table134[Patient Info Notes])</f>
        <v>0</v>
      </c>
      <c r="G139" s="73">
        <f>COUNTA(Table134[DOB])</f>
        <v>128</v>
      </c>
      <c r="H139" s="73">
        <f>COUNTA(Table134[Gender])</f>
        <v>128</v>
      </c>
      <c r="I139" s="73">
        <f>COUNTA(Table134[Dissent Y/N])</f>
        <v>106</v>
      </c>
      <c r="J139" s="73">
        <f>COUNTA(Table134[Consent])</f>
        <v>17</v>
      </c>
      <c r="K139" s="73">
        <f>COUNTA(Table134[Form Incomplete])</f>
        <v>52</v>
      </c>
      <c r="L139" s="73">
        <f>COUNTA(Table134[Form missing])</f>
        <v>36</v>
      </c>
      <c r="M139" s="73">
        <f>COUNTA(Table134[No. small slides from CellNass])</f>
        <v>8</v>
      </c>
      <c r="N139" s="73">
        <f>COUNTA(Table134[No. large slides from CellNass])</f>
        <v>0</v>
      </c>
      <c r="O139" s="73">
        <f>COUNTA(Table134[Total no. of slides recieved from CellNass])</f>
        <v>8</v>
      </c>
      <c r="P139" s="73">
        <f>COUNTA(Table134[Slides Collected])</f>
        <v>97</v>
      </c>
      <c r="Q139" s="73">
        <f>COUNTA(Table134[CoPath (SC)])</f>
        <v>95</v>
      </c>
      <c r="R139" s="73">
        <f>COUNTA(Table134[Slides Missing (if any…)])</f>
        <v>0</v>
      </c>
      <c r="S139" s="73">
        <f>COUNTA(Table134[P1])</f>
        <v>68</v>
      </c>
      <c r="T139" s="73">
        <f>COUNTA(Table134[P2])</f>
        <v>54</v>
      </c>
      <c r="U139" s="73">
        <f>COUNTA(Table134[P3])</f>
        <v>42</v>
      </c>
      <c r="V139" s="73">
        <f>COUNTA(Table134[P4])</f>
        <v>28</v>
      </c>
      <c r="W139" s="73">
        <f>COUNTA(Table134[P5])</f>
        <v>22</v>
      </c>
      <c r="X139" s="73">
        <f>COUNTA(Table134[M1])</f>
        <v>16</v>
      </c>
      <c r="Y139" s="73">
        <f>COUNTA(Table134[M2])</f>
        <v>11</v>
      </c>
      <c r="Z139" s="73">
        <f>COUNTA(Table134[M3])</f>
        <v>9</v>
      </c>
      <c r="AA139" s="73">
        <f>COUNTA(Table134[M4])</f>
        <v>7</v>
      </c>
      <c r="AB139" s="73">
        <f>COUNTA(Table134[M5])</f>
        <v>3</v>
      </c>
      <c r="AC139" s="73">
        <f>COUNTA(Table134[N])</f>
        <v>0</v>
      </c>
      <c r="AD139" s="73">
        <f>COUNTA(Table134[S])</f>
        <v>25</v>
      </c>
      <c r="AE139" s="73">
        <f>COUNTA(Table134[X])</f>
        <v>89</v>
      </c>
      <c r="AF139" s="73">
        <f>COUNTA(Table134[CoPath (SS)])</f>
        <v>0</v>
      </c>
      <c r="AG139" s="73">
        <f>COUNTA(Table134[Selected Slides Notes])</f>
        <v>0</v>
      </c>
      <c r="AH139" s="73">
        <f>COUNTA(Table134[X Blocks in Archive])</f>
        <v>75</v>
      </c>
      <c r="AI139" s="73">
        <f>COUNTA(Table134[X Blocks missing from Archive])</f>
        <v>3</v>
      </c>
      <c r="AJ139" s="73">
        <f>COUNTA(Table134[Blocks recieved from CellNass])</f>
        <v>6</v>
      </c>
      <c r="AK139" s="73">
        <f>COUNTA(Table134[Block Collection Notes])</f>
        <v>0</v>
      </c>
      <c r="AL139" s="73">
        <f>COUNTA(Table134[BP1])</f>
        <v>66</v>
      </c>
      <c r="AM139" s="73">
        <f>COUNTA(Table134[BP2])</f>
        <v>43</v>
      </c>
      <c r="AN139" s="73">
        <f>COUNTA(Table134[BM1])</f>
        <v>15</v>
      </c>
      <c r="AO139" s="73">
        <f>COUNTA(Table134[BM2])</f>
        <v>4</v>
      </c>
      <c r="AP139" s="73">
        <f>COUNTA(Table134[BN1])</f>
        <v>0</v>
      </c>
      <c r="AQ139" s="73">
        <f>COUNTA(Table134[CoPath (BC)])</f>
        <v>74</v>
      </c>
      <c r="AR139" s="73">
        <f>COUNTA(Table134[CoPath (Tristar)])</f>
        <v>0</v>
      </c>
      <c r="AS139" s="73">
        <f>COUNTA(Table134[Block Shipment Notes])</f>
        <v>0</v>
      </c>
      <c r="AT139" s="73">
        <f>COUNTA(Table134[Scanned?])</f>
        <v>5</v>
      </c>
      <c r="AU139" s="73">
        <f>COUNTA(Table134[CoPath (post scan)])</f>
        <v>95</v>
      </c>
    </row>
  </sheetData>
  <mergeCells count="1">
    <mergeCell ref="AH1:AS1"/>
  </mergeCells>
  <conditionalFormatting sqref="A3:A4">
    <cfRule type="duplicateValues" dxfId="127" priority="1"/>
  </conditionalFormatting>
  <pageMargins left="0.7" right="0.7" top="0.75" bottom="0.75" header="0.3" footer="0.3"/>
  <pageSetup paperSize="9" orientation="portrait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5F9A2-2CAE-4DD9-ADC2-6988EAC38FB3}">
  <sheetPr>
    <pageSetUpPr fitToPage="1"/>
  </sheetPr>
  <dimension ref="A1:AU94"/>
  <sheetViews>
    <sheetView zoomScale="120" zoomScaleNormal="120" workbookViewId="0">
      <pane xSplit="2" ySplit="4" topLeftCell="X5" activePane="bottomRight" state="frozen"/>
      <selection pane="bottomRight" activeCell="AM109" sqref="AM109"/>
      <selection pane="bottomLeft"/>
      <selection pane="topRight"/>
    </sheetView>
  </sheetViews>
  <sheetFormatPr defaultColWidth="9" defaultRowHeight="15" customHeight="1"/>
  <cols>
    <col min="1" max="1" width="9" style="6" customWidth="1"/>
    <col min="2" max="2" width="11" style="6" customWidth="1"/>
    <col min="3" max="3" width="11.5" style="6" hidden="1" customWidth="1"/>
    <col min="4" max="4" width="13" style="6" hidden="1" customWidth="1"/>
    <col min="5" max="5" width="9" style="6" hidden="1" customWidth="1"/>
    <col min="6" max="6" width="16.25" style="6" customWidth="1"/>
    <col min="7" max="7" width="17.25" style="6" bestFit="1" customWidth="1"/>
    <col min="8" max="8" width="9" style="6"/>
    <col min="9" max="9" width="13.625" style="6" bestFit="1" customWidth="1"/>
    <col min="10" max="10" width="9" style="6"/>
    <col min="11" max="12" width="13" style="6" bestFit="1" customWidth="1"/>
    <col min="13" max="15" width="19.875" style="6" customWidth="1"/>
    <col min="16" max="16" width="75.375" style="6" customWidth="1"/>
    <col min="17" max="17" width="13.75" style="67" customWidth="1"/>
    <col min="18" max="18" width="24.375" style="6" customWidth="1"/>
    <col min="19" max="22" width="7.125" style="6" customWidth="1"/>
    <col min="23" max="23" width="52.75" style="6" bestFit="1" customWidth="1"/>
    <col min="24" max="27" width="7.125" style="6" customWidth="1"/>
    <col min="28" max="28" width="16.625" style="6" bestFit="1" customWidth="1"/>
    <col min="29" max="31" width="7.125" style="6" customWidth="1"/>
    <col min="32" max="32" width="13.625" style="6" customWidth="1"/>
    <col min="33" max="33" width="20.375" style="6" customWidth="1"/>
    <col min="34" max="34" width="12.125" style="6" customWidth="1"/>
    <col min="35" max="35" width="12" style="6" hidden="1" customWidth="1"/>
    <col min="36" max="36" width="11.125" style="6" hidden="1" customWidth="1"/>
    <col min="37" max="37" width="22.75" style="6" hidden="1" customWidth="1"/>
    <col min="38" max="42" width="9.625" style="6" customWidth="1"/>
    <col min="43" max="43" width="13.875" style="6" bestFit="1" customWidth="1"/>
    <col min="44" max="44" width="17.25" style="6" bestFit="1" customWidth="1"/>
    <col min="45" max="45" width="9" style="6"/>
    <col min="46" max="46" width="11.5" style="6" bestFit="1" customWidth="1"/>
    <col min="47" max="47" width="19.875" style="6" bestFit="1" customWidth="1"/>
    <col min="48" max="16384" width="9" style="6"/>
  </cols>
  <sheetData>
    <row r="1" spans="1:47" s="11" customFormat="1" ht="21">
      <c r="A1" s="10"/>
      <c r="B1" s="11" t="s">
        <v>0</v>
      </c>
      <c r="Q1" s="79"/>
      <c r="AH1" s="110" t="s">
        <v>1</v>
      </c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</row>
    <row r="2" spans="1:47" ht="12.75"/>
    <row r="3" spans="1:47" s="11" customFormat="1" ht="21.75" customHeight="1">
      <c r="A3" s="35"/>
      <c r="B3" s="36"/>
      <c r="C3" s="36"/>
      <c r="D3" s="36"/>
      <c r="E3" s="69"/>
      <c r="F3" s="45"/>
      <c r="G3" s="45" t="s">
        <v>2</v>
      </c>
      <c r="H3" s="46"/>
      <c r="I3" s="47"/>
      <c r="J3" s="48"/>
      <c r="K3" s="48" t="s">
        <v>3</v>
      </c>
      <c r="L3" s="49"/>
      <c r="M3" s="28"/>
      <c r="N3" s="28"/>
      <c r="O3" s="32"/>
      <c r="P3" s="37"/>
      <c r="Q3" s="12"/>
      <c r="R3" s="12"/>
      <c r="S3" s="37" t="s">
        <v>4</v>
      </c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12"/>
      <c r="AG3" s="12"/>
      <c r="AH3" s="13"/>
      <c r="AI3" s="14"/>
      <c r="AJ3" s="34"/>
      <c r="AK3" s="14"/>
      <c r="AL3" s="14" t="s">
        <v>5</v>
      </c>
      <c r="AM3" s="14"/>
      <c r="AN3" s="14"/>
      <c r="AO3" s="14"/>
      <c r="AP3" s="14"/>
      <c r="AQ3" s="14"/>
      <c r="AR3" s="14"/>
      <c r="AS3" s="41"/>
      <c r="AT3" s="39"/>
      <c r="AU3" s="30"/>
    </row>
    <row r="4" spans="1:47" s="11" customFormat="1" ht="31.5" customHeight="1">
      <c r="A4" s="43" t="s">
        <v>6</v>
      </c>
      <c r="B4" s="44" t="s">
        <v>7</v>
      </c>
      <c r="C4" s="44" t="s">
        <v>8</v>
      </c>
      <c r="D4" s="44" t="s">
        <v>9</v>
      </c>
      <c r="E4" s="70" t="s">
        <v>10</v>
      </c>
      <c r="F4" s="15" t="s">
        <v>11</v>
      </c>
      <c r="G4" s="15" t="s">
        <v>12</v>
      </c>
      <c r="H4" s="16" t="s">
        <v>13</v>
      </c>
      <c r="I4" s="18" t="s">
        <v>14</v>
      </c>
      <c r="J4" s="17" t="s">
        <v>15</v>
      </c>
      <c r="K4" s="18" t="s">
        <v>16</v>
      </c>
      <c r="L4" s="19" t="s">
        <v>17</v>
      </c>
      <c r="M4" s="29" t="s">
        <v>18</v>
      </c>
      <c r="N4" s="29" t="s">
        <v>19</v>
      </c>
      <c r="O4" s="33" t="s">
        <v>20</v>
      </c>
      <c r="P4" s="38" t="s">
        <v>21</v>
      </c>
      <c r="Q4" s="20" t="s">
        <v>22</v>
      </c>
      <c r="R4" s="20" t="s">
        <v>23</v>
      </c>
      <c r="S4" s="20" t="s">
        <v>24</v>
      </c>
      <c r="T4" s="20" t="s">
        <v>25</v>
      </c>
      <c r="U4" s="20" t="s">
        <v>26</v>
      </c>
      <c r="V4" s="20" t="s">
        <v>27</v>
      </c>
      <c r="W4" s="20" t="s">
        <v>28</v>
      </c>
      <c r="X4" s="20" t="s">
        <v>29</v>
      </c>
      <c r="Y4" s="20" t="s">
        <v>30</v>
      </c>
      <c r="Z4" s="20" t="s">
        <v>31</v>
      </c>
      <c r="AA4" s="20" t="s">
        <v>32</v>
      </c>
      <c r="AB4" s="20" t="s">
        <v>33</v>
      </c>
      <c r="AC4" s="20" t="s">
        <v>34</v>
      </c>
      <c r="AD4" s="20" t="s">
        <v>35</v>
      </c>
      <c r="AE4" s="20" t="s">
        <v>36</v>
      </c>
      <c r="AF4" s="20" t="s">
        <v>37</v>
      </c>
      <c r="AG4" s="20" t="s">
        <v>38</v>
      </c>
      <c r="AH4" s="21" t="s">
        <v>39</v>
      </c>
      <c r="AI4" s="22" t="s">
        <v>40</v>
      </c>
      <c r="AJ4" s="22" t="s">
        <v>41</v>
      </c>
      <c r="AK4" s="22" t="s">
        <v>42</v>
      </c>
      <c r="AL4" s="23" t="s">
        <v>43</v>
      </c>
      <c r="AM4" s="23" t="s">
        <v>44</v>
      </c>
      <c r="AN4" s="23" t="s">
        <v>45</v>
      </c>
      <c r="AO4" s="23" t="s">
        <v>46</v>
      </c>
      <c r="AP4" s="23" t="s">
        <v>47</v>
      </c>
      <c r="AQ4" s="23" t="s">
        <v>48</v>
      </c>
      <c r="AR4" s="23" t="s">
        <v>49</v>
      </c>
      <c r="AS4" s="42" t="s">
        <v>50</v>
      </c>
      <c r="AT4" s="40" t="s">
        <v>51</v>
      </c>
      <c r="AU4" s="31" t="s">
        <v>52</v>
      </c>
    </row>
    <row r="5" spans="1:47" ht="15" customHeight="1">
      <c r="B5" s="7" t="s">
        <v>956</v>
      </c>
      <c r="C5" s="85">
        <v>4382485428</v>
      </c>
      <c r="D5" s="7"/>
      <c r="E5" s="7"/>
      <c r="F5" s="7"/>
      <c r="G5" s="8">
        <v>17035</v>
      </c>
      <c r="H5" s="7" t="s">
        <v>55</v>
      </c>
      <c r="I5" s="6" t="s">
        <v>34</v>
      </c>
      <c r="K5" s="6" t="s">
        <v>704</v>
      </c>
      <c r="P5" s="6" t="s">
        <v>957</v>
      </c>
      <c r="Q5" s="67" t="s">
        <v>57</v>
      </c>
      <c r="S5" s="6" t="s">
        <v>506</v>
      </c>
      <c r="T5" s="6" t="s">
        <v>212</v>
      </c>
      <c r="U5" s="6" t="s">
        <v>189</v>
      </c>
      <c r="V5" s="6" t="s">
        <v>158</v>
      </c>
      <c r="AD5" s="6" t="s">
        <v>153</v>
      </c>
      <c r="AE5" s="6" t="s">
        <v>283</v>
      </c>
      <c r="AH5" s="6" t="s">
        <v>283</v>
      </c>
      <c r="AL5" s="6" t="s">
        <v>212</v>
      </c>
      <c r="AM5" s="6" t="s">
        <v>189</v>
      </c>
      <c r="AQ5" s="6" t="s">
        <v>57</v>
      </c>
      <c r="AU5" s="67" t="s">
        <v>57</v>
      </c>
    </row>
    <row r="6" spans="1:47" ht="15" customHeight="1">
      <c r="B6" s="6" t="s">
        <v>958</v>
      </c>
      <c r="C6" s="62">
        <v>6189564062</v>
      </c>
      <c r="G6" s="9">
        <v>24901</v>
      </c>
      <c r="H6" s="6" t="s">
        <v>55</v>
      </c>
      <c r="I6" s="6" t="s">
        <v>34</v>
      </c>
      <c r="J6" s="6" t="s">
        <v>704</v>
      </c>
      <c r="P6" s="6" t="s">
        <v>959</v>
      </c>
      <c r="Q6" s="67" t="s">
        <v>57</v>
      </c>
      <c r="S6" s="6" t="s">
        <v>72</v>
      </c>
      <c r="T6" s="6" t="s">
        <v>71</v>
      </c>
      <c r="U6" s="6" t="s">
        <v>82</v>
      </c>
      <c r="V6" s="6" t="s">
        <v>92</v>
      </c>
      <c r="AE6" s="6" t="s">
        <v>79</v>
      </c>
      <c r="AH6" s="6" t="s">
        <v>79</v>
      </c>
      <c r="AL6" s="6" t="s">
        <v>960</v>
      </c>
      <c r="AM6" s="6" t="s">
        <v>92</v>
      </c>
      <c r="AQ6" s="6" t="s">
        <v>57</v>
      </c>
      <c r="AU6" s="67" t="s">
        <v>57</v>
      </c>
    </row>
    <row r="7" spans="1:47" ht="15" customHeight="1">
      <c r="B7" s="6" t="s">
        <v>961</v>
      </c>
      <c r="C7" s="62">
        <v>4867384992</v>
      </c>
      <c r="G7" s="9">
        <v>16137</v>
      </c>
      <c r="H7" s="6" t="s">
        <v>55</v>
      </c>
      <c r="I7" s="6" t="s">
        <v>34</v>
      </c>
      <c r="K7" s="6" t="s">
        <v>704</v>
      </c>
      <c r="P7" s="6" t="s">
        <v>962</v>
      </c>
      <c r="Q7" s="67" t="s">
        <v>57</v>
      </c>
      <c r="S7" s="6" t="s">
        <v>67</v>
      </c>
      <c r="T7" s="6" t="s">
        <v>68</v>
      </c>
      <c r="U7" s="6" t="s">
        <v>417</v>
      </c>
      <c r="AD7" s="6" t="s">
        <v>78</v>
      </c>
      <c r="AE7" s="6" t="s">
        <v>108</v>
      </c>
      <c r="AH7" s="6" t="s">
        <v>108</v>
      </c>
      <c r="AL7" s="6" t="s">
        <v>67</v>
      </c>
      <c r="AM7" s="6" t="s">
        <v>68</v>
      </c>
      <c r="AQ7" s="6" t="s">
        <v>57</v>
      </c>
      <c r="AU7" s="67" t="s">
        <v>57</v>
      </c>
    </row>
    <row r="8" spans="1:47" ht="15" customHeight="1">
      <c r="B8" s="6" t="s">
        <v>963</v>
      </c>
      <c r="C8" s="62">
        <v>4581422590</v>
      </c>
      <c r="G8" s="9">
        <v>19650</v>
      </c>
      <c r="H8" s="6" t="s">
        <v>55</v>
      </c>
      <c r="I8" s="6" t="s">
        <v>34</v>
      </c>
      <c r="L8" s="6" t="s">
        <v>704</v>
      </c>
      <c r="P8" s="6" t="s">
        <v>964</v>
      </c>
      <c r="Q8" s="67" t="s">
        <v>57</v>
      </c>
      <c r="AE8" s="6" t="s">
        <v>189</v>
      </c>
      <c r="AU8" s="67" t="s">
        <v>57</v>
      </c>
    </row>
    <row r="9" spans="1:47" ht="15" customHeight="1">
      <c r="B9" s="6" t="s">
        <v>965</v>
      </c>
      <c r="C9" s="62">
        <v>4508114415</v>
      </c>
      <c r="G9" s="9">
        <v>17369</v>
      </c>
      <c r="H9" s="6" t="s">
        <v>55</v>
      </c>
      <c r="I9" s="6" t="s">
        <v>34</v>
      </c>
      <c r="K9" s="6" t="s">
        <v>704</v>
      </c>
      <c r="P9" s="6" t="s">
        <v>966</v>
      </c>
      <c r="Q9" s="67" t="s">
        <v>57</v>
      </c>
      <c r="S9" s="6" t="s">
        <v>950</v>
      </c>
      <c r="T9" s="6" t="s">
        <v>265</v>
      </c>
      <c r="AE9" s="6" t="s">
        <v>967</v>
      </c>
      <c r="AH9" s="6" t="s">
        <v>967</v>
      </c>
      <c r="AL9" s="6" t="s">
        <v>950</v>
      </c>
      <c r="AM9" s="6" t="s">
        <v>265</v>
      </c>
      <c r="AQ9" s="6" t="s">
        <v>57</v>
      </c>
      <c r="AU9" s="67" t="s">
        <v>57</v>
      </c>
    </row>
    <row r="10" spans="1:47" ht="15" customHeight="1">
      <c r="B10" s="6" t="s">
        <v>968</v>
      </c>
      <c r="C10" s="62">
        <v>6003680377</v>
      </c>
      <c r="G10" s="9">
        <v>35086</v>
      </c>
      <c r="H10" s="6" t="s">
        <v>55</v>
      </c>
      <c r="I10" s="6" t="s">
        <v>34</v>
      </c>
      <c r="J10" s="6" t="s">
        <v>704</v>
      </c>
      <c r="P10" s="6" t="s">
        <v>969</v>
      </c>
      <c r="Q10" s="67" t="s">
        <v>57</v>
      </c>
      <c r="S10" s="6" t="s">
        <v>417</v>
      </c>
      <c r="T10" s="6" t="s">
        <v>85</v>
      </c>
      <c r="U10" s="6" t="s">
        <v>89</v>
      </c>
      <c r="V10" s="6" t="s">
        <v>82</v>
      </c>
      <c r="W10" s="6" t="s">
        <v>97</v>
      </c>
      <c r="AE10" s="6" t="s">
        <v>431</v>
      </c>
      <c r="AH10" s="6" t="s">
        <v>431</v>
      </c>
      <c r="AL10" s="6" t="s">
        <v>85</v>
      </c>
      <c r="AM10" s="6" t="s">
        <v>89</v>
      </c>
      <c r="AQ10" s="6" t="s">
        <v>57</v>
      </c>
      <c r="AU10" s="67" t="s">
        <v>57</v>
      </c>
    </row>
    <row r="11" spans="1:47" ht="15" customHeight="1">
      <c r="B11" s="6" t="s">
        <v>970</v>
      </c>
      <c r="C11" s="62">
        <v>4520914787</v>
      </c>
      <c r="G11" s="9">
        <v>21079</v>
      </c>
      <c r="H11" s="6" t="s">
        <v>55</v>
      </c>
      <c r="I11" s="6" t="s">
        <v>34</v>
      </c>
      <c r="K11" s="6" t="s">
        <v>704</v>
      </c>
      <c r="P11" s="6" t="s">
        <v>971</v>
      </c>
      <c r="Q11" s="67" t="s">
        <v>57</v>
      </c>
      <c r="AU11" s="67" t="s">
        <v>57</v>
      </c>
    </row>
    <row r="12" spans="1:47" ht="15" customHeight="1">
      <c r="B12" s="6" t="s">
        <v>972</v>
      </c>
      <c r="C12" s="62">
        <v>4125820384</v>
      </c>
      <c r="G12" s="9">
        <v>23755</v>
      </c>
      <c r="H12" s="6" t="s">
        <v>55</v>
      </c>
      <c r="I12" s="6" t="s">
        <v>34</v>
      </c>
      <c r="K12" s="6" t="s">
        <v>704</v>
      </c>
      <c r="P12" s="6" t="s">
        <v>239</v>
      </c>
      <c r="Q12" s="67" t="s">
        <v>57</v>
      </c>
      <c r="S12" s="6" t="s">
        <v>73</v>
      </c>
      <c r="T12" s="6" t="s">
        <v>137</v>
      </c>
      <c r="U12" s="6" t="s">
        <v>116</v>
      </c>
      <c r="V12" s="6" t="s">
        <v>64</v>
      </c>
      <c r="W12" s="6" t="s">
        <v>92</v>
      </c>
      <c r="AE12" s="6" t="s">
        <v>81</v>
      </c>
      <c r="AH12" s="6" t="s">
        <v>81</v>
      </c>
      <c r="AL12" s="6" t="s">
        <v>73</v>
      </c>
      <c r="AM12" s="6" t="s">
        <v>137</v>
      </c>
      <c r="AQ12" s="6" t="s">
        <v>57</v>
      </c>
      <c r="AU12" s="67" t="s">
        <v>57</v>
      </c>
    </row>
    <row r="13" spans="1:47" ht="15" customHeight="1">
      <c r="B13" s="6" t="s">
        <v>973</v>
      </c>
      <c r="C13" s="62">
        <v>4140522100</v>
      </c>
      <c r="G13" s="9">
        <v>26604</v>
      </c>
      <c r="H13" s="6" t="s">
        <v>55</v>
      </c>
      <c r="I13" s="6" t="s">
        <v>34</v>
      </c>
      <c r="J13" s="6" t="s">
        <v>704</v>
      </c>
      <c r="P13" s="6" t="s">
        <v>974</v>
      </c>
      <c r="Q13" s="67" t="s">
        <v>57</v>
      </c>
      <c r="AE13" s="6" t="s">
        <v>157</v>
      </c>
      <c r="AU13" s="67" t="s">
        <v>57</v>
      </c>
    </row>
    <row r="14" spans="1:47" ht="15" customHeight="1">
      <c r="B14" s="6" t="s">
        <v>975</v>
      </c>
      <c r="C14" s="62">
        <v>4125147345</v>
      </c>
      <c r="G14" s="9">
        <v>26364</v>
      </c>
      <c r="H14" s="6" t="s">
        <v>55</v>
      </c>
      <c r="I14" s="6" t="s">
        <v>34</v>
      </c>
      <c r="J14" s="6" t="s">
        <v>704</v>
      </c>
      <c r="P14" s="6" t="s">
        <v>976</v>
      </c>
      <c r="Q14" s="67" t="s">
        <v>57</v>
      </c>
      <c r="AE14" s="6" t="s">
        <v>431</v>
      </c>
      <c r="AU14" s="67" t="s">
        <v>57</v>
      </c>
    </row>
    <row r="15" spans="1:47" ht="15" customHeight="1">
      <c r="B15" s="6" t="s">
        <v>977</v>
      </c>
      <c r="C15" s="62">
        <v>6387453607</v>
      </c>
      <c r="G15" s="9">
        <v>23660</v>
      </c>
      <c r="H15" s="6" t="s">
        <v>55</v>
      </c>
      <c r="I15" s="6" t="s">
        <v>34</v>
      </c>
      <c r="L15" s="6" t="s">
        <v>704</v>
      </c>
      <c r="P15" s="6" t="s">
        <v>978</v>
      </c>
      <c r="Q15" s="67" t="s">
        <v>57</v>
      </c>
      <c r="S15" s="6" t="s">
        <v>163</v>
      </c>
      <c r="T15" s="6" t="s">
        <v>60</v>
      </c>
      <c r="U15" s="6" t="s">
        <v>96</v>
      </c>
      <c r="V15" s="6" t="s">
        <v>156</v>
      </c>
      <c r="W15" s="6" t="s">
        <v>979</v>
      </c>
      <c r="AE15" s="6" t="s">
        <v>175</v>
      </c>
      <c r="AH15" s="6" t="s">
        <v>175</v>
      </c>
      <c r="AL15" s="6" t="s">
        <v>163</v>
      </c>
      <c r="AM15" s="6" t="s">
        <v>60</v>
      </c>
      <c r="AQ15" s="6" t="s">
        <v>57</v>
      </c>
      <c r="AU15" s="67" t="s">
        <v>57</v>
      </c>
    </row>
    <row r="16" spans="1:47" ht="15" customHeight="1">
      <c r="B16" s="6" t="s">
        <v>980</v>
      </c>
      <c r="C16" s="62">
        <v>4589307391</v>
      </c>
      <c r="G16" s="9">
        <v>18755</v>
      </c>
      <c r="H16" s="6" t="s">
        <v>55</v>
      </c>
      <c r="I16" s="6" t="s">
        <v>34</v>
      </c>
      <c r="K16" s="6" t="s">
        <v>704</v>
      </c>
      <c r="P16" s="6" t="s">
        <v>981</v>
      </c>
      <c r="Q16" s="67" t="s">
        <v>57</v>
      </c>
      <c r="AU16" s="67" t="s">
        <v>57</v>
      </c>
    </row>
    <row r="17" spans="2:47" ht="15" customHeight="1">
      <c r="B17" s="6" t="s">
        <v>982</v>
      </c>
      <c r="C17" s="62">
        <v>4362643192</v>
      </c>
      <c r="G17" s="9">
        <v>14432</v>
      </c>
      <c r="H17" s="6" t="s">
        <v>55</v>
      </c>
      <c r="I17" s="6" t="s">
        <v>34</v>
      </c>
      <c r="J17" s="6" t="s">
        <v>704</v>
      </c>
      <c r="P17" s="6" t="s">
        <v>983</v>
      </c>
      <c r="Q17" s="67" t="s">
        <v>57</v>
      </c>
      <c r="AU17" s="67" t="s">
        <v>57</v>
      </c>
    </row>
    <row r="18" spans="2:47" ht="15" customHeight="1">
      <c r="B18" s="6" t="s">
        <v>984</v>
      </c>
      <c r="C18" s="62">
        <v>4027862538</v>
      </c>
      <c r="G18" s="9">
        <v>29792</v>
      </c>
      <c r="H18" s="6" t="s">
        <v>55</v>
      </c>
      <c r="I18" s="6" t="s">
        <v>34</v>
      </c>
      <c r="J18" s="6" t="s">
        <v>704</v>
      </c>
      <c r="P18" s="6" t="s">
        <v>985</v>
      </c>
      <c r="Q18" s="67" t="s">
        <v>57</v>
      </c>
      <c r="S18" s="6" t="s">
        <v>113</v>
      </c>
      <c r="T18" s="6" t="s">
        <v>82</v>
      </c>
      <c r="U18" s="6" t="s">
        <v>93</v>
      </c>
      <c r="V18" s="6" t="s">
        <v>92</v>
      </c>
      <c r="AE18" s="6" t="s">
        <v>73</v>
      </c>
      <c r="AH18" s="6" t="s">
        <v>73</v>
      </c>
      <c r="AL18" s="6" t="s">
        <v>113</v>
      </c>
      <c r="AM18" s="6" t="s">
        <v>82</v>
      </c>
      <c r="AQ18" s="6" t="s">
        <v>57</v>
      </c>
      <c r="AU18" s="67" t="s">
        <v>57</v>
      </c>
    </row>
    <row r="19" spans="2:47" ht="15" customHeight="1">
      <c r="B19" s="6" t="s">
        <v>986</v>
      </c>
      <c r="C19" s="62">
        <v>4149535094</v>
      </c>
      <c r="G19" s="9">
        <v>24503</v>
      </c>
      <c r="H19" s="6" t="s">
        <v>55</v>
      </c>
      <c r="I19" s="6" t="s">
        <v>34</v>
      </c>
      <c r="K19" s="6" t="s">
        <v>704</v>
      </c>
      <c r="P19" s="6" t="s">
        <v>987</v>
      </c>
      <c r="Q19" s="67" t="s">
        <v>57</v>
      </c>
      <c r="S19" s="6" t="s">
        <v>82</v>
      </c>
      <c r="T19" s="6" t="s">
        <v>89</v>
      </c>
      <c r="U19" s="6" t="s">
        <v>86</v>
      </c>
      <c r="AE19" s="6" t="s">
        <v>113</v>
      </c>
      <c r="AH19" s="6" t="s">
        <v>113</v>
      </c>
      <c r="AL19" s="6" t="s">
        <v>960</v>
      </c>
      <c r="AM19" s="6" t="s">
        <v>89</v>
      </c>
      <c r="AQ19" s="6" t="s">
        <v>57</v>
      </c>
      <c r="AU19" s="67" t="s">
        <v>57</v>
      </c>
    </row>
    <row r="20" spans="2:47" ht="15" customHeight="1">
      <c r="B20" s="6" t="s">
        <v>988</v>
      </c>
      <c r="C20" s="62">
        <v>4862065155</v>
      </c>
      <c r="G20" s="9">
        <v>23654</v>
      </c>
      <c r="H20" s="6" t="s">
        <v>55</v>
      </c>
      <c r="I20" s="6" t="s">
        <v>34</v>
      </c>
      <c r="K20" s="6" t="s">
        <v>704</v>
      </c>
      <c r="P20" s="6" t="s">
        <v>297</v>
      </c>
      <c r="Q20" s="67" t="s">
        <v>57</v>
      </c>
      <c r="S20" s="6" t="s">
        <v>86</v>
      </c>
      <c r="T20" s="6" t="s">
        <v>113</v>
      </c>
      <c r="U20" s="6" t="s">
        <v>82</v>
      </c>
      <c r="AE20" s="6" t="s">
        <v>89</v>
      </c>
      <c r="AH20" s="6" t="s">
        <v>89</v>
      </c>
      <c r="AL20" s="6" t="s">
        <v>86</v>
      </c>
      <c r="AM20" s="6" t="s">
        <v>113</v>
      </c>
      <c r="AQ20" s="6" t="s">
        <v>57</v>
      </c>
      <c r="AU20" s="67" t="s">
        <v>57</v>
      </c>
    </row>
    <row r="21" spans="2:47" ht="15" customHeight="1">
      <c r="B21" s="6" t="s">
        <v>989</v>
      </c>
      <c r="C21" s="62">
        <v>4764835649</v>
      </c>
      <c r="G21" s="9">
        <v>22365</v>
      </c>
      <c r="H21" s="6" t="s">
        <v>55</v>
      </c>
      <c r="I21" s="6" t="s">
        <v>34</v>
      </c>
      <c r="K21" s="6" t="s">
        <v>704</v>
      </c>
      <c r="P21" s="6" t="s">
        <v>990</v>
      </c>
      <c r="Q21" s="67" t="s">
        <v>57</v>
      </c>
      <c r="S21" s="6" t="s">
        <v>67</v>
      </c>
      <c r="T21" s="6" t="s">
        <v>97</v>
      </c>
      <c r="U21" s="6" t="s">
        <v>108</v>
      </c>
      <c r="V21" s="6" t="s">
        <v>96</v>
      </c>
      <c r="AE21" s="6" t="s">
        <v>417</v>
      </c>
      <c r="AH21" s="6" t="s">
        <v>417</v>
      </c>
      <c r="AL21" s="6" t="s">
        <v>67</v>
      </c>
      <c r="AM21" s="6" t="s">
        <v>97</v>
      </c>
      <c r="AQ21" s="6" t="s">
        <v>57</v>
      </c>
      <c r="AU21" s="67" t="s">
        <v>57</v>
      </c>
    </row>
    <row r="22" spans="2:47" ht="15" customHeight="1">
      <c r="B22" s="6" t="s">
        <v>991</v>
      </c>
      <c r="C22" s="62">
        <v>4487179785</v>
      </c>
      <c r="G22" s="9">
        <v>21390</v>
      </c>
      <c r="H22" s="6" t="s">
        <v>55</v>
      </c>
      <c r="I22" s="6" t="s">
        <v>34</v>
      </c>
      <c r="K22" s="6" t="s">
        <v>704</v>
      </c>
      <c r="P22" s="6" t="s">
        <v>992</v>
      </c>
      <c r="Q22" s="67" t="s">
        <v>57</v>
      </c>
      <c r="S22" s="6" t="s">
        <v>85</v>
      </c>
      <c r="T22" s="6" t="s">
        <v>89</v>
      </c>
      <c r="U22" s="6" t="s">
        <v>113</v>
      </c>
      <c r="V22" s="6" t="s">
        <v>82</v>
      </c>
      <c r="W22" s="6" t="s">
        <v>86</v>
      </c>
      <c r="AE22" s="6" t="s">
        <v>73</v>
      </c>
      <c r="AH22" s="6" t="s">
        <v>73</v>
      </c>
      <c r="AL22" s="6" t="s">
        <v>85</v>
      </c>
      <c r="AM22" s="6" t="s">
        <v>89</v>
      </c>
      <c r="AQ22" s="6" t="s">
        <v>57</v>
      </c>
      <c r="AU22" s="67" t="s">
        <v>57</v>
      </c>
    </row>
    <row r="23" spans="2:47" ht="15" customHeight="1">
      <c r="B23" s="6" t="s">
        <v>993</v>
      </c>
      <c r="C23" s="62">
        <v>6160538977</v>
      </c>
      <c r="G23" s="9">
        <v>24674</v>
      </c>
      <c r="H23" s="6" t="s">
        <v>55</v>
      </c>
      <c r="I23" s="6" t="s">
        <v>34</v>
      </c>
      <c r="K23" s="6" t="s">
        <v>704</v>
      </c>
      <c r="P23" s="6" t="s">
        <v>994</v>
      </c>
      <c r="Q23" s="67" t="s">
        <v>57</v>
      </c>
      <c r="S23" s="6" t="s">
        <v>76</v>
      </c>
      <c r="T23" s="6" t="s">
        <v>79</v>
      </c>
      <c r="U23" s="6" t="s">
        <v>151</v>
      </c>
      <c r="V23" s="6" t="s">
        <v>113</v>
      </c>
      <c r="W23" s="6" t="s">
        <v>89</v>
      </c>
      <c r="AD23" s="6" t="s">
        <v>995</v>
      </c>
      <c r="AE23" s="6" t="s">
        <v>149</v>
      </c>
      <c r="AH23" s="6" t="s">
        <v>149</v>
      </c>
      <c r="AL23" s="6" t="s">
        <v>76</v>
      </c>
      <c r="AM23" s="6" t="s">
        <v>79</v>
      </c>
      <c r="AQ23" s="6" t="s">
        <v>57</v>
      </c>
      <c r="AU23" s="67" t="s">
        <v>57</v>
      </c>
    </row>
    <row r="24" spans="2:47" ht="15" customHeight="1">
      <c r="B24" s="6" t="s">
        <v>996</v>
      </c>
      <c r="C24" s="62">
        <v>4382029112</v>
      </c>
      <c r="G24" s="9">
        <v>15455</v>
      </c>
      <c r="H24" s="6" t="s">
        <v>55</v>
      </c>
      <c r="I24" s="6" t="s">
        <v>34</v>
      </c>
      <c r="J24" s="6" t="s">
        <v>704</v>
      </c>
      <c r="P24" s="6" t="s">
        <v>997</v>
      </c>
      <c r="Q24" s="67" t="s">
        <v>57</v>
      </c>
      <c r="S24" s="6" t="s">
        <v>175</v>
      </c>
      <c r="T24" s="6" t="s">
        <v>67</v>
      </c>
      <c r="U24" s="6" t="s">
        <v>173</v>
      </c>
      <c r="V24" s="6" t="s">
        <v>78</v>
      </c>
      <c r="W24" s="6" t="s">
        <v>998</v>
      </c>
      <c r="AE24" s="6" t="s">
        <v>431</v>
      </c>
      <c r="AH24" s="6" t="s">
        <v>431</v>
      </c>
      <c r="AL24" s="6" t="s">
        <v>67</v>
      </c>
      <c r="AM24" s="6" t="s">
        <v>173</v>
      </c>
      <c r="AQ24" s="6" t="s">
        <v>57</v>
      </c>
      <c r="AU24" s="67" t="s">
        <v>57</v>
      </c>
    </row>
    <row r="25" spans="2:47" ht="15" customHeight="1">
      <c r="B25" s="6" t="s">
        <v>999</v>
      </c>
      <c r="C25" s="62">
        <v>4380840913</v>
      </c>
      <c r="G25" s="9">
        <v>15073</v>
      </c>
      <c r="H25" s="6" t="s">
        <v>55</v>
      </c>
      <c r="I25" s="6" t="s">
        <v>34</v>
      </c>
      <c r="J25" s="6" t="s">
        <v>704</v>
      </c>
      <c r="P25" s="6" t="s">
        <v>1000</v>
      </c>
      <c r="Q25" s="67" t="s">
        <v>57</v>
      </c>
      <c r="S25" s="6" t="s">
        <v>113</v>
      </c>
      <c r="X25" s="6" t="s">
        <v>322</v>
      </c>
      <c r="Y25" s="6" t="s">
        <v>256</v>
      </c>
      <c r="AD25" s="6" t="s">
        <v>891</v>
      </c>
      <c r="AE25" s="6" t="s">
        <v>82</v>
      </c>
      <c r="AH25" s="6" t="s">
        <v>82</v>
      </c>
      <c r="AL25" s="6" t="s">
        <v>113</v>
      </c>
      <c r="AN25" s="6" t="s">
        <v>322</v>
      </c>
      <c r="AQ25" s="6" t="s">
        <v>57</v>
      </c>
      <c r="AU25" s="67" t="s">
        <v>57</v>
      </c>
    </row>
    <row r="26" spans="2:47" ht="15" customHeight="1">
      <c r="B26" s="6" t="s">
        <v>1001</v>
      </c>
      <c r="C26" s="62">
        <v>4343734773</v>
      </c>
      <c r="G26" s="9">
        <v>15923</v>
      </c>
      <c r="H26" s="6" t="s">
        <v>55</v>
      </c>
      <c r="I26" s="6" t="s">
        <v>34</v>
      </c>
      <c r="J26" s="6" t="s">
        <v>704</v>
      </c>
      <c r="P26" s="6" t="s">
        <v>1002</v>
      </c>
      <c r="Q26" s="67" t="s">
        <v>57</v>
      </c>
      <c r="S26" s="6" t="s">
        <v>1003</v>
      </c>
      <c r="T26" s="6" t="s">
        <v>1004</v>
      </c>
      <c r="U26" s="6" t="s">
        <v>1005</v>
      </c>
      <c r="V26" s="6" t="s">
        <v>1006</v>
      </c>
      <c r="W26" s="6" t="s">
        <v>1007</v>
      </c>
      <c r="AE26" s="6" t="s">
        <v>256</v>
      </c>
      <c r="AH26" s="6" t="s">
        <v>256</v>
      </c>
      <c r="AL26" s="6" t="s">
        <v>1005</v>
      </c>
      <c r="AM26" s="6" t="s">
        <v>1006</v>
      </c>
      <c r="AQ26" s="6" t="s">
        <v>57</v>
      </c>
      <c r="AU26" s="67" t="s">
        <v>57</v>
      </c>
    </row>
    <row r="27" spans="2:47" ht="15" customHeight="1">
      <c r="B27" s="6" t="s">
        <v>1008</v>
      </c>
      <c r="C27" s="62">
        <v>6063338829</v>
      </c>
      <c r="G27" s="9">
        <v>25323</v>
      </c>
      <c r="H27" s="6" t="s">
        <v>55</v>
      </c>
      <c r="I27" s="6" t="s">
        <v>34</v>
      </c>
      <c r="J27" s="6" t="s">
        <v>704</v>
      </c>
      <c r="P27" s="6" t="s">
        <v>1009</v>
      </c>
      <c r="Q27" s="67" t="s">
        <v>57</v>
      </c>
      <c r="S27" s="6" t="s">
        <v>64</v>
      </c>
      <c r="T27" s="6" t="s">
        <v>73</v>
      </c>
      <c r="U27" s="6" t="s">
        <v>92</v>
      </c>
      <c r="V27" s="6" t="s">
        <v>81</v>
      </c>
      <c r="AE27" s="6" t="s">
        <v>476</v>
      </c>
      <c r="AH27" s="6" t="s">
        <v>476</v>
      </c>
      <c r="AL27" s="6" t="s">
        <v>64</v>
      </c>
      <c r="AM27" s="6" t="s">
        <v>73</v>
      </c>
      <c r="AQ27" s="6" t="s">
        <v>57</v>
      </c>
      <c r="AU27" s="67" t="s">
        <v>57</v>
      </c>
    </row>
    <row r="28" spans="2:47" ht="15" customHeight="1">
      <c r="B28" s="6" t="s">
        <v>1010</v>
      </c>
      <c r="C28" s="62">
        <v>7272950269</v>
      </c>
      <c r="G28" s="9">
        <v>27292</v>
      </c>
      <c r="H28" s="6" t="s">
        <v>55</v>
      </c>
      <c r="I28" s="6" t="s">
        <v>34</v>
      </c>
      <c r="J28" s="6" t="s">
        <v>704</v>
      </c>
      <c r="P28" s="83" t="s">
        <v>1011</v>
      </c>
      <c r="Q28" s="67" t="s">
        <v>57</v>
      </c>
      <c r="S28" s="6" t="s">
        <v>151</v>
      </c>
      <c r="T28" s="6" t="s">
        <v>92</v>
      </c>
      <c r="U28" s="6" t="s">
        <v>113</v>
      </c>
      <c r="V28" s="6" t="s">
        <v>86</v>
      </c>
      <c r="W28" s="6" t="s">
        <v>73</v>
      </c>
      <c r="AE28" s="6" t="s">
        <v>149</v>
      </c>
      <c r="AH28" s="6" t="s">
        <v>149</v>
      </c>
      <c r="AL28" s="6" t="s">
        <v>92</v>
      </c>
      <c r="AM28" s="6" t="s">
        <v>113</v>
      </c>
      <c r="AQ28" s="6" t="s">
        <v>57</v>
      </c>
      <c r="AU28" s="67" t="s">
        <v>57</v>
      </c>
    </row>
    <row r="29" spans="2:47" ht="15" customHeight="1">
      <c r="B29" s="6" t="s">
        <v>1012</v>
      </c>
      <c r="C29" s="62">
        <v>4581460174</v>
      </c>
      <c r="G29" s="9">
        <v>19134</v>
      </c>
      <c r="H29" s="6" t="s">
        <v>55</v>
      </c>
      <c r="I29" s="6" t="s">
        <v>34</v>
      </c>
      <c r="K29" s="6" t="s">
        <v>704</v>
      </c>
      <c r="P29" s="6" t="s">
        <v>1013</v>
      </c>
      <c r="Q29" s="67" t="s">
        <v>57</v>
      </c>
      <c r="S29" s="6" t="s">
        <v>417</v>
      </c>
      <c r="T29" s="6" t="s">
        <v>85</v>
      </c>
      <c r="U29" s="6" t="s">
        <v>173</v>
      </c>
      <c r="V29" s="6" t="s">
        <v>68</v>
      </c>
      <c r="W29" s="6" t="s">
        <v>1014</v>
      </c>
      <c r="X29" s="6" t="s">
        <v>252</v>
      </c>
      <c r="Y29" s="6" t="s">
        <v>253</v>
      </c>
      <c r="Z29" s="6" t="s">
        <v>88</v>
      </c>
      <c r="AA29" s="6" t="s">
        <v>832</v>
      </c>
      <c r="AB29" s="6" t="s">
        <v>1015</v>
      </c>
      <c r="AE29" s="6" t="s">
        <v>431</v>
      </c>
      <c r="AH29" s="6" t="s">
        <v>431</v>
      </c>
      <c r="AL29" s="6" t="s">
        <v>85</v>
      </c>
      <c r="AN29" s="6" t="s">
        <v>252</v>
      </c>
      <c r="AQ29" s="6" t="s">
        <v>57</v>
      </c>
      <c r="AU29" s="67" t="s">
        <v>57</v>
      </c>
    </row>
    <row r="30" spans="2:47" ht="15" customHeight="1">
      <c r="B30" s="6" t="s">
        <v>1016</v>
      </c>
      <c r="C30" s="62">
        <v>4086169606</v>
      </c>
      <c r="G30" s="9">
        <v>26249</v>
      </c>
      <c r="H30" s="6" t="s">
        <v>55</v>
      </c>
      <c r="I30" s="6" t="s">
        <v>34</v>
      </c>
      <c r="K30" s="6" t="s">
        <v>704</v>
      </c>
      <c r="P30" s="6" t="s">
        <v>1017</v>
      </c>
      <c r="Q30" s="67" t="s">
        <v>57</v>
      </c>
      <c r="S30" s="6" t="s">
        <v>255</v>
      </c>
      <c r="T30" s="6" t="s">
        <v>1018</v>
      </c>
      <c r="U30" s="6" t="s">
        <v>926</v>
      </c>
      <c r="V30" s="6" t="s">
        <v>182</v>
      </c>
      <c r="W30" s="6" t="s">
        <v>1019</v>
      </c>
      <c r="AE30" s="6" t="s">
        <v>149</v>
      </c>
      <c r="AH30" s="6" t="s">
        <v>149</v>
      </c>
      <c r="AL30" s="6" t="s">
        <v>255</v>
      </c>
      <c r="AM30" s="6" t="s">
        <v>1018</v>
      </c>
      <c r="AQ30" s="6" t="s">
        <v>57</v>
      </c>
      <c r="AU30" s="67" t="s">
        <v>57</v>
      </c>
    </row>
    <row r="31" spans="2:47" ht="15" customHeight="1">
      <c r="B31" s="6" t="s">
        <v>1020</v>
      </c>
      <c r="C31" s="62">
        <v>4382307848</v>
      </c>
      <c r="G31" s="9">
        <v>16785</v>
      </c>
      <c r="H31" s="6" t="s">
        <v>55</v>
      </c>
      <c r="I31" s="6" t="s">
        <v>34</v>
      </c>
      <c r="K31" s="6" t="s">
        <v>704</v>
      </c>
      <c r="P31" s="6" t="s">
        <v>1021</v>
      </c>
      <c r="Q31" s="67" t="s">
        <v>57</v>
      </c>
      <c r="S31" s="6" t="s">
        <v>59</v>
      </c>
      <c r="T31" s="6" t="s">
        <v>85</v>
      </c>
      <c r="U31" s="6" t="s">
        <v>97</v>
      </c>
      <c r="V31" s="6" t="s">
        <v>67</v>
      </c>
      <c r="AE31" s="6" t="s">
        <v>60</v>
      </c>
      <c r="AH31" s="6" t="s">
        <v>60</v>
      </c>
      <c r="AL31" s="6" t="s">
        <v>85</v>
      </c>
      <c r="AM31" s="6" t="s">
        <v>97</v>
      </c>
      <c r="AQ31" s="6" t="s">
        <v>57</v>
      </c>
      <c r="AU31" s="67" t="s">
        <v>57</v>
      </c>
    </row>
    <row r="32" spans="2:47" ht="15" customHeight="1">
      <c r="B32" s="6" t="s">
        <v>1022</v>
      </c>
      <c r="C32" s="62">
        <v>4848989914</v>
      </c>
      <c r="G32" s="9">
        <v>22061</v>
      </c>
      <c r="H32" s="6" t="s">
        <v>55</v>
      </c>
      <c r="I32" s="6" t="s">
        <v>34</v>
      </c>
      <c r="L32" s="6" t="s">
        <v>704</v>
      </c>
      <c r="P32" s="6" t="s">
        <v>1023</v>
      </c>
      <c r="Q32" s="67" t="s">
        <v>57</v>
      </c>
      <c r="S32" s="6" t="s">
        <v>67</v>
      </c>
      <c r="T32" s="6" t="s">
        <v>173</v>
      </c>
      <c r="U32" s="6" t="s">
        <v>97</v>
      </c>
      <c r="AE32" s="6" t="s">
        <v>68</v>
      </c>
      <c r="AH32" s="6" t="s">
        <v>68</v>
      </c>
      <c r="AL32" s="6" t="s">
        <v>67</v>
      </c>
      <c r="AM32" s="6" t="s">
        <v>173</v>
      </c>
      <c r="AQ32" s="6" t="s">
        <v>57</v>
      </c>
      <c r="AU32" s="67" t="s">
        <v>57</v>
      </c>
    </row>
    <row r="33" spans="1:47" ht="15" customHeight="1">
      <c r="B33" s="6" t="s">
        <v>1024</v>
      </c>
      <c r="C33" s="62">
        <v>4520233267</v>
      </c>
      <c r="G33" s="9">
        <v>18127</v>
      </c>
      <c r="H33" s="6" t="s">
        <v>55</v>
      </c>
      <c r="I33" s="6" t="s">
        <v>34</v>
      </c>
      <c r="K33" s="6" t="s">
        <v>704</v>
      </c>
      <c r="P33" s="6" t="s">
        <v>1011</v>
      </c>
      <c r="Q33" s="67" t="s">
        <v>57</v>
      </c>
      <c r="S33" s="6" t="s">
        <v>151</v>
      </c>
      <c r="AE33" s="6" t="s">
        <v>149</v>
      </c>
      <c r="AH33" s="6" t="s">
        <v>149</v>
      </c>
      <c r="AL33" s="6" t="s">
        <v>151</v>
      </c>
      <c r="AQ33" s="6" t="s">
        <v>57</v>
      </c>
      <c r="AU33" s="67" t="s">
        <v>57</v>
      </c>
    </row>
    <row r="34" spans="1:47" ht="15" customHeight="1">
      <c r="B34" s="6" t="s">
        <v>1025</v>
      </c>
      <c r="C34" s="62">
        <v>4505302105</v>
      </c>
      <c r="G34" s="9">
        <v>18239</v>
      </c>
      <c r="H34" s="6" t="s">
        <v>55</v>
      </c>
      <c r="I34" s="6" t="s">
        <v>34</v>
      </c>
      <c r="L34" s="6" t="s">
        <v>704</v>
      </c>
      <c r="P34" s="6" t="s">
        <v>1026</v>
      </c>
      <c r="Q34" s="67" t="s">
        <v>57</v>
      </c>
      <c r="S34" s="6" t="s">
        <v>82</v>
      </c>
      <c r="T34" s="6" t="s">
        <v>73</v>
      </c>
      <c r="U34" s="6" t="s">
        <v>81</v>
      </c>
      <c r="V34" s="6" t="s">
        <v>92</v>
      </c>
      <c r="X34" s="6" t="s">
        <v>252</v>
      </c>
      <c r="Y34" s="6" t="s">
        <v>1027</v>
      </c>
      <c r="Z34" s="6" t="s">
        <v>253</v>
      </c>
      <c r="AA34" s="6" t="s">
        <v>538</v>
      </c>
      <c r="AB34" s="6" t="s">
        <v>1028</v>
      </c>
      <c r="AE34" s="6" t="s">
        <v>93</v>
      </c>
      <c r="AH34" s="6" t="s">
        <v>93</v>
      </c>
      <c r="AL34" s="6" t="s">
        <v>82</v>
      </c>
      <c r="AN34" s="6" t="s">
        <v>252</v>
      </c>
      <c r="AQ34" s="6" t="s">
        <v>57</v>
      </c>
      <c r="AU34" s="67" t="s">
        <v>57</v>
      </c>
    </row>
    <row r="35" spans="1:47" ht="15" customHeight="1">
      <c r="A35" s="6" t="s">
        <v>1029</v>
      </c>
      <c r="B35" s="6" t="s">
        <v>1030</v>
      </c>
      <c r="C35" s="62">
        <v>4849084427</v>
      </c>
      <c r="D35" s="6" t="s">
        <v>54</v>
      </c>
      <c r="F35" s="6" t="s">
        <v>1029</v>
      </c>
      <c r="G35" s="9">
        <v>21851</v>
      </c>
      <c r="H35" s="6" t="s">
        <v>55</v>
      </c>
      <c r="I35" s="6" t="s">
        <v>34</v>
      </c>
      <c r="J35" s="6" t="s">
        <v>1029</v>
      </c>
      <c r="K35" s="6" t="s">
        <v>704</v>
      </c>
      <c r="L35" s="6" t="s">
        <v>1029</v>
      </c>
      <c r="M35" s="6" t="s">
        <v>1029</v>
      </c>
      <c r="N35" s="6" t="s">
        <v>1029</v>
      </c>
      <c r="O35" s="6" t="s">
        <v>1029</v>
      </c>
      <c r="P35" s="6" t="s">
        <v>1031</v>
      </c>
      <c r="Q35" s="67" t="s">
        <v>57</v>
      </c>
      <c r="R35" s="6" t="s">
        <v>1029</v>
      </c>
      <c r="S35" s="6" t="s">
        <v>82</v>
      </c>
      <c r="T35" s="6" t="s">
        <v>73</v>
      </c>
      <c r="U35" s="6" t="s">
        <v>92</v>
      </c>
      <c r="V35" s="6" t="s">
        <v>93</v>
      </c>
      <c r="W35" s="6" t="s">
        <v>1029</v>
      </c>
      <c r="X35" s="6" t="s">
        <v>1029</v>
      </c>
      <c r="Y35" s="6" t="s">
        <v>1029</v>
      </c>
      <c r="Z35" s="6" t="s">
        <v>1029</v>
      </c>
      <c r="AA35" s="6" t="s">
        <v>1029</v>
      </c>
      <c r="AB35" s="6" t="s">
        <v>1029</v>
      </c>
      <c r="AD35" s="6" t="s">
        <v>1029</v>
      </c>
      <c r="AE35" s="6" t="s">
        <v>113</v>
      </c>
      <c r="AF35" s="6" t="s">
        <v>1029</v>
      </c>
      <c r="AH35" s="6" t="s">
        <v>113</v>
      </c>
      <c r="AI35" s="6" t="s">
        <v>1029</v>
      </c>
      <c r="AJ35" s="6" t="s">
        <v>1029</v>
      </c>
      <c r="AK35" s="6" t="s">
        <v>1029</v>
      </c>
      <c r="AL35" s="6" t="s">
        <v>82</v>
      </c>
      <c r="AM35" s="6" t="s">
        <v>73</v>
      </c>
      <c r="AN35" s="6" t="s">
        <v>1029</v>
      </c>
      <c r="AO35" s="6" t="s">
        <v>1029</v>
      </c>
      <c r="AP35" s="6" t="s">
        <v>1029</v>
      </c>
      <c r="AQ35" s="6" t="s">
        <v>57</v>
      </c>
      <c r="AR35" s="6" t="s">
        <v>1029</v>
      </c>
      <c r="AS35" s="6" t="s">
        <v>1029</v>
      </c>
      <c r="AT35" s="6" t="s">
        <v>1029</v>
      </c>
      <c r="AU35" s="67" t="s">
        <v>57</v>
      </c>
    </row>
    <row r="36" spans="1:47" ht="15" customHeight="1">
      <c r="B36" s="6" t="s">
        <v>1032</v>
      </c>
      <c r="C36" s="62">
        <v>4848927730</v>
      </c>
      <c r="G36" s="9">
        <v>21751</v>
      </c>
      <c r="H36" s="6" t="s">
        <v>55</v>
      </c>
      <c r="I36" s="6" t="s">
        <v>34</v>
      </c>
      <c r="J36" s="6" t="s">
        <v>704</v>
      </c>
      <c r="P36" s="6" t="s">
        <v>1033</v>
      </c>
      <c r="Q36" s="67" t="s">
        <v>57</v>
      </c>
      <c r="S36" s="6" t="s">
        <v>81</v>
      </c>
      <c r="T36" s="6" t="s">
        <v>73</v>
      </c>
      <c r="U36" s="6" t="s">
        <v>92</v>
      </c>
      <c r="AE36" s="6" t="s">
        <v>137</v>
      </c>
      <c r="AH36" s="6" t="s">
        <v>137</v>
      </c>
      <c r="AL36" s="6" t="s">
        <v>81</v>
      </c>
      <c r="AM36" s="6" t="s">
        <v>73</v>
      </c>
      <c r="AQ36" s="6" t="s">
        <v>57</v>
      </c>
      <c r="AU36" s="67" t="s">
        <v>57</v>
      </c>
    </row>
    <row r="37" spans="1:47" ht="15" customHeight="1">
      <c r="B37" s="6" t="s">
        <v>1034</v>
      </c>
      <c r="C37" s="62">
        <v>4487155347</v>
      </c>
      <c r="G37" s="9">
        <v>21333</v>
      </c>
      <c r="H37" s="6" t="s">
        <v>55</v>
      </c>
      <c r="I37" s="6" t="s">
        <v>34</v>
      </c>
      <c r="J37" s="6" t="s">
        <v>704</v>
      </c>
      <c r="P37" s="6" t="s">
        <v>1035</v>
      </c>
      <c r="Q37" s="67" t="s">
        <v>57</v>
      </c>
      <c r="S37" s="6" t="s">
        <v>172</v>
      </c>
      <c r="T37" s="6" t="s">
        <v>189</v>
      </c>
      <c r="U37" s="6" t="s">
        <v>68</v>
      </c>
      <c r="V37" s="6" t="s">
        <v>67</v>
      </c>
      <c r="W37" s="6" t="s">
        <v>173</v>
      </c>
      <c r="AE37" s="6" t="s">
        <v>78</v>
      </c>
      <c r="AH37" s="6" t="s">
        <v>78</v>
      </c>
      <c r="AL37" s="6" t="s">
        <v>172</v>
      </c>
      <c r="AM37" s="6" t="s">
        <v>189</v>
      </c>
      <c r="AQ37" s="6" t="s">
        <v>57</v>
      </c>
      <c r="AU37" s="67" t="s">
        <v>57</v>
      </c>
    </row>
    <row r="38" spans="1:47" ht="15" customHeight="1">
      <c r="B38" s="6" t="s">
        <v>1036</v>
      </c>
      <c r="C38" s="62">
        <v>4786666645</v>
      </c>
      <c r="G38" s="9">
        <v>23025</v>
      </c>
      <c r="H38" s="6" t="s">
        <v>55</v>
      </c>
      <c r="I38" s="6" t="s">
        <v>34</v>
      </c>
      <c r="K38" s="6" t="s">
        <v>704</v>
      </c>
      <c r="P38" s="6" t="s">
        <v>1037</v>
      </c>
      <c r="Q38" s="67" t="s">
        <v>57</v>
      </c>
      <c r="AU38" s="67" t="s">
        <v>57</v>
      </c>
    </row>
    <row r="39" spans="1:47" ht="15" customHeight="1">
      <c r="B39" s="6" t="s">
        <v>1038</v>
      </c>
      <c r="C39" s="62">
        <v>4200103575</v>
      </c>
      <c r="G39" s="9">
        <v>24405</v>
      </c>
      <c r="H39" s="6" t="s">
        <v>55</v>
      </c>
      <c r="I39" s="6" t="s">
        <v>34</v>
      </c>
      <c r="L39" s="6" t="s">
        <v>704</v>
      </c>
      <c r="P39" s="6" t="s">
        <v>665</v>
      </c>
      <c r="Q39" s="67" t="s">
        <v>57</v>
      </c>
      <c r="AU39" s="67" t="s">
        <v>57</v>
      </c>
    </row>
    <row r="40" spans="1:47" ht="15" customHeight="1">
      <c r="B40" s="6" t="s">
        <v>1039</v>
      </c>
      <c r="C40" s="62">
        <v>4382703360</v>
      </c>
      <c r="G40" s="9">
        <v>16936</v>
      </c>
      <c r="H40" s="6" t="s">
        <v>55</v>
      </c>
      <c r="I40" s="6" t="s">
        <v>34</v>
      </c>
      <c r="K40" s="6" t="s">
        <v>704</v>
      </c>
      <c r="P40" s="6" t="s">
        <v>1040</v>
      </c>
      <c r="Q40" s="67" t="s">
        <v>57</v>
      </c>
      <c r="S40" s="6" t="s">
        <v>1041</v>
      </c>
      <c r="T40" s="6" t="s">
        <v>1042</v>
      </c>
      <c r="U40" s="6" t="s">
        <v>1043</v>
      </c>
      <c r="V40" s="6" t="s">
        <v>1044</v>
      </c>
      <c r="W40" s="6" t="s">
        <v>1045</v>
      </c>
      <c r="AE40" s="6" t="s">
        <v>1046</v>
      </c>
      <c r="AH40" s="6" t="s">
        <v>1046</v>
      </c>
      <c r="AL40" s="6" t="s">
        <v>1041</v>
      </c>
      <c r="AM40" s="6" t="s">
        <v>1042</v>
      </c>
      <c r="AQ40" s="6" t="s">
        <v>57</v>
      </c>
      <c r="AU40" s="67" t="s">
        <v>57</v>
      </c>
    </row>
    <row r="41" spans="1:47" ht="15" customHeight="1">
      <c r="B41" s="6" t="s">
        <v>1047</v>
      </c>
      <c r="C41" s="62">
        <v>4124375840</v>
      </c>
      <c r="G41" s="9">
        <v>26994</v>
      </c>
      <c r="H41" s="6" t="s">
        <v>55</v>
      </c>
      <c r="I41" s="6" t="s">
        <v>34</v>
      </c>
      <c r="L41" s="6" t="s">
        <v>704</v>
      </c>
      <c r="P41" s="6" t="s">
        <v>1048</v>
      </c>
      <c r="Q41" s="67" t="s">
        <v>57</v>
      </c>
      <c r="AU41" s="67" t="s">
        <v>57</v>
      </c>
    </row>
    <row r="42" spans="1:47" ht="15" customHeight="1">
      <c r="B42" s="6" t="s">
        <v>1049</v>
      </c>
      <c r="C42" s="62">
        <v>4861977975</v>
      </c>
      <c r="G42" s="9">
        <v>22977</v>
      </c>
      <c r="H42" s="6" t="s">
        <v>55</v>
      </c>
      <c r="I42" s="6" t="s">
        <v>34</v>
      </c>
      <c r="J42" s="6" t="s">
        <v>704</v>
      </c>
      <c r="P42" s="6" t="s">
        <v>1050</v>
      </c>
      <c r="Q42" s="67" t="s">
        <v>57</v>
      </c>
      <c r="S42" s="6" t="s">
        <v>73</v>
      </c>
      <c r="T42" s="6" t="s">
        <v>137</v>
      </c>
      <c r="U42" s="6" t="s">
        <v>81</v>
      </c>
      <c r="AE42" s="6" t="s">
        <v>92</v>
      </c>
      <c r="AH42" s="6" t="s">
        <v>92</v>
      </c>
      <c r="AL42" s="6" t="s">
        <v>73</v>
      </c>
      <c r="AM42" s="6" t="s">
        <v>137</v>
      </c>
      <c r="AQ42" s="6" t="s">
        <v>57</v>
      </c>
      <c r="AU42" s="67" t="s">
        <v>57</v>
      </c>
    </row>
    <row r="43" spans="1:47" ht="15" customHeight="1">
      <c r="B43" s="6" t="s">
        <v>1051</v>
      </c>
      <c r="C43" s="62">
        <v>6354942307</v>
      </c>
      <c r="G43" s="9">
        <v>23887</v>
      </c>
      <c r="H43" s="6" t="s">
        <v>55</v>
      </c>
      <c r="I43" s="6" t="s">
        <v>34</v>
      </c>
      <c r="J43" s="6" t="s">
        <v>704</v>
      </c>
      <c r="P43" s="6" t="s">
        <v>1052</v>
      </c>
      <c r="Q43" s="67" t="s">
        <v>57</v>
      </c>
      <c r="S43" s="6" t="s">
        <v>73</v>
      </c>
      <c r="T43" s="6" t="s">
        <v>81</v>
      </c>
      <c r="AE43" s="6" t="s">
        <v>71</v>
      </c>
      <c r="AH43" s="6" t="s">
        <v>71</v>
      </c>
      <c r="AL43" s="6" t="s">
        <v>73</v>
      </c>
      <c r="AM43" s="6" t="s">
        <v>81</v>
      </c>
      <c r="AQ43" s="6" t="s">
        <v>57</v>
      </c>
      <c r="AU43" s="67" t="s">
        <v>57</v>
      </c>
    </row>
    <row r="44" spans="1:47" ht="15" customHeight="1">
      <c r="B44" s="6" t="s">
        <v>1053</v>
      </c>
      <c r="C44" s="62">
        <v>4988868125</v>
      </c>
      <c r="G44" s="9">
        <v>22566</v>
      </c>
      <c r="H44" s="6" t="s">
        <v>55</v>
      </c>
      <c r="I44" s="6" t="s">
        <v>34</v>
      </c>
      <c r="J44" s="6" t="s">
        <v>704</v>
      </c>
      <c r="P44" s="6" t="s">
        <v>218</v>
      </c>
      <c r="Q44" s="67" t="s">
        <v>57</v>
      </c>
      <c r="S44" s="6" t="s">
        <v>93</v>
      </c>
      <c r="AE44" s="6" t="s">
        <v>92</v>
      </c>
      <c r="AH44" s="6" t="s">
        <v>92</v>
      </c>
      <c r="AL44" s="6" t="s">
        <v>93</v>
      </c>
      <c r="AQ44" s="6" t="s">
        <v>57</v>
      </c>
      <c r="AU44" s="67" t="s">
        <v>57</v>
      </c>
    </row>
    <row r="45" spans="1:47" ht="15" customHeight="1">
      <c r="B45" s="6" t="s">
        <v>1054</v>
      </c>
      <c r="C45" s="62">
        <v>4586913584</v>
      </c>
      <c r="G45" s="9">
        <v>19803</v>
      </c>
      <c r="H45" s="6" t="s">
        <v>55</v>
      </c>
      <c r="I45" s="6" t="s">
        <v>34</v>
      </c>
      <c r="K45" s="6" t="s">
        <v>704</v>
      </c>
      <c r="P45" s="6" t="s">
        <v>1055</v>
      </c>
      <c r="Q45" s="67" t="s">
        <v>57</v>
      </c>
      <c r="S45" s="6" t="s">
        <v>175</v>
      </c>
      <c r="T45" s="6" t="s">
        <v>158</v>
      </c>
      <c r="U45" s="6" t="s">
        <v>163</v>
      </c>
      <c r="V45" s="6" t="s">
        <v>189</v>
      </c>
      <c r="W45" s="6" t="s">
        <v>1056</v>
      </c>
      <c r="AE45" s="6" t="s">
        <v>246</v>
      </c>
      <c r="AH45" s="6" t="s">
        <v>246</v>
      </c>
      <c r="AL45" s="6" t="s">
        <v>158</v>
      </c>
      <c r="AM45" s="6" t="s">
        <v>189</v>
      </c>
      <c r="AQ45" s="6" t="s">
        <v>57</v>
      </c>
      <c r="AU45" s="67" t="s">
        <v>57</v>
      </c>
    </row>
    <row r="46" spans="1:47" ht="15" customHeight="1">
      <c r="B46" s="6" t="s">
        <v>1057</v>
      </c>
      <c r="C46" s="62">
        <v>4069448977</v>
      </c>
      <c r="G46" s="9">
        <v>25662</v>
      </c>
      <c r="H46" s="6" t="s">
        <v>55</v>
      </c>
      <c r="I46" s="6" t="s">
        <v>34</v>
      </c>
      <c r="K46" s="6" t="s">
        <v>704</v>
      </c>
      <c r="P46" s="6" t="s">
        <v>293</v>
      </c>
      <c r="Q46" s="67" t="s">
        <v>57</v>
      </c>
      <c r="S46" s="6" t="s">
        <v>92</v>
      </c>
      <c r="T46" s="6" t="s">
        <v>82</v>
      </c>
      <c r="U46" s="6" t="s">
        <v>93</v>
      </c>
      <c r="V46" s="6" t="s">
        <v>73</v>
      </c>
      <c r="AE46" s="6" t="s">
        <v>86</v>
      </c>
      <c r="AH46" s="6" t="s">
        <v>86</v>
      </c>
      <c r="AL46" s="6" t="s">
        <v>92</v>
      </c>
      <c r="AM46" s="6" t="s">
        <v>82</v>
      </c>
      <c r="AQ46" s="6" t="s">
        <v>57</v>
      </c>
      <c r="AU46" s="67" t="s">
        <v>57</v>
      </c>
    </row>
    <row r="47" spans="1:47" ht="15" customHeight="1">
      <c r="B47" s="6" t="s">
        <v>1058</v>
      </c>
      <c r="C47" s="62">
        <v>6187608968</v>
      </c>
      <c r="G47" s="9">
        <v>14395</v>
      </c>
      <c r="H47" s="6" t="s">
        <v>55</v>
      </c>
      <c r="I47" s="6" t="s">
        <v>34</v>
      </c>
      <c r="J47" s="6" t="s">
        <v>704</v>
      </c>
      <c r="P47" s="6" t="s">
        <v>596</v>
      </c>
      <c r="Q47" s="67" t="s">
        <v>57</v>
      </c>
      <c r="S47" s="6" t="s">
        <v>67</v>
      </c>
      <c r="T47" s="6" t="s">
        <v>89</v>
      </c>
      <c r="U47" s="6" t="s">
        <v>68</v>
      </c>
      <c r="V47" s="6" t="s">
        <v>78</v>
      </c>
      <c r="W47" s="6" t="s">
        <v>406</v>
      </c>
      <c r="AE47" s="6" t="s">
        <v>97</v>
      </c>
      <c r="AH47" s="6" t="s">
        <v>97</v>
      </c>
      <c r="AL47" s="6" t="s">
        <v>67</v>
      </c>
      <c r="AM47" s="6" t="s">
        <v>89</v>
      </c>
      <c r="AQ47" s="6" t="s">
        <v>57</v>
      </c>
      <c r="AU47" s="67" t="s">
        <v>57</v>
      </c>
    </row>
    <row r="48" spans="1:47" ht="15" customHeight="1">
      <c r="B48" s="6" t="s">
        <v>1059</v>
      </c>
      <c r="C48" s="62">
        <v>4409249290</v>
      </c>
      <c r="G48" s="9">
        <v>16921</v>
      </c>
      <c r="H48" s="6" t="s">
        <v>55</v>
      </c>
      <c r="I48" s="6" t="s">
        <v>34</v>
      </c>
      <c r="L48" s="6" t="s">
        <v>704</v>
      </c>
      <c r="P48" s="6" t="s">
        <v>1060</v>
      </c>
      <c r="Q48" s="67" t="s">
        <v>57</v>
      </c>
      <c r="S48" s="6" t="s">
        <v>124</v>
      </c>
      <c r="T48" s="6" t="s">
        <v>173</v>
      </c>
      <c r="U48" s="6" t="s">
        <v>189</v>
      </c>
      <c r="V48" s="6" t="s">
        <v>212</v>
      </c>
      <c r="W48" s="6" t="s">
        <v>1061</v>
      </c>
      <c r="AE48" s="6" t="s">
        <v>78</v>
      </c>
      <c r="AH48" s="6" t="s">
        <v>78</v>
      </c>
      <c r="AL48" s="6" t="s">
        <v>124</v>
      </c>
      <c r="AM48" s="6" t="s">
        <v>173</v>
      </c>
      <c r="AQ48" s="6" t="s">
        <v>57</v>
      </c>
      <c r="AU48" s="67" t="s">
        <v>57</v>
      </c>
    </row>
    <row r="49" spans="2:47" ht="15" customHeight="1">
      <c r="B49" s="6" t="s">
        <v>1062</v>
      </c>
      <c r="C49" s="62">
        <v>4583336691</v>
      </c>
      <c r="G49" s="9">
        <v>20561</v>
      </c>
      <c r="H49" s="6" t="s">
        <v>55</v>
      </c>
      <c r="I49" s="6" t="s">
        <v>34</v>
      </c>
      <c r="K49" s="6" t="s">
        <v>704</v>
      </c>
      <c r="P49" s="6" t="s">
        <v>1063</v>
      </c>
      <c r="Q49" s="67" t="s">
        <v>1064</v>
      </c>
      <c r="S49" s="6" t="s">
        <v>113</v>
      </c>
      <c r="T49" s="6" t="s">
        <v>92</v>
      </c>
      <c r="U49" s="6" t="s">
        <v>82</v>
      </c>
      <c r="V49" s="6" t="s">
        <v>137</v>
      </c>
      <c r="W49" s="6" t="s">
        <v>1065</v>
      </c>
      <c r="AE49" s="6" t="s">
        <v>73</v>
      </c>
      <c r="AH49" s="6" t="s">
        <v>73</v>
      </c>
      <c r="AL49" s="6" t="s">
        <v>113</v>
      </c>
      <c r="AM49" s="6" t="s">
        <v>92</v>
      </c>
      <c r="AQ49" s="6" t="s">
        <v>57</v>
      </c>
      <c r="AU49" s="67" t="s">
        <v>57</v>
      </c>
    </row>
    <row r="50" spans="2:47" ht="15" customHeight="1">
      <c r="B50" s="6" t="s">
        <v>1066</v>
      </c>
      <c r="C50" s="62">
        <v>6222329454</v>
      </c>
      <c r="G50" s="9">
        <v>20413</v>
      </c>
      <c r="H50" s="6" t="s">
        <v>55</v>
      </c>
      <c r="I50" s="6" t="s">
        <v>34</v>
      </c>
      <c r="L50" s="6" t="s">
        <v>704</v>
      </c>
      <c r="P50" s="83" t="s">
        <v>1067</v>
      </c>
      <c r="Q50" s="67" t="s">
        <v>57</v>
      </c>
      <c r="S50" s="6" t="s">
        <v>113</v>
      </c>
      <c r="T50" s="6" t="s">
        <v>97</v>
      </c>
      <c r="U50" s="6" t="s">
        <v>67</v>
      </c>
      <c r="V50" s="6" t="s">
        <v>85</v>
      </c>
      <c r="W50" s="6" t="s">
        <v>1068</v>
      </c>
      <c r="AE50" s="6" t="s">
        <v>149</v>
      </c>
      <c r="AH50" s="6" t="s">
        <v>149</v>
      </c>
      <c r="AL50" s="6" t="s">
        <v>113</v>
      </c>
      <c r="AM50" s="6" t="s">
        <v>97</v>
      </c>
      <c r="AQ50" s="6" t="s">
        <v>57</v>
      </c>
      <c r="AU50" s="67" t="s">
        <v>57</v>
      </c>
    </row>
    <row r="51" spans="2:47" ht="15" customHeight="1">
      <c r="B51" s="6" t="s">
        <v>1069</v>
      </c>
      <c r="C51" s="62">
        <v>4587010928</v>
      </c>
      <c r="G51" s="9">
        <v>20113</v>
      </c>
      <c r="H51" s="6" t="s">
        <v>55</v>
      </c>
      <c r="I51" s="6" t="s">
        <v>34</v>
      </c>
      <c r="J51" s="6" t="s">
        <v>704</v>
      </c>
      <c r="P51" s="6" t="s">
        <v>1070</v>
      </c>
      <c r="Q51" s="67" t="s">
        <v>57</v>
      </c>
      <c r="S51" s="6" t="s">
        <v>68</v>
      </c>
      <c r="T51" s="6" t="s">
        <v>59</v>
      </c>
      <c r="U51" s="6" t="s">
        <v>67</v>
      </c>
      <c r="AE51" s="6" t="s">
        <v>61</v>
      </c>
      <c r="AH51" s="6" t="s">
        <v>61</v>
      </c>
      <c r="AL51" s="6" t="s">
        <v>68</v>
      </c>
      <c r="AM51" s="6" t="s">
        <v>67</v>
      </c>
      <c r="AQ51" s="6" t="s">
        <v>57</v>
      </c>
      <c r="AU51" s="67" t="s">
        <v>57</v>
      </c>
    </row>
    <row r="52" spans="2:47" ht="15" customHeight="1">
      <c r="B52" s="6" t="s">
        <v>1071</v>
      </c>
      <c r="C52" s="62">
        <v>4126012761</v>
      </c>
      <c r="G52" s="9">
        <v>30136</v>
      </c>
      <c r="H52" s="6" t="s">
        <v>55</v>
      </c>
      <c r="I52" s="6" t="s">
        <v>34</v>
      </c>
      <c r="K52" s="6" t="s">
        <v>704</v>
      </c>
      <c r="P52" s="6" t="s">
        <v>1072</v>
      </c>
      <c r="Q52" s="67" t="s">
        <v>57</v>
      </c>
      <c r="S52" s="6" t="s">
        <v>67</v>
      </c>
      <c r="T52" s="6" t="s">
        <v>105</v>
      </c>
      <c r="U52" s="6" t="s">
        <v>68</v>
      </c>
      <c r="V52" s="6" t="s">
        <v>116</v>
      </c>
      <c r="W52" s="6" t="s">
        <v>1073</v>
      </c>
      <c r="AE52" s="6" t="s">
        <v>137</v>
      </c>
      <c r="AH52" s="6" t="s">
        <v>137</v>
      </c>
      <c r="AL52" s="6" t="s">
        <v>67</v>
      </c>
      <c r="AM52" s="6" t="s">
        <v>105</v>
      </c>
      <c r="AQ52" s="6" t="s">
        <v>57</v>
      </c>
      <c r="AU52" s="67" t="s">
        <v>57</v>
      </c>
    </row>
    <row r="53" spans="2:47" ht="15" customHeight="1">
      <c r="B53" s="6" t="s">
        <v>1074</v>
      </c>
      <c r="C53" s="62">
        <v>4581565375</v>
      </c>
      <c r="G53" s="9">
        <v>19515</v>
      </c>
      <c r="H53" s="6" t="s">
        <v>55</v>
      </c>
      <c r="I53" s="6" t="s">
        <v>34</v>
      </c>
      <c r="L53" s="6" t="s">
        <v>704</v>
      </c>
      <c r="P53" s="6" t="s">
        <v>1075</v>
      </c>
      <c r="Q53" s="67" t="s">
        <v>57</v>
      </c>
      <c r="S53" s="6" t="s">
        <v>124</v>
      </c>
      <c r="T53" s="6" t="s">
        <v>172</v>
      </c>
      <c r="U53" s="6" t="s">
        <v>93</v>
      </c>
      <c r="V53" s="6" t="s">
        <v>78</v>
      </c>
      <c r="AE53" s="6" t="s">
        <v>173</v>
      </c>
      <c r="AH53" s="6" t="s">
        <v>173</v>
      </c>
      <c r="AL53" s="6" t="s">
        <v>124</v>
      </c>
      <c r="AM53" s="6" t="s">
        <v>172</v>
      </c>
      <c r="AQ53" s="6" t="s">
        <v>57</v>
      </c>
      <c r="AU53" s="67" t="s">
        <v>57</v>
      </c>
    </row>
    <row r="54" spans="2:47" ht="15" customHeight="1">
      <c r="B54" s="6" t="s">
        <v>1076</v>
      </c>
      <c r="C54" s="62">
        <v>4561481966</v>
      </c>
      <c r="G54" s="9">
        <v>19822</v>
      </c>
      <c r="H54" s="6" t="s">
        <v>55</v>
      </c>
      <c r="I54" s="6" t="s">
        <v>34</v>
      </c>
      <c r="K54" s="6" t="s">
        <v>704</v>
      </c>
      <c r="P54" s="6" t="s">
        <v>1077</v>
      </c>
      <c r="Q54" s="67" t="s">
        <v>57</v>
      </c>
      <c r="S54" s="6" t="s">
        <v>67</v>
      </c>
      <c r="T54" s="6" t="s">
        <v>105</v>
      </c>
      <c r="U54" s="6" t="s">
        <v>85</v>
      </c>
      <c r="V54" s="6" t="s">
        <v>97</v>
      </c>
      <c r="W54" s="6" t="s">
        <v>68</v>
      </c>
      <c r="AD54" s="6" t="s">
        <v>1078</v>
      </c>
      <c r="AE54" s="6" t="s">
        <v>89</v>
      </c>
      <c r="AH54" s="6" t="s">
        <v>89</v>
      </c>
      <c r="AL54" s="6" t="s">
        <v>67</v>
      </c>
      <c r="AM54" s="6" t="s">
        <v>105</v>
      </c>
      <c r="AQ54" s="6" t="s">
        <v>57</v>
      </c>
      <c r="AU54" s="67" t="s">
        <v>57</v>
      </c>
    </row>
    <row r="55" spans="2:47" ht="15" customHeight="1">
      <c r="B55" s="6" t="s">
        <v>1079</v>
      </c>
      <c r="C55" s="62">
        <v>4466470863</v>
      </c>
      <c r="G55" s="9">
        <v>18325</v>
      </c>
      <c r="H55" s="6" t="s">
        <v>55</v>
      </c>
      <c r="I55" s="6" t="s">
        <v>34</v>
      </c>
      <c r="K55" s="6" t="s">
        <v>704</v>
      </c>
      <c r="P55" s="6" t="s">
        <v>1080</v>
      </c>
      <c r="Q55" s="67" t="s">
        <v>57</v>
      </c>
      <c r="AU55" s="67" t="s">
        <v>57</v>
      </c>
    </row>
    <row r="56" spans="2:47" ht="15" customHeight="1">
      <c r="B56" s="6" t="s">
        <v>1081</v>
      </c>
      <c r="C56" s="62">
        <v>4583500580</v>
      </c>
      <c r="G56" s="9">
        <v>20763</v>
      </c>
      <c r="H56" s="6" t="s">
        <v>55</v>
      </c>
      <c r="I56" s="6" t="s">
        <v>34</v>
      </c>
      <c r="K56" s="6" t="s">
        <v>704</v>
      </c>
      <c r="P56" s="6" t="s">
        <v>1082</v>
      </c>
      <c r="Q56" s="67" t="s">
        <v>57</v>
      </c>
      <c r="S56" s="6" t="s">
        <v>173</v>
      </c>
      <c r="T56" s="6" t="s">
        <v>163</v>
      </c>
      <c r="U56" s="6" t="s">
        <v>68</v>
      </c>
      <c r="AE56" s="6" t="s">
        <v>59</v>
      </c>
      <c r="AH56" s="6" t="s">
        <v>59</v>
      </c>
      <c r="AL56" s="6" t="s">
        <v>173</v>
      </c>
      <c r="AM56" s="6" t="s">
        <v>68</v>
      </c>
      <c r="AQ56" s="6" t="s">
        <v>57</v>
      </c>
      <c r="AU56" s="67" t="s">
        <v>57</v>
      </c>
    </row>
    <row r="57" spans="2:47" ht="15" customHeight="1">
      <c r="B57" s="6" t="s">
        <v>1083</v>
      </c>
      <c r="C57" s="62">
        <v>4488630243</v>
      </c>
      <c r="G57" s="9">
        <v>20130</v>
      </c>
      <c r="H57" s="6" t="s">
        <v>55</v>
      </c>
      <c r="I57" s="6" t="s">
        <v>34</v>
      </c>
      <c r="L57" s="6" t="s">
        <v>704</v>
      </c>
      <c r="P57" s="6" t="s">
        <v>1084</v>
      </c>
      <c r="Q57" s="67" t="s">
        <v>57</v>
      </c>
      <c r="S57" s="6" t="s">
        <v>96</v>
      </c>
      <c r="T57" s="6" t="s">
        <v>156</v>
      </c>
      <c r="U57" s="6" t="s">
        <v>59</v>
      </c>
      <c r="V57" s="6" t="s">
        <v>231</v>
      </c>
      <c r="W57" s="6" t="s">
        <v>1085</v>
      </c>
      <c r="AD57" s="6" t="s">
        <v>86</v>
      </c>
      <c r="AE57" s="6" t="s">
        <v>108</v>
      </c>
      <c r="AH57" s="6" t="s">
        <v>108</v>
      </c>
      <c r="AL57" s="6" t="s">
        <v>156</v>
      </c>
      <c r="AM57" s="6" t="s">
        <v>231</v>
      </c>
      <c r="AQ57" s="6" t="s">
        <v>57</v>
      </c>
      <c r="AU57" s="67" t="s">
        <v>57</v>
      </c>
    </row>
    <row r="58" spans="2:47" ht="15" customHeight="1">
      <c r="B58" s="6" t="s">
        <v>1086</v>
      </c>
      <c r="C58" s="62">
        <v>4309151957</v>
      </c>
      <c r="G58" s="9">
        <v>14692</v>
      </c>
      <c r="H58" s="6" t="s">
        <v>55</v>
      </c>
      <c r="I58" s="6" t="s">
        <v>34</v>
      </c>
      <c r="L58" s="6" t="s">
        <v>704</v>
      </c>
      <c r="P58" s="6" t="s">
        <v>314</v>
      </c>
      <c r="Q58" s="67" t="s">
        <v>57</v>
      </c>
      <c r="S58" s="6" t="s">
        <v>73</v>
      </c>
      <c r="T58" s="6" t="s">
        <v>82</v>
      </c>
      <c r="U58" s="6" t="s">
        <v>92</v>
      </c>
      <c r="AE58" s="6" t="s">
        <v>93</v>
      </c>
      <c r="AH58" s="6" t="s">
        <v>93</v>
      </c>
      <c r="AL58" s="6" t="s">
        <v>73</v>
      </c>
      <c r="AM58" s="6" t="s">
        <v>82</v>
      </c>
      <c r="AQ58" s="6" t="s">
        <v>57</v>
      </c>
      <c r="AU58" s="67" t="s">
        <v>57</v>
      </c>
    </row>
    <row r="59" spans="2:47" ht="15" customHeight="1">
      <c r="B59" s="6" t="s">
        <v>1087</v>
      </c>
      <c r="C59" s="62">
        <v>4568856620</v>
      </c>
      <c r="G59" s="9">
        <v>18092</v>
      </c>
      <c r="H59" s="6" t="s">
        <v>55</v>
      </c>
      <c r="I59" s="6" t="s">
        <v>34</v>
      </c>
      <c r="L59" s="6" t="s">
        <v>704</v>
      </c>
      <c r="P59" s="6" t="s">
        <v>1088</v>
      </c>
      <c r="Q59" s="67" t="s">
        <v>57</v>
      </c>
      <c r="S59" s="6" t="s">
        <v>92</v>
      </c>
      <c r="T59" s="6" t="s">
        <v>113</v>
      </c>
      <c r="U59" s="6" t="s">
        <v>93</v>
      </c>
      <c r="V59" s="6" t="s">
        <v>82</v>
      </c>
      <c r="AE59" s="6" t="s">
        <v>79</v>
      </c>
      <c r="AH59" s="6" t="s">
        <v>79</v>
      </c>
      <c r="AL59" s="6" t="s">
        <v>92</v>
      </c>
      <c r="AM59" s="6" t="s">
        <v>113</v>
      </c>
      <c r="AQ59" s="6" t="s">
        <v>57</v>
      </c>
      <c r="AU59" s="67" t="s">
        <v>57</v>
      </c>
    </row>
    <row r="60" spans="2:47" ht="15" customHeight="1">
      <c r="B60" s="6" t="s">
        <v>1089</v>
      </c>
      <c r="C60" s="62">
        <v>4583765185</v>
      </c>
      <c r="G60" s="9">
        <v>20559</v>
      </c>
      <c r="H60" s="6" t="s">
        <v>55</v>
      </c>
      <c r="I60" s="6" t="s">
        <v>34</v>
      </c>
      <c r="K60" s="6" t="s">
        <v>704</v>
      </c>
      <c r="P60" s="6" t="s">
        <v>1090</v>
      </c>
      <c r="Q60" s="67" t="s">
        <v>57</v>
      </c>
      <c r="S60" s="6" t="s">
        <v>82</v>
      </c>
      <c r="T60" s="6" t="s">
        <v>92</v>
      </c>
      <c r="U60" s="6" t="s">
        <v>93</v>
      </c>
      <c r="AE60" s="6" t="s">
        <v>113</v>
      </c>
      <c r="AH60" s="6" t="s">
        <v>113</v>
      </c>
      <c r="AL60" s="6" t="s">
        <v>82</v>
      </c>
      <c r="AM60" s="6" t="s">
        <v>92</v>
      </c>
      <c r="AQ60" s="6" t="s">
        <v>57</v>
      </c>
      <c r="AU60" s="67" t="s">
        <v>57</v>
      </c>
    </row>
    <row r="61" spans="2:47" ht="15" customHeight="1">
      <c r="B61" s="6" t="s">
        <v>1091</v>
      </c>
      <c r="C61" s="62">
        <v>7076209993</v>
      </c>
      <c r="G61" s="9">
        <v>26429</v>
      </c>
      <c r="H61" s="6" t="s">
        <v>55</v>
      </c>
      <c r="I61" s="6" t="s">
        <v>34</v>
      </c>
      <c r="J61" s="6" t="s">
        <v>704</v>
      </c>
      <c r="P61" s="6" t="s">
        <v>218</v>
      </c>
      <c r="Q61" s="67" t="s">
        <v>57</v>
      </c>
      <c r="S61" s="6" t="s">
        <v>81</v>
      </c>
      <c r="T61" s="6" t="s">
        <v>137</v>
      </c>
      <c r="U61" s="6" t="s">
        <v>116</v>
      </c>
      <c r="AE61" s="6" t="s">
        <v>64</v>
      </c>
      <c r="AH61" s="6" t="s">
        <v>64</v>
      </c>
      <c r="AL61" s="6" t="s">
        <v>81</v>
      </c>
      <c r="AM61" s="6" t="s">
        <v>137</v>
      </c>
      <c r="AQ61" s="6" t="s">
        <v>57</v>
      </c>
      <c r="AU61" s="67" t="s">
        <v>57</v>
      </c>
    </row>
    <row r="62" spans="2:47" ht="15" customHeight="1">
      <c r="B62" s="6" t="s">
        <v>1092</v>
      </c>
      <c r="C62" s="62">
        <v>4089182727</v>
      </c>
      <c r="G62" s="9">
        <v>25575</v>
      </c>
      <c r="H62" s="6" t="s">
        <v>55</v>
      </c>
      <c r="I62" s="6" t="s">
        <v>34</v>
      </c>
      <c r="L62" s="6" t="s">
        <v>704</v>
      </c>
      <c r="P62" s="6" t="s">
        <v>1035</v>
      </c>
      <c r="Q62" s="67" t="s">
        <v>57</v>
      </c>
      <c r="S62" s="6" t="s">
        <v>137</v>
      </c>
      <c r="T62" s="6" t="s">
        <v>81</v>
      </c>
      <c r="AE62" s="6" t="s">
        <v>73</v>
      </c>
      <c r="AH62" s="6" t="s">
        <v>73</v>
      </c>
      <c r="AL62" s="6" t="s">
        <v>137</v>
      </c>
      <c r="AM62" s="6" t="s">
        <v>81</v>
      </c>
      <c r="AQ62" s="6" t="s">
        <v>57</v>
      </c>
      <c r="AU62" s="67" t="s">
        <v>57</v>
      </c>
    </row>
    <row r="63" spans="2:47" ht="15" customHeight="1">
      <c r="B63" s="6" t="s">
        <v>1093</v>
      </c>
      <c r="C63" s="62">
        <v>4508582931</v>
      </c>
      <c r="G63" s="9">
        <v>18155</v>
      </c>
      <c r="H63" s="6" t="s">
        <v>55</v>
      </c>
      <c r="I63" s="6" t="s">
        <v>34</v>
      </c>
      <c r="J63" s="6" t="s">
        <v>704</v>
      </c>
      <c r="P63" s="6" t="s">
        <v>596</v>
      </c>
      <c r="Q63" s="67" t="s">
        <v>57</v>
      </c>
      <c r="AE63" s="6" t="s">
        <v>92</v>
      </c>
      <c r="AU63" s="67" t="s">
        <v>57</v>
      </c>
    </row>
    <row r="64" spans="2:47" ht="15" customHeight="1">
      <c r="B64" s="6" t="s">
        <v>1094</v>
      </c>
      <c r="C64" s="62">
        <v>4786274054</v>
      </c>
      <c r="G64" s="9">
        <v>22083</v>
      </c>
      <c r="H64" s="6" t="s">
        <v>55</v>
      </c>
      <c r="I64" s="6" t="s">
        <v>34</v>
      </c>
      <c r="J64" s="6" t="s">
        <v>704</v>
      </c>
      <c r="P64" s="6" t="s">
        <v>1095</v>
      </c>
      <c r="Q64" s="67" t="s">
        <v>57</v>
      </c>
      <c r="S64" s="6" t="s">
        <v>59</v>
      </c>
      <c r="T64" s="6" t="s">
        <v>172</v>
      </c>
      <c r="U64" s="6" t="s">
        <v>163</v>
      </c>
      <c r="V64" s="6" t="s">
        <v>78</v>
      </c>
      <c r="W64" s="6" t="s">
        <v>173</v>
      </c>
      <c r="AE64" s="6" t="s">
        <v>60</v>
      </c>
      <c r="AH64" s="6" t="s">
        <v>60</v>
      </c>
      <c r="AL64" s="6" t="s">
        <v>172</v>
      </c>
      <c r="AM64" s="6" t="s">
        <v>78</v>
      </c>
      <c r="AQ64" s="6" t="s">
        <v>57</v>
      </c>
      <c r="AU64" s="67" t="s">
        <v>57</v>
      </c>
    </row>
    <row r="65" spans="2:47" ht="15" customHeight="1">
      <c r="B65" s="6" t="s">
        <v>1096</v>
      </c>
      <c r="C65" s="62">
        <v>4847763254</v>
      </c>
      <c r="G65" s="9">
        <v>23880</v>
      </c>
      <c r="H65" s="6" t="s">
        <v>55</v>
      </c>
      <c r="I65" s="6" t="s">
        <v>34</v>
      </c>
      <c r="L65" s="6" t="s">
        <v>704</v>
      </c>
      <c r="P65" s="6" t="s">
        <v>1097</v>
      </c>
      <c r="Q65" s="67" t="s">
        <v>57</v>
      </c>
      <c r="S65" s="6" t="s">
        <v>189</v>
      </c>
      <c r="T65" s="6" t="s">
        <v>156</v>
      </c>
      <c r="U65" s="6" t="s">
        <v>231</v>
      </c>
      <c r="AE65" s="6" t="s">
        <v>158</v>
      </c>
      <c r="AH65" s="6" t="s">
        <v>158</v>
      </c>
      <c r="AL65" s="6" t="s">
        <v>189</v>
      </c>
      <c r="AM65" s="6" t="s">
        <v>156</v>
      </c>
      <c r="AQ65" s="6" t="s">
        <v>57</v>
      </c>
      <c r="AU65" s="67" t="s">
        <v>57</v>
      </c>
    </row>
    <row r="66" spans="2:47" ht="15" customHeight="1">
      <c r="B66" s="6" t="s">
        <v>1098</v>
      </c>
      <c r="C66" s="62">
        <v>4125501238</v>
      </c>
      <c r="G66" s="9">
        <v>26455</v>
      </c>
      <c r="H66" s="6" t="s">
        <v>55</v>
      </c>
      <c r="I66" s="6" t="s">
        <v>34</v>
      </c>
      <c r="K66" s="6" t="s">
        <v>704</v>
      </c>
      <c r="P66" s="6" t="s">
        <v>1099</v>
      </c>
      <c r="Q66" s="67" t="s">
        <v>57</v>
      </c>
      <c r="S66" s="6" t="s">
        <v>81</v>
      </c>
      <c r="T66" s="6" t="s">
        <v>73</v>
      </c>
      <c r="U66" s="6" t="s">
        <v>92</v>
      </c>
      <c r="V66" s="6" t="s">
        <v>93</v>
      </c>
      <c r="AD66" s="6" t="s">
        <v>274</v>
      </c>
      <c r="AE66" s="6" t="s">
        <v>137</v>
      </c>
      <c r="AH66" s="6" t="s">
        <v>137</v>
      </c>
      <c r="AL66" s="6" t="s">
        <v>81</v>
      </c>
      <c r="AM66" s="6" t="s">
        <v>73</v>
      </c>
      <c r="AQ66" s="6" t="s">
        <v>57</v>
      </c>
      <c r="AU66" s="67" t="s">
        <v>57</v>
      </c>
    </row>
    <row r="67" spans="2:47" ht="15" customHeight="1">
      <c r="B67" s="6" t="s">
        <v>1100</v>
      </c>
      <c r="C67" s="62">
        <v>4227342511</v>
      </c>
      <c r="G67" s="9">
        <v>16912</v>
      </c>
      <c r="H67" s="6" t="s">
        <v>55</v>
      </c>
      <c r="I67" s="6" t="s">
        <v>34</v>
      </c>
      <c r="J67" s="6" t="s">
        <v>704</v>
      </c>
      <c r="P67" s="6" t="s">
        <v>1101</v>
      </c>
      <c r="Q67" s="67" t="s">
        <v>57</v>
      </c>
      <c r="S67" s="6" t="s">
        <v>60</v>
      </c>
      <c r="T67" s="6" t="s">
        <v>97</v>
      </c>
      <c r="U67" s="6" t="s">
        <v>89</v>
      </c>
      <c r="V67" s="6" t="s">
        <v>67</v>
      </c>
      <c r="W67" s="6" t="s">
        <v>85</v>
      </c>
      <c r="AE67" s="6" t="s">
        <v>59</v>
      </c>
      <c r="AH67" s="6" t="s">
        <v>59</v>
      </c>
      <c r="AL67" s="6" t="s">
        <v>97</v>
      </c>
      <c r="AM67" s="6" t="s">
        <v>89</v>
      </c>
      <c r="AQ67" s="6" t="s">
        <v>57</v>
      </c>
      <c r="AU67" s="67" t="s">
        <v>57</v>
      </c>
    </row>
    <row r="68" spans="2:47" ht="15" customHeight="1">
      <c r="B68" s="6" t="s">
        <v>1102</v>
      </c>
      <c r="C68" s="62">
        <v>4424089002</v>
      </c>
      <c r="G68" s="9">
        <v>16762</v>
      </c>
      <c r="H68" s="6" t="s">
        <v>55</v>
      </c>
      <c r="I68" s="6" t="s">
        <v>34</v>
      </c>
      <c r="J68" s="6" t="s">
        <v>704</v>
      </c>
      <c r="P68" s="6" t="s">
        <v>1099</v>
      </c>
      <c r="Q68" s="67" t="s">
        <v>57</v>
      </c>
      <c r="S68" s="6" t="s">
        <v>116</v>
      </c>
      <c r="T68" s="6" t="s">
        <v>81</v>
      </c>
      <c r="U68" s="6" t="s">
        <v>73</v>
      </c>
      <c r="AE68" s="6" t="s">
        <v>64</v>
      </c>
      <c r="AH68" s="6" t="s">
        <v>64</v>
      </c>
      <c r="AL68" s="6" t="s">
        <v>116</v>
      </c>
      <c r="AM68" s="6" t="s">
        <v>81</v>
      </c>
      <c r="AQ68" s="6" t="s">
        <v>57</v>
      </c>
      <c r="AU68" s="67" t="s">
        <v>57</v>
      </c>
    </row>
    <row r="69" spans="2:47" ht="15" customHeight="1">
      <c r="B69" s="6" t="s">
        <v>1103</v>
      </c>
      <c r="C69" s="62">
        <v>7081437869</v>
      </c>
      <c r="G69" s="9">
        <v>26602</v>
      </c>
      <c r="H69" s="6" t="s">
        <v>55</v>
      </c>
      <c r="I69" s="6" t="s">
        <v>34</v>
      </c>
      <c r="K69" s="6" t="s">
        <v>704</v>
      </c>
      <c r="P69" s="6" t="s">
        <v>974</v>
      </c>
      <c r="Q69" s="67" t="s">
        <v>57</v>
      </c>
      <c r="S69" s="6" t="s">
        <v>67</v>
      </c>
      <c r="T69" s="6" t="s">
        <v>97</v>
      </c>
      <c r="AD69" s="6" t="s">
        <v>1104</v>
      </c>
      <c r="AE69" s="6" t="s">
        <v>68</v>
      </c>
      <c r="AH69" s="6" t="s">
        <v>68</v>
      </c>
      <c r="AL69" s="6" t="s">
        <v>67</v>
      </c>
      <c r="AM69" s="6" t="s">
        <v>97</v>
      </c>
      <c r="AQ69" s="6" t="s">
        <v>57</v>
      </c>
      <c r="AU69" s="67" t="s">
        <v>57</v>
      </c>
    </row>
    <row r="70" spans="2:47" ht="15" customHeight="1">
      <c r="B70" s="6" t="s">
        <v>1105</v>
      </c>
      <c r="C70" s="62">
        <v>4040520068</v>
      </c>
      <c r="G70" s="9">
        <v>17216</v>
      </c>
      <c r="H70" s="6" t="s">
        <v>55</v>
      </c>
      <c r="I70" s="6" t="s">
        <v>34</v>
      </c>
      <c r="J70" s="6" t="s">
        <v>704</v>
      </c>
      <c r="P70" s="6" t="s">
        <v>1106</v>
      </c>
      <c r="Q70" s="67" t="s">
        <v>57</v>
      </c>
      <c r="S70" s="6" t="s">
        <v>73</v>
      </c>
      <c r="T70" s="6" t="s">
        <v>113</v>
      </c>
      <c r="AD70" s="6" t="s">
        <v>1107</v>
      </c>
      <c r="AE70" s="6" t="s">
        <v>93</v>
      </c>
      <c r="AH70" s="6" t="s">
        <v>93</v>
      </c>
      <c r="AL70" s="6" t="s">
        <v>73</v>
      </c>
      <c r="AM70" s="6" t="s">
        <v>113</v>
      </c>
      <c r="AQ70" s="6" t="s">
        <v>57</v>
      </c>
      <c r="AU70" s="67" t="s">
        <v>57</v>
      </c>
    </row>
    <row r="71" spans="2:47" ht="15" customHeight="1">
      <c r="B71" s="6" t="s">
        <v>1108</v>
      </c>
      <c r="C71" s="62">
        <v>6250369465</v>
      </c>
      <c r="G71" s="9">
        <v>20483</v>
      </c>
      <c r="H71" s="6" t="s">
        <v>55</v>
      </c>
      <c r="I71" s="6" t="s">
        <v>34</v>
      </c>
      <c r="L71" s="6" t="s">
        <v>704</v>
      </c>
      <c r="P71" s="6" t="s">
        <v>1109</v>
      </c>
      <c r="Q71" s="67" t="s">
        <v>57</v>
      </c>
      <c r="S71" s="6" t="s">
        <v>93</v>
      </c>
      <c r="T71" s="6" t="s">
        <v>73</v>
      </c>
      <c r="U71" s="6" t="s">
        <v>113</v>
      </c>
      <c r="V71" s="6" t="s">
        <v>92</v>
      </c>
      <c r="AD71" s="6" t="s">
        <v>82</v>
      </c>
      <c r="AH71" s="6" t="s">
        <v>93</v>
      </c>
      <c r="AL71" s="6" t="s">
        <v>73</v>
      </c>
      <c r="AM71" s="6" t="s">
        <v>113</v>
      </c>
      <c r="AQ71" s="6" t="s">
        <v>57</v>
      </c>
      <c r="AU71" s="67" t="s">
        <v>57</v>
      </c>
    </row>
    <row r="72" spans="2:47" ht="15" customHeight="1">
      <c r="B72" s="6" t="s">
        <v>1110</v>
      </c>
      <c r="C72" s="62">
        <v>6361826635</v>
      </c>
      <c r="G72" s="9">
        <v>24999</v>
      </c>
      <c r="H72" s="6" t="s">
        <v>55</v>
      </c>
      <c r="I72" s="6" t="s">
        <v>34</v>
      </c>
      <c r="L72" s="6" t="s">
        <v>704</v>
      </c>
      <c r="P72" s="6" t="s">
        <v>1111</v>
      </c>
      <c r="Q72" s="67" t="s">
        <v>57</v>
      </c>
      <c r="S72" s="6" t="s">
        <v>96</v>
      </c>
      <c r="T72" s="6" t="s">
        <v>175</v>
      </c>
      <c r="U72" s="6" t="s">
        <v>108</v>
      </c>
      <c r="V72" s="6" t="s">
        <v>59</v>
      </c>
      <c r="W72" s="6" t="s">
        <v>1112</v>
      </c>
      <c r="AD72" s="6" t="s">
        <v>1113</v>
      </c>
      <c r="AE72" s="6" t="s">
        <v>1114</v>
      </c>
      <c r="AH72" s="6" t="s">
        <v>1114</v>
      </c>
      <c r="AL72" s="6" t="s">
        <v>96</v>
      </c>
      <c r="AM72" s="6" t="s">
        <v>175</v>
      </c>
      <c r="AQ72" s="6" t="s">
        <v>57</v>
      </c>
      <c r="AU72" s="67" t="s">
        <v>57</v>
      </c>
    </row>
    <row r="73" spans="2:47" ht="15" customHeight="1">
      <c r="B73" s="6" t="s">
        <v>1115</v>
      </c>
      <c r="C73" s="62">
        <v>4507836948</v>
      </c>
      <c r="G73" s="9">
        <v>17793</v>
      </c>
      <c r="H73" s="6" t="s">
        <v>55</v>
      </c>
      <c r="I73" s="6" t="s">
        <v>34</v>
      </c>
      <c r="L73" s="6" t="s">
        <v>704</v>
      </c>
      <c r="P73" s="83" t="s">
        <v>1116</v>
      </c>
      <c r="Q73" s="67" t="s">
        <v>57</v>
      </c>
      <c r="S73" s="6" t="s">
        <v>92</v>
      </c>
      <c r="T73" s="6" t="s">
        <v>73</v>
      </c>
      <c r="U73" s="6" t="s">
        <v>81</v>
      </c>
      <c r="V73" s="6" t="s">
        <v>64</v>
      </c>
      <c r="W73" s="6" t="s">
        <v>1117</v>
      </c>
      <c r="AE73" s="6" t="s">
        <v>93</v>
      </c>
      <c r="AH73" s="6" t="s">
        <v>93</v>
      </c>
      <c r="AL73" s="6" t="s">
        <v>92</v>
      </c>
      <c r="AM73" s="6" t="s">
        <v>73</v>
      </c>
      <c r="AQ73" s="6" t="s">
        <v>57</v>
      </c>
      <c r="AU73" s="67" t="s">
        <v>57</v>
      </c>
    </row>
    <row r="74" spans="2:47" ht="15" customHeight="1">
      <c r="B74" s="6" t="s">
        <v>1118</v>
      </c>
      <c r="C74" s="62">
        <v>4860850726</v>
      </c>
      <c r="G74" s="9">
        <v>21764</v>
      </c>
      <c r="H74" s="6" t="s">
        <v>55</v>
      </c>
      <c r="I74" s="6" t="s">
        <v>34</v>
      </c>
      <c r="K74" s="6" t="s">
        <v>704</v>
      </c>
      <c r="P74" s="6" t="s">
        <v>1119</v>
      </c>
      <c r="Q74" s="67" t="s">
        <v>57</v>
      </c>
      <c r="S74" s="6" t="s">
        <v>81</v>
      </c>
      <c r="T74" s="6" t="s">
        <v>92</v>
      </c>
      <c r="U74" s="6" t="s">
        <v>73</v>
      </c>
      <c r="AE74" s="6" t="s">
        <v>137</v>
      </c>
      <c r="AH74" s="6" t="s">
        <v>137</v>
      </c>
      <c r="AL74" s="6" t="s">
        <v>81</v>
      </c>
      <c r="AM74" s="6" t="s">
        <v>92</v>
      </c>
      <c r="AQ74" s="6" t="s">
        <v>57</v>
      </c>
      <c r="AU74" s="67" t="s">
        <v>57</v>
      </c>
    </row>
    <row r="75" spans="2:47" ht="15" customHeight="1">
      <c r="B75" s="6" t="s">
        <v>1120</v>
      </c>
      <c r="C75" s="62">
        <v>4123130739</v>
      </c>
      <c r="G75" s="9">
        <v>25004</v>
      </c>
      <c r="H75" s="6" t="s">
        <v>55</v>
      </c>
      <c r="I75" s="6" t="s">
        <v>34</v>
      </c>
      <c r="L75" s="6" t="s">
        <v>704</v>
      </c>
      <c r="P75" s="6" t="s">
        <v>1121</v>
      </c>
      <c r="Q75" s="67" t="s">
        <v>57</v>
      </c>
      <c r="S75" s="6" t="s">
        <v>246</v>
      </c>
      <c r="T75" s="6" t="s">
        <v>231</v>
      </c>
      <c r="U75" s="6" t="s">
        <v>706</v>
      </c>
      <c r="V75" s="6" t="s">
        <v>1122</v>
      </c>
      <c r="W75" s="6" t="s">
        <v>1123</v>
      </c>
      <c r="AD75" s="6" t="s">
        <v>1124</v>
      </c>
      <c r="AE75" s="6" t="s">
        <v>282</v>
      </c>
      <c r="AH75" s="6" t="s">
        <v>282</v>
      </c>
      <c r="AL75" s="6" t="s">
        <v>231</v>
      </c>
      <c r="AM75" s="6" t="s">
        <v>706</v>
      </c>
      <c r="AQ75" s="6" t="s">
        <v>57</v>
      </c>
      <c r="AU75" s="67" t="s">
        <v>57</v>
      </c>
    </row>
    <row r="76" spans="2:47" ht="15" customHeight="1">
      <c r="B76" s="6" t="s">
        <v>1125</v>
      </c>
      <c r="C76" s="62">
        <v>4508281206</v>
      </c>
      <c r="G76" s="9">
        <v>17440</v>
      </c>
      <c r="H76" s="6" t="s">
        <v>55</v>
      </c>
      <c r="I76" s="6" t="s">
        <v>34</v>
      </c>
      <c r="K76" s="6" t="s">
        <v>704</v>
      </c>
      <c r="P76" s="6" t="s">
        <v>1126</v>
      </c>
      <c r="Q76" s="67" t="s">
        <v>57</v>
      </c>
      <c r="S76" s="6" t="s">
        <v>1127</v>
      </c>
      <c r="T76" s="6" t="s">
        <v>189</v>
      </c>
      <c r="U76" s="6" t="s">
        <v>158</v>
      </c>
      <c r="V76" s="6" t="s">
        <v>212</v>
      </c>
      <c r="W76" s="6" t="s">
        <v>1128</v>
      </c>
      <c r="AE76" s="6" t="s">
        <v>506</v>
      </c>
      <c r="AH76" s="6" t="s">
        <v>506</v>
      </c>
      <c r="AL76" s="6" t="s">
        <v>189</v>
      </c>
      <c r="AM76" s="6" t="s">
        <v>158</v>
      </c>
      <c r="AQ76" s="6" t="s">
        <v>57</v>
      </c>
      <c r="AU76" s="67" t="s">
        <v>57</v>
      </c>
    </row>
    <row r="77" spans="2:47" ht="15" customHeight="1">
      <c r="B77" s="6" t="s">
        <v>1129</v>
      </c>
      <c r="C77" s="62">
        <v>4382535220</v>
      </c>
      <c r="G77" s="9">
        <v>16675</v>
      </c>
      <c r="H77" s="6" t="s">
        <v>55</v>
      </c>
      <c r="I77" s="6" t="s">
        <v>34</v>
      </c>
      <c r="L77" s="6" t="s">
        <v>704</v>
      </c>
      <c r="P77" s="6" t="s">
        <v>1130</v>
      </c>
      <c r="Q77" s="67" t="s">
        <v>57</v>
      </c>
      <c r="S77" s="6" t="s">
        <v>137</v>
      </c>
      <c r="T77" s="6" t="s">
        <v>81</v>
      </c>
      <c r="U77" s="6" t="s">
        <v>73</v>
      </c>
      <c r="V77" s="6" t="s">
        <v>93</v>
      </c>
      <c r="AE77" s="6" t="s">
        <v>92</v>
      </c>
      <c r="AH77" s="6" t="s">
        <v>92</v>
      </c>
      <c r="AL77" s="6" t="s">
        <v>137</v>
      </c>
      <c r="AM77" s="6" t="s">
        <v>81</v>
      </c>
      <c r="AQ77" s="6" t="s">
        <v>57</v>
      </c>
      <c r="AU77" s="67" t="s">
        <v>57</v>
      </c>
    </row>
    <row r="78" spans="2:47" ht="15" customHeight="1">
      <c r="B78" s="6" t="s">
        <v>1131</v>
      </c>
      <c r="C78" s="62">
        <v>4860288254</v>
      </c>
      <c r="G78" s="9">
        <v>21429</v>
      </c>
      <c r="H78" s="6" t="s">
        <v>55</v>
      </c>
      <c r="I78" s="6" t="s">
        <v>34</v>
      </c>
      <c r="K78" s="6" t="s">
        <v>704</v>
      </c>
      <c r="P78" s="6" t="s">
        <v>1132</v>
      </c>
      <c r="Q78" s="67" t="s">
        <v>57</v>
      </c>
      <c r="S78" s="6" t="s">
        <v>71</v>
      </c>
      <c r="T78" s="6" t="s">
        <v>81</v>
      </c>
      <c r="AE78" s="6" t="s">
        <v>77</v>
      </c>
      <c r="AH78" s="6" t="s">
        <v>77</v>
      </c>
      <c r="AL78" s="6" t="s">
        <v>71</v>
      </c>
      <c r="AM78" s="6" t="s">
        <v>81</v>
      </c>
      <c r="AQ78" s="6" t="s">
        <v>57</v>
      </c>
      <c r="AU78" s="67" t="s">
        <v>57</v>
      </c>
    </row>
    <row r="79" spans="2:47" ht="15" customHeight="1">
      <c r="B79" s="6" t="s">
        <v>1133</v>
      </c>
      <c r="C79" s="62">
        <v>4506309790</v>
      </c>
      <c r="G79" s="9">
        <v>21054</v>
      </c>
      <c r="H79" s="6" t="s">
        <v>55</v>
      </c>
      <c r="I79" s="6" t="s">
        <v>34</v>
      </c>
      <c r="L79" s="6" t="s">
        <v>704</v>
      </c>
      <c r="P79" s="6" t="s">
        <v>1134</v>
      </c>
      <c r="Q79" s="67" t="s">
        <v>57</v>
      </c>
      <c r="S79" s="82" t="s">
        <v>717</v>
      </c>
      <c r="T79" s="6" t="s">
        <v>85</v>
      </c>
      <c r="U79" s="6" t="s">
        <v>173</v>
      </c>
      <c r="AD79" s="6" t="s">
        <v>1135</v>
      </c>
      <c r="AE79" s="6" t="s">
        <v>425</v>
      </c>
      <c r="AH79" s="6" t="s">
        <v>425</v>
      </c>
      <c r="AL79" s="6" t="s">
        <v>85</v>
      </c>
      <c r="AM79" s="6" t="s">
        <v>173</v>
      </c>
      <c r="AQ79" s="6" t="s">
        <v>57</v>
      </c>
      <c r="AU79" s="67" t="s">
        <v>57</v>
      </c>
    </row>
    <row r="80" spans="2:47" ht="15" customHeight="1">
      <c r="B80" s="6" t="s">
        <v>1136</v>
      </c>
      <c r="C80" s="62">
        <v>4380972321</v>
      </c>
      <c r="G80" s="9">
        <v>16089</v>
      </c>
      <c r="H80" s="6" t="s">
        <v>55</v>
      </c>
      <c r="I80" s="6" t="s">
        <v>34</v>
      </c>
      <c r="L80" s="6" t="s">
        <v>704</v>
      </c>
      <c r="P80" s="6" t="s">
        <v>1137</v>
      </c>
      <c r="Q80" s="67" t="s">
        <v>57</v>
      </c>
      <c r="S80" s="6" t="s">
        <v>283</v>
      </c>
      <c r="T80" s="6" t="s">
        <v>172</v>
      </c>
      <c r="U80" s="6" t="s">
        <v>212</v>
      </c>
      <c r="V80" s="6" t="s">
        <v>189</v>
      </c>
      <c r="W80" s="6" t="s">
        <v>158</v>
      </c>
      <c r="AD80" s="6" t="s">
        <v>1138</v>
      </c>
      <c r="AE80" s="6" t="s">
        <v>61</v>
      </c>
      <c r="AH80" s="6" t="s">
        <v>61</v>
      </c>
      <c r="AL80" s="6" t="s">
        <v>172</v>
      </c>
      <c r="AM80" s="6" t="s">
        <v>212</v>
      </c>
      <c r="AQ80" s="6" t="s">
        <v>57</v>
      </c>
      <c r="AU80" s="67" t="s">
        <v>57</v>
      </c>
    </row>
    <row r="81" spans="1:47" ht="15" customHeight="1">
      <c r="B81" s="6" t="s">
        <v>1139</v>
      </c>
      <c r="C81" s="62">
        <v>4125396604</v>
      </c>
      <c r="G81" s="9">
        <v>24113</v>
      </c>
      <c r="H81" s="6" t="s">
        <v>55</v>
      </c>
      <c r="I81" s="6" t="s">
        <v>34</v>
      </c>
      <c r="L81" s="6" t="s">
        <v>704</v>
      </c>
      <c r="P81" s="6" t="s">
        <v>1035</v>
      </c>
      <c r="Q81" s="67" t="s">
        <v>57</v>
      </c>
      <c r="AE81" s="6" t="s">
        <v>172</v>
      </c>
      <c r="AU81" s="67" t="s">
        <v>57</v>
      </c>
    </row>
    <row r="82" spans="1:47" ht="15" customHeight="1">
      <c r="B82" s="6" t="s">
        <v>1140</v>
      </c>
      <c r="C82" s="62">
        <v>4125951667</v>
      </c>
      <c r="G82" s="9">
        <v>24303</v>
      </c>
      <c r="H82" s="6" t="s">
        <v>55</v>
      </c>
      <c r="I82" s="6" t="s">
        <v>34</v>
      </c>
      <c r="J82" s="6" t="s">
        <v>704</v>
      </c>
      <c r="P82" s="6" t="s">
        <v>1141</v>
      </c>
      <c r="Q82" s="67" t="s">
        <v>57</v>
      </c>
      <c r="S82" s="6" t="s">
        <v>67</v>
      </c>
      <c r="AE82" s="6" t="s">
        <v>68</v>
      </c>
      <c r="AH82" s="6" t="s">
        <v>68</v>
      </c>
      <c r="AL82" s="6" t="s">
        <v>67</v>
      </c>
      <c r="AQ82" s="6" t="s">
        <v>57</v>
      </c>
      <c r="AU82" s="67" t="s">
        <v>57</v>
      </c>
    </row>
    <row r="83" spans="1:47" ht="15" customHeight="1">
      <c r="B83" s="6" t="s">
        <v>1142</v>
      </c>
      <c r="C83" s="62">
        <v>4107004651</v>
      </c>
      <c r="G83" s="9">
        <v>25155</v>
      </c>
      <c r="H83" s="6" t="s">
        <v>55</v>
      </c>
      <c r="I83" s="6" t="s">
        <v>34</v>
      </c>
      <c r="L83" s="6" t="s">
        <v>704</v>
      </c>
      <c r="P83" s="6" t="s">
        <v>1143</v>
      </c>
      <c r="Q83" s="67" t="s">
        <v>57</v>
      </c>
      <c r="S83" s="6" t="s">
        <v>92</v>
      </c>
      <c r="T83" s="6" t="s">
        <v>73</v>
      </c>
      <c r="U83" s="6" t="s">
        <v>86</v>
      </c>
      <c r="V83" s="6" t="s">
        <v>113</v>
      </c>
      <c r="AE83" s="6" t="s">
        <v>82</v>
      </c>
      <c r="AH83" s="6" t="s">
        <v>82</v>
      </c>
      <c r="AL83" s="6" t="s">
        <v>92</v>
      </c>
      <c r="AM83" s="6" t="s">
        <v>73</v>
      </c>
      <c r="AQ83" s="6" t="s">
        <v>57</v>
      </c>
      <c r="AU83" s="67" t="s">
        <v>57</v>
      </c>
    </row>
    <row r="84" spans="1:47" ht="15" customHeight="1">
      <c r="B84" s="6" t="s">
        <v>1144</v>
      </c>
      <c r="C84" s="62">
        <v>4603390742</v>
      </c>
      <c r="G84" s="9">
        <v>18580</v>
      </c>
      <c r="H84" s="6" t="s">
        <v>55</v>
      </c>
      <c r="I84" s="6" t="s">
        <v>34</v>
      </c>
      <c r="L84" s="6" t="s">
        <v>704</v>
      </c>
      <c r="P84" s="6" t="s">
        <v>1145</v>
      </c>
      <c r="Q84" s="67" t="s">
        <v>57</v>
      </c>
      <c r="S84" s="6" t="s">
        <v>151</v>
      </c>
      <c r="T84" s="6" t="s">
        <v>113</v>
      </c>
      <c r="U84" s="6" t="s">
        <v>85</v>
      </c>
      <c r="V84" s="6" t="s">
        <v>86</v>
      </c>
      <c r="W84" s="6" t="s">
        <v>89</v>
      </c>
      <c r="AD84" s="6" t="s">
        <v>97</v>
      </c>
      <c r="AE84" s="6" t="s">
        <v>149</v>
      </c>
      <c r="AH84" s="6" t="s">
        <v>149</v>
      </c>
      <c r="AI84" s="6" t="s">
        <v>1146</v>
      </c>
      <c r="AL84" s="6" t="s">
        <v>151</v>
      </c>
      <c r="AQ84" s="6" t="s">
        <v>57</v>
      </c>
      <c r="AU84" s="67" t="s">
        <v>57</v>
      </c>
    </row>
    <row r="85" spans="1:47" ht="15" customHeight="1">
      <c r="B85" s="6" t="s">
        <v>1147</v>
      </c>
      <c r="C85" s="62">
        <v>4088905687</v>
      </c>
      <c r="G85" s="9">
        <v>29675</v>
      </c>
      <c r="H85" s="6" t="s">
        <v>55</v>
      </c>
      <c r="I85" s="6" t="s">
        <v>34</v>
      </c>
      <c r="J85" s="6" t="s">
        <v>704</v>
      </c>
      <c r="P85" s="6" t="s">
        <v>239</v>
      </c>
      <c r="Q85" s="67" t="s">
        <v>57</v>
      </c>
      <c r="S85" s="6" t="s">
        <v>113</v>
      </c>
      <c r="T85" s="6" t="s">
        <v>92</v>
      </c>
      <c r="AD85" s="6" t="s">
        <v>274</v>
      </c>
      <c r="AE85" s="6" t="s">
        <v>93</v>
      </c>
      <c r="AH85" s="6" t="s">
        <v>93</v>
      </c>
      <c r="AL85" s="6" t="s">
        <v>113</v>
      </c>
      <c r="AM85" s="6" t="s">
        <v>92</v>
      </c>
      <c r="AQ85" s="6" t="s">
        <v>57</v>
      </c>
      <c r="AU85" s="67" t="s">
        <v>57</v>
      </c>
    </row>
    <row r="86" spans="1:47" ht="15" customHeight="1">
      <c r="B86" s="6" t="s">
        <v>1148</v>
      </c>
      <c r="C86" s="62">
        <v>4583810741</v>
      </c>
      <c r="G86" s="9">
        <v>20740</v>
      </c>
      <c r="H86" s="6" t="s">
        <v>55</v>
      </c>
      <c r="I86" s="6" t="s">
        <v>34</v>
      </c>
      <c r="K86" s="6" t="s">
        <v>704</v>
      </c>
      <c r="AU86" s="67"/>
    </row>
    <row r="87" spans="1:47" ht="15" customHeight="1">
      <c r="B87" s="6" t="s">
        <v>1149</v>
      </c>
      <c r="C87" s="62">
        <v>6378419248</v>
      </c>
      <c r="G87" s="9">
        <v>19568</v>
      </c>
      <c r="H87" s="6" t="s">
        <v>55</v>
      </c>
      <c r="I87" s="6" t="s">
        <v>34</v>
      </c>
      <c r="K87" s="6" t="s">
        <v>704</v>
      </c>
      <c r="P87" s="6" t="s">
        <v>1150</v>
      </c>
      <c r="Q87" s="67" t="s">
        <v>57</v>
      </c>
      <c r="S87" s="6" t="s">
        <v>76</v>
      </c>
      <c r="T87" s="6" t="s">
        <v>431</v>
      </c>
      <c r="U87" s="6" t="s">
        <v>79</v>
      </c>
      <c r="V87" s="6" t="s">
        <v>72</v>
      </c>
      <c r="W87" s="6" t="s">
        <v>1151</v>
      </c>
      <c r="X87" s="6" t="s">
        <v>255</v>
      </c>
      <c r="AE87" s="6" t="s">
        <v>149</v>
      </c>
      <c r="AH87" s="6" t="s">
        <v>149</v>
      </c>
      <c r="AL87" s="6" t="s">
        <v>76</v>
      </c>
      <c r="AN87" s="6" t="s">
        <v>255</v>
      </c>
      <c r="AQ87" s="6" t="s">
        <v>57</v>
      </c>
      <c r="AU87" s="67" t="s">
        <v>57</v>
      </c>
    </row>
    <row r="88" spans="1:47" ht="15" customHeight="1">
      <c r="B88" s="6" t="s">
        <v>1152</v>
      </c>
      <c r="C88" s="62">
        <v>4086911418</v>
      </c>
      <c r="G88" s="9">
        <v>25180</v>
      </c>
      <c r="H88" s="6" t="s">
        <v>55</v>
      </c>
      <c r="I88" s="6" t="s">
        <v>34</v>
      </c>
      <c r="L88" s="6" t="s">
        <v>704</v>
      </c>
      <c r="P88" s="6" t="s">
        <v>1153</v>
      </c>
      <c r="Q88" s="67" t="s">
        <v>57</v>
      </c>
      <c r="S88" s="6" t="s">
        <v>72</v>
      </c>
      <c r="T88" s="6" t="s">
        <v>79</v>
      </c>
      <c r="U88" s="6" t="s">
        <v>76</v>
      </c>
      <c r="V88" s="6" t="s">
        <v>149</v>
      </c>
      <c r="W88" s="6" t="s">
        <v>1154</v>
      </c>
      <c r="AD88" s="6" t="s">
        <v>1155</v>
      </c>
      <c r="AE88" s="6" t="s">
        <v>71</v>
      </c>
      <c r="AH88" s="6" t="s">
        <v>71</v>
      </c>
      <c r="AL88" s="6" t="s">
        <v>72</v>
      </c>
      <c r="AM88" s="6" t="s">
        <v>79</v>
      </c>
      <c r="AQ88" s="6" t="s">
        <v>57</v>
      </c>
      <c r="AU88" s="67" t="s">
        <v>57</v>
      </c>
    </row>
    <row r="89" spans="1:47" ht="15" customHeight="1">
      <c r="B89" s="6" t="s">
        <v>1156</v>
      </c>
      <c r="C89" s="62">
        <v>4866394544</v>
      </c>
      <c r="G89" s="9">
        <v>18847</v>
      </c>
      <c r="H89" s="6" t="s">
        <v>55</v>
      </c>
      <c r="I89" s="6" t="s">
        <v>34</v>
      </c>
      <c r="L89" s="6" t="s">
        <v>704</v>
      </c>
      <c r="P89" s="6" t="s">
        <v>1157</v>
      </c>
      <c r="Q89" s="67" t="s">
        <v>57</v>
      </c>
      <c r="S89" s="6" t="s">
        <v>82</v>
      </c>
      <c r="T89" s="6" t="s">
        <v>113</v>
      </c>
      <c r="U89" s="6" t="s">
        <v>73</v>
      </c>
      <c r="AD89" s="6" t="s">
        <v>1158</v>
      </c>
      <c r="AE89" s="6" t="s">
        <v>81</v>
      </c>
      <c r="AH89" s="6" t="s">
        <v>81</v>
      </c>
      <c r="AL89" s="6" t="s">
        <v>82</v>
      </c>
      <c r="AM89" s="6" t="s">
        <v>113</v>
      </c>
      <c r="AQ89" s="6" t="s">
        <v>57</v>
      </c>
      <c r="AU89" s="67" t="s">
        <v>57</v>
      </c>
    </row>
    <row r="90" spans="1:47" ht="15" customHeight="1">
      <c r="B90" s="6" t="s">
        <v>1159</v>
      </c>
      <c r="C90" s="62">
        <v>4861189004</v>
      </c>
      <c r="G90" s="9">
        <v>21377</v>
      </c>
      <c r="H90" s="6" t="s">
        <v>55</v>
      </c>
      <c r="I90" s="6" t="s">
        <v>34</v>
      </c>
      <c r="J90" s="6" t="s">
        <v>704</v>
      </c>
      <c r="P90" s="6" t="s">
        <v>1160</v>
      </c>
      <c r="Q90" s="67" t="s">
        <v>57</v>
      </c>
      <c r="S90" s="6" t="s">
        <v>189</v>
      </c>
      <c r="AD90" s="6" t="s">
        <v>78</v>
      </c>
      <c r="AE90" s="6" t="s">
        <v>248</v>
      </c>
      <c r="AH90" s="6" t="s">
        <v>248</v>
      </c>
      <c r="AL90" s="6" t="s">
        <v>189</v>
      </c>
      <c r="AQ90" s="6" t="s">
        <v>57</v>
      </c>
      <c r="AU90" s="67" t="s">
        <v>57</v>
      </c>
    </row>
    <row r="91" spans="1:47" ht="15" customHeight="1">
      <c r="B91" s="6" t="s">
        <v>1161</v>
      </c>
      <c r="C91" s="62">
        <v>6069824083</v>
      </c>
      <c r="G91" s="9">
        <v>34125</v>
      </c>
      <c r="H91" s="6" t="s">
        <v>55</v>
      </c>
      <c r="I91" s="6" t="s">
        <v>34</v>
      </c>
      <c r="L91" s="6" t="s">
        <v>704</v>
      </c>
      <c r="P91" s="6" t="s">
        <v>562</v>
      </c>
      <c r="Q91" s="67" t="s">
        <v>57</v>
      </c>
      <c r="S91" s="6" t="s">
        <v>231</v>
      </c>
      <c r="T91" s="6" t="s">
        <v>160</v>
      </c>
      <c r="AD91" s="6" t="s">
        <v>706</v>
      </c>
      <c r="AE91" s="6" t="s">
        <v>247</v>
      </c>
      <c r="AH91" s="6" t="s">
        <v>247</v>
      </c>
      <c r="AL91" s="6" t="s">
        <v>231</v>
      </c>
      <c r="AM91" s="6" t="s">
        <v>160</v>
      </c>
      <c r="AQ91" s="6" t="s">
        <v>57</v>
      </c>
      <c r="AU91" s="67" t="s">
        <v>57</v>
      </c>
    </row>
    <row r="92" spans="1:47" ht="15" customHeight="1">
      <c r="B92" s="6" t="s">
        <v>1162</v>
      </c>
      <c r="C92" s="62">
        <v>6264745790</v>
      </c>
      <c r="G92" s="9">
        <v>27031</v>
      </c>
      <c r="H92" s="6" t="s">
        <v>55</v>
      </c>
      <c r="I92" s="6" t="s">
        <v>34</v>
      </c>
      <c r="L92" s="6" t="s">
        <v>704</v>
      </c>
      <c r="P92" s="6" t="s">
        <v>1163</v>
      </c>
      <c r="Q92" s="67" t="s">
        <v>57</v>
      </c>
      <c r="AU92" s="67" t="s">
        <v>57</v>
      </c>
    </row>
    <row r="94" spans="1:47" ht="15" customHeight="1">
      <c r="A94" s="73">
        <f>COUNTA(Table1345[Rejected])</f>
        <v>1</v>
      </c>
      <c r="B94" s="73">
        <f>COUNTA(Table1345[Specimen number])</f>
        <v>88</v>
      </c>
      <c r="C94" s="73">
        <f>COUNTA(Table1345[NHS numbers])</f>
        <v>88</v>
      </c>
      <c r="D94" s="73">
        <f>COUNTA(Table1345[Tissue Pathway])</f>
        <v>1</v>
      </c>
      <c r="E94" s="73">
        <f>COUNTA(Table1345[Specimen List Notes])</f>
        <v>0</v>
      </c>
      <c r="F94" s="73">
        <f>COUNTA(Table1345[Patient Info Notes])</f>
        <v>1</v>
      </c>
      <c r="G94" s="73">
        <f>COUNTA(Table1345[DOB])</f>
        <v>88</v>
      </c>
      <c r="H94" s="73">
        <f>COUNTA(Table1345[Gender])</f>
        <v>88</v>
      </c>
      <c r="I94" s="73">
        <f>COUNTA(Table1345[Dissent Y/N])</f>
        <v>88</v>
      </c>
      <c r="J94" s="73">
        <f>COUNTA(Table1345[Consent])</f>
        <v>28</v>
      </c>
      <c r="K94" s="73">
        <f>COUNTA(Table1345[Form Incomplete])</f>
        <v>33</v>
      </c>
      <c r="L94" s="73">
        <f>COUNTA(Table1345[Form missing])</f>
        <v>29</v>
      </c>
      <c r="M94" s="73">
        <f>COUNTA(Table1345[No. small slides from CellNass])</f>
        <v>1</v>
      </c>
      <c r="N94" s="73">
        <f>COUNTA(Table1345[No. large slides from CellNass])</f>
        <v>1</v>
      </c>
      <c r="O94" s="73">
        <f>COUNTA(Table1345[Total no. of slides recieved from CellNass])</f>
        <v>1</v>
      </c>
      <c r="P94" s="73">
        <f>COUNTA(Table1345[Slides Collected])</f>
        <v>87</v>
      </c>
      <c r="Q94" s="73">
        <f>COUNTA(Table1345[CoPath (SC)])</f>
        <v>87</v>
      </c>
      <c r="R94" s="73">
        <f>COUNTA(Table1345[Slides Missing (if any…)])</f>
        <v>1</v>
      </c>
      <c r="S94" s="73">
        <f>COUNTA(Table1345[P1])</f>
        <v>74</v>
      </c>
      <c r="T94" s="73">
        <f>COUNTA(Table1345[P2])</f>
        <v>69</v>
      </c>
      <c r="U94" s="73">
        <f>COUNTA(Table1345[P3])</f>
        <v>61</v>
      </c>
      <c r="V94" s="73">
        <f>COUNTA(Table1345[P4])</f>
        <v>45</v>
      </c>
      <c r="W94" s="73">
        <f>COUNTA(Table1345[P5])</f>
        <v>31</v>
      </c>
      <c r="X94" s="73">
        <f>COUNTA(Table1345[M1])</f>
        <v>5</v>
      </c>
      <c r="Y94" s="73">
        <f>COUNTA(Table1345[M2])</f>
        <v>4</v>
      </c>
      <c r="Z94" s="73">
        <f>COUNTA(Table1345[M3])</f>
        <v>3</v>
      </c>
      <c r="AA94" s="73">
        <f>COUNTA(Table1345[M4])</f>
        <v>3</v>
      </c>
      <c r="AB94" s="73">
        <f>COUNTA(Table1345[M5])</f>
        <v>3</v>
      </c>
      <c r="AC94" s="73">
        <f>COUNTA(Table1345[N])</f>
        <v>0</v>
      </c>
      <c r="AD94" s="73">
        <f>COUNTA(Table1345[S])</f>
        <v>21</v>
      </c>
      <c r="AE94" s="73">
        <f>COUNTA(Table1345[X])</f>
        <v>78</v>
      </c>
      <c r="AF94" s="73">
        <f>COUNTA(Table1345[CoPath (SS)])</f>
        <v>1</v>
      </c>
      <c r="AG94" s="73">
        <f>COUNTA(Table1345[Selected Slides Notes])</f>
        <v>0</v>
      </c>
      <c r="AH94" s="73">
        <f>COUNTA(Table1345[X Blocks in Archive])</f>
        <v>74</v>
      </c>
      <c r="AI94" s="73">
        <f>COUNTA(Table1345[X Blocks missing from Archive])</f>
        <v>2</v>
      </c>
      <c r="AJ94" s="73">
        <f>COUNTA(Table1345[Blocks recieved from CellNass])</f>
        <v>1</v>
      </c>
      <c r="AK94" s="73">
        <f>COUNTA(Table1345[Block Collection Notes])</f>
        <v>1</v>
      </c>
      <c r="AL94" s="73">
        <f>COUNTA(Table1345[BP1])</f>
        <v>74</v>
      </c>
      <c r="AM94" s="73">
        <f>COUNTA(Table1345[BP2])</f>
        <v>65</v>
      </c>
      <c r="AN94" s="73">
        <f>COUNTA(Table1345[BM1])</f>
        <v>5</v>
      </c>
      <c r="AO94" s="73">
        <f>COUNTA(Table1345[BM2])</f>
        <v>1</v>
      </c>
      <c r="AP94" s="73">
        <f>COUNTA(Table1345[BN1])</f>
        <v>1</v>
      </c>
      <c r="AQ94" s="73">
        <f>COUNTA(Table1345[CoPath (BC)])</f>
        <v>74</v>
      </c>
      <c r="AR94" s="73">
        <f>COUNTA(Table1345[CoPath (Tristar)])</f>
        <v>1</v>
      </c>
      <c r="AS94" s="73">
        <f>COUNTA(Table1345[Block Shipment Notes])</f>
        <v>1</v>
      </c>
      <c r="AT94" s="73">
        <f>COUNTA(Table1345[Scanned?])</f>
        <v>1</v>
      </c>
      <c r="AU94" s="73">
        <f>COUNTA(Table1345[CoPath (post scan)])</f>
        <v>87</v>
      </c>
    </row>
  </sheetData>
  <mergeCells count="1">
    <mergeCell ref="AH1:AS1"/>
  </mergeCells>
  <conditionalFormatting sqref="A3:A4">
    <cfRule type="duplicateValues" dxfId="77" priority="1"/>
  </conditionalFormatting>
  <pageMargins left="0.7" right="0.7" top="0.75" bottom="0.75" header="0.3" footer="0.3"/>
  <pageSetup paperSize="9" fitToWidth="0" orientation="portrait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C200"/>
  <sheetViews>
    <sheetView topLeftCell="N1" workbookViewId="0">
      <selection activeCell="Y5" sqref="Y5"/>
    </sheetView>
  </sheetViews>
  <sheetFormatPr defaultRowHeight="15.75"/>
  <cols>
    <col min="1" max="1" width="21" customWidth="1"/>
    <col min="2" max="2" width="11.875" customWidth="1"/>
    <col min="3" max="3" width="9.75" bestFit="1" customWidth="1"/>
    <col min="7" max="7" width="21.375" bestFit="1" customWidth="1"/>
    <col min="8" max="8" width="11" bestFit="1" customWidth="1"/>
    <col min="9" max="9" width="9.75" bestFit="1" customWidth="1"/>
    <col min="13" max="13" width="14.25" customWidth="1"/>
    <col min="14" max="14" width="11" style="27" bestFit="1" customWidth="1"/>
    <col min="15" max="15" width="9.75" bestFit="1" customWidth="1"/>
    <col min="19" max="19" width="21.375" bestFit="1" customWidth="1"/>
    <col min="20" max="20" width="11" bestFit="1" customWidth="1"/>
    <col min="25" max="25" width="12" bestFit="1" customWidth="1"/>
    <col min="26" max="26" width="11" bestFit="1" customWidth="1"/>
    <col min="27" max="27" width="9.75" bestFit="1" customWidth="1"/>
  </cols>
  <sheetData>
    <row r="1" spans="1:29" s="103" customFormat="1">
      <c r="A1" s="103" t="s">
        <v>1164</v>
      </c>
      <c r="G1" s="103" t="s">
        <v>1165</v>
      </c>
      <c r="M1" s="103" t="s">
        <v>1166</v>
      </c>
      <c r="N1" s="104"/>
      <c r="S1" s="103" t="s">
        <v>1167</v>
      </c>
      <c r="Y1" s="103" t="s">
        <v>1168</v>
      </c>
    </row>
    <row r="3" spans="1:29">
      <c r="B3" s="1"/>
      <c r="C3" s="1"/>
      <c r="D3" s="111" t="s">
        <v>1169</v>
      </c>
      <c r="E3" s="111"/>
      <c r="H3" s="1"/>
      <c r="I3" s="1"/>
      <c r="J3" s="2" t="s">
        <v>1169</v>
      </c>
      <c r="K3" s="2"/>
      <c r="N3" s="101"/>
      <c r="O3" s="1"/>
      <c r="P3" s="2" t="s">
        <v>1169</v>
      </c>
      <c r="Q3" s="2"/>
      <c r="T3" s="1"/>
      <c r="U3" s="1"/>
      <c r="V3" s="111" t="s">
        <v>1169</v>
      </c>
      <c r="W3" s="111"/>
      <c r="Z3" s="1"/>
      <c r="AA3" s="1"/>
      <c r="AB3" s="111" t="s">
        <v>1169</v>
      </c>
      <c r="AC3" s="111"/>
    </row>
    <row r="4" spans="1:29" ht="32.25" customHeight="1">
      <c r="A4" s="24" t="s">
        <v>7</v>
      </c>
      <c r="B4" s="1" t="s">
        <v>1170</v>
      </c>
      <c r="C4" s="1" t="s">
        <v>1171</v>
      </c>
      <c r="D4" s="2" t="s">
        <v>1172</v>
      </c>
      <c r="E4" s="2" t="s">
        <v>1173</v>
      </c>
      <c r="G4" s="24" t="s">
        <v>7</v>
      </c>
      <c r="H4" s="1" t="s">
        <v>1170</v>
      </c>
      <c r="I4" s="1" t="s">
        <v>1171</v>
      </c>
      <c r="J4" s="2" t="s">
        <v>1172</v>
      </c>
      <c r="K4" s="2" t="s">
        <v>1173</v>
      </c>
      <c r="M4" s="24" t="s">
        <v>7</v>
      </c>
      <c r="N4" s="1" t="s">
        <v>1170</v>
      </c>
      <c r="O4" s="1" t="s">
        <v>1171</v>
      </c>
      <c r="P4" s="2" t="s">
        <v>1172</v>
      </c>
      <c r="Q4" s="2" t="s">
        <v>1173</v>
      </c>
      <c r="S4" s="24" t="s">
        <v>7</v>
      </c>
      <c r="T4" s="1" t="s">
        <v>1170</v>
      </c>
      <c r="U4" s="1" t="s">
        <v>1171</v>
      </c>
      <c r="V4" s="2" t="s">
        <v>1172</v>
      </c>
      <c r="W4" s="2" t="s">
        <v>1173</v>
      </c>
      <c r="Y4" s="24" t="s">
        <v>7</v>
      </c>
      <c r="Z4" s="1" t="s">
        <v>1170</v>
      </c>
      <c r="AA4" s="1" t="s">
        <v>1171</v>
      </c>
      <c r="AB4" s="2" t="s">
        <v>1172</v>
      </c>
      <c r="AC4" s="2" t="s">
        <v>1173</v>
      </c>
    </row>
    <row r="5" spans="1:29">
      <c r="A5" s="27" t="s">
        <v>53</v>
      </c>
      <c r="B5" s="27" t="s">
        <v>58</v>
      </c>
      <c r="C5" t="s">
        <v>1174</v>
      </c>
      <c r="D5" t="s">
        <v>1175</v>
      </c>
      <c r="E5" t="s">
        <v>1176</v>
      </c>
      <c r="G5" t="s">
        <v>303</v>
      </c>
      <c r="H5" t="s">
        <v>76</v>
      </c>
      <c r="I5" t="s">
        <v>1174</v>
      </c>
      <c r="J5" t="s">
        <v>1175</v>
      </c>
      <c r="K5" t="s">
        <v>1176</v>
      </c>
      <c r="M5" t="s">
        <v>672</v>
      </c>
      <c r="N5" s="27" t="s">
        <v>116</v>
      </c>
      <c r="O5" t="s">
        <v>1174</v>
      </c>
      <c r="P5" t="s">
        <v>1175</v>
      </c>
      <c r="Q5" t="s">
        <v>1176</v>
      </c>
      <c r="S5" t="s">
        <v>956</v>
      </c>
      <c r="T5" t="s">
        <v>212</v>
      </c>
      <c r="U5" t="s">
        <v>1174</v>
      </c>
      <c r="V5" t="s">
        <v>1175</v>
      </c>
      <c r="W5" t="s">
        <v>1176</v>
      </c>
      <c r="Y5" t="s">
        <v>300</v>
      </c>
      <c r="Z5" t="s">
        <v>92</v>
      </c>
      <c r="AA5" t="s">
        <v>1177</v>
      </c>
    </row>
    <row r="6" spans="1:29">
      <c r="A6" s="27" t="s">
        <v>53</v>
      </c>
      <c r="B6" s="27" t="s">
        <v>63</v>
      </c>
      <c r="C6" t="s">
        <v>1177</v>
      </c>
      <c r="D6" t="s">
        <v>1175</v>
      </c>
      <c r="E6" t="s">
        <v>1176</v>
      </c>
      <c r="G6" t="s">
        <v>303</v>
      </c>
      <c r="H6" t="s">
        <v>113</v>
      </c>
      <c r="I6" t="s">
        <v>1174</v>
      </c>
      <c r="J6" t="s">
        <v>1175</v>
      </c>
      <c r="K6" t="s">
        <v>1176</v>
      </c>
      <c r="M6" t="s">
        <v>672</v>
      </c>
      <c r="N6" s="27" t="s">
        <v>92</v>
      </c>
      <c r="O6" t="s">
        <v>1174</v>
      </c>
      <c r="P6" t="s">
        <v>1175</v>
      </c>
      <c r="Q6" t="s">
        <v>1176</v>
      </c>
      <c r="S6" t="s">
        <v>956</v>
      </c>
      <c r="T6" t="s">
        <v>189</v>
      </c>
      <c r="U6" t="s">
        <v>1174</v>
      </c>
      <c r="V6" t="s">
        <v>1175</v>
      </c>
      <c r="W6" t="s">
        <v>1176</v>
      </c>
      <c r="Y6" t="s">
        <v>300</v>
      </c>
      <c r="Z6" t="s">
        <v>93</v>
      </c>
      <c r="AA6" t="s">
        <v>1177</v>
      </c>
    </row>
    <row r="7" spans="1:29">
      <c r="A7" s="27" t="s">
        <v>65</v>
      </c>
      <c r="B7" s="27" t="s">
        <v>67</v>
      </c>
      <c r="C7" t="s">
        <v>1174</v>
      </c>
      <c r="D7" t="s">
        <v>1175</v>
      </c>
      <c r="E7" t="s">
        <v>1176</v>
      </c>
      <c r="G7" t="s">
        <v>306</v>
      </c>
      <c r="H7" t="s">
        <v>73</v>
      </c>
      <c r="I7" t="s">
        <v>1174</v>
      </c>
      <c r="J7" t="s">
        <v>1175</v>
      </c>
      <c r="K7" t="s">
        <v>1176</v>
      </c>
      <c r="M7" t="s">
        <v>676</v>
      </c>
      <c r="N7" s="27" t="s">
        <v>124</v>
      </c>
      <c r="O7" t="s">
        <v>1174</v>
      </c>
      <c r="P7" t="s">
        <v>1175</v>
      </c>
      <c r="Q7" t="s">
        <v>1176</v>
      </c>
      <c r="S7" t="s">
        <v>958</v>
      </c>
      <c r="T7" t="s">
        <v>960</v>
      </c>
      <c r="U7" t="s">
        <v>1174</v>
      </c>
      <c r="V7" t="s">
        <v>1175</v>
      </c>
      <c r="W7" t="s">
        <v>1176</v>
      </c>
    </row>
    <row r="8" spans="1:29">
      <c r="A8" s="27" t="s">
        <v>69</v>
      </c>
      <c r="B8" s="27" t="s">
        <v>71</v>
      </c>
      <c r="C8" t="s">
        <v>1174</v>
      </c>
      <c r="D8" t="s">
        <v>1175</v>
      </c>
      <c r="E8" t="s">
        <v>1176</v>
      </c>
      <c r="G8" t="s">
        <v>306</v>
      </c>
      <c r="H8" t="s">
        <v>92</v>
      </c>
      <c r="I8" t="s">
        <v>1174</v>
      </c>
      <c r="J8" t="s">
        <v>1175</v>
      </c>
      <c r="K8" t="s">
        <v>1176</v>
      </c>
      <c r="M8" t="s">
        <v>676</v>
      </c>
      <c r="N8" s="27" t="s">
        <v>92</v>
      </c>
      <c r="O8" t="s">
        <v>1174</v>
      </c>
      <c r="P8" t="s">
        <v>1175</v>
      </c>
      <c r="Q8" t="s">
        <v>1176</v>
      </c>
      <c r="S8" t="s">
        <v>958</v>
      </c>
      <c r="T8" t="s">
        <v>92</v>
      </c>
      <c r="U8" t="s">
        <v>1174</v>
      </c>
      <c r="V8" t="s">
        <v>1175</v>
      </c>
      <c r="W8" t="s">
        <v>1176</v>
      </c>
      <c r="Y8" s="3" t="s">
        <v>1178</v>
      </c>
      <c r="AA8" s="4">
        <f>COUNTA(_xlfn.UNIQUE(Y5:Y6))</f>
        <v>1</v>
      </c>
    </row>
    <row r="9" spans="1:29">
      <c r="A9" s="27" t="s">
        <v>69</v>
      </c>
      <c r="B9" s="27" t="s">
        <v>72</v>
      </c>
      <c r="C9" t="s">
        <v>1174</v>
      </c>
      <c r="D9" t="s">
        <v>1175</v>
      </c>
      <c r="E9" t="s">
        <v>1176</v>
      </c>
      <c r="G9" t="s">
        <v>309</v>
      </c>
      <c r="H9" t="s">
        <v>72</v>
      </c>
      <c r="I9" t="s">
        <v>1174</v>
      </c>
      <c r="J9" t="s">
        <v>1175</v>
      </c>
      <c r="K9" t="s">
        <v>1176</v>
      </c>
      <c r="M9" t="s">
        <v>679</v>
      </c>
      <c r="N9" s="27">
        <v>1</v>
      </c>
      <c r="O9" t="s">
        <v>1177</v>
      </c>
      <c r="P9" t="s">
        <v>1175</v>
      </c>
      <c r="Q9" t="s">
        <v>1176</v>
      </c>
      <c r="S9" t="s">
        <v>961</v>
      </c>
      <c r="T9" t="s">
        <v>67</v>
      </c>
      <c r="U9" t="s">
        <v>1174</v>
      </c>
      <c r="V9" t="s">
        <v>1175</v>
      </c>
      <c r="W9" t="s">
        <v>1176</v>
      </c>
    </row>
    <row r="10" spans="1:29">
      <c r="A10" s="27" t="s">
        <v>74</v>
      </c>
      <c r="B10" s="27" t="s">
        <v>72</v>
      </c>
      <c r="C10" t="s">
        <v>1174</v>
      </c>
      <c r="D10" t="s">
        <v>1175</v>
      </c>
      <c r="E10" t="s">
        <v>1176</v>
      </c>
      <c r="G10" t="s">
        <v>309</v>
      </c>
      <c r="H10" t="s">
        <v>312</v>
      </c>
      <c r="I10" t="s">
        <v>1177</v>
      </c>
      <c r="J10" t="s">
        <v>1175</v>
      </c>
      <c r="K10" t="s">
        <v>1176</v>
      </c>
      <c r="M10" t="s">
        <v>682</v>
      </c>
      <c r="N10" s="27" t="s">
        <v>124</v>
      </c>
      <c r="O10" t="s">
        <v>1174</v>
      </c>
      <c r="P10" t="s">
        <v>1175</v>
      </c>
      <c r="Q10" t="s">
        <v>1176</v>
      </c>
      <c r="S10" t="s">
        <v>961</v>
      </c>
      <c r="T10" t="s">
        <v>68</v>
      </c>
      <c r="U10" t="s">
        <v>1174</v>
      </c>
      <c r="V10" t="s">
        <v>1175</v>
      </c>
      <c r="W10" t="s">
        <v>1176</v>
      </c>
      <c r="Y10" s="3" t="s">
        <v>1179</v>
      </c>
      <c r="AA10" s="4">
        <f>COUNTIF(AA5:AA6, "Primary")</f>
        <v>0</v>
      </c>
    </row>
    <row r="11" spans="1:29">
      <c r="A11" s="27" t="s">
        <v>74</v>
      </c>
      <c r="B11" s="27" t="s">
        <v>76</v>
      </c>
      <c r="C11" t="s">
        <v>1174</v>
      </c>
      <c r="D11" t="s">
        <v>1175</v>
      </c>
      <c r="E11" t="s">
        <v>1176</v>
      </c>
      <c r="G11" t="s">
        <v>315</v>
      </c>
      <c r="H11" t="s">
        <v>73</v>
      </c>
      <c r="I11" t="s">
        <v>1174</v>
      </c>
      <c r="J11" t="s">
        <v>1175</v>
      </c>
      <c r="K11" t="s">
        <v>1176</v>
      </c>
      <c r="M11" t="s">
        <v>685</v>
      </c>
      <c r="N11" s="27" t="s">
        <v>137</v>
      </c>
      <c r="O11" t="s">
        <v>1174</v>
      </c>
      <c r="P11" t="s">
        <v>1175</v>
      </c>
      <c r="Q11" t="s">
        <v>1176</v>
      </c>
      <c r="S11" t="s">
        <v>965</v>
      </c>
      <c r="T11" t="s">
        <v>950</v>
      </c>
      <c r="U11" t="s">
        <v>1174</v>
      </c>
      <c r="V11" t="s">
        <v>1175</v>
      </c>
      <c r="W11" t="s">
        <v>1176</v>
      </c>
      <c r="Y11" s="3" t="s">
        <v>1180</v>
      </c>
      <c r="AA11" s="4">
        <f>COUNTIF(AA5:AA6, "Metastatic")</f>
        <v>2</v>
      </c>
    </row>
    <row r="12" spans="1:29">
      <c r="A12" s="27" t="s">
        <v>80</v>
      </c>
      <c r="B12" s="27" t="s">
        <v>81</v>
      </c>
      <c r="C12" t="s">
        <v>1174</v>
      </c>
      <c r="D12" t="s">
        <v>1175</v>
      </c>
      <c r="E12" t="s">
        <v>1176</v>
      </c>
      <c r="G12" t="s">
        <v>315</v>
      </c>
      <c r="H12" t="s">
        <v>64</v>
      </c>
      <c r="I12" t="s">
        <v>1174</v>
      </c>
      <c r="J12" t="s">
        <v>1175</v>
      </c>
      <c r="K12" t="s">
        <v>1176</v>
      </c>
      <c r="M12" t="s">
        <v>685</v>
      </c>
      <c r="N12" s="27" t="s">
        <v>92</v>
      </c>
      <c r="O12" t="s">
        <v>1174</v>
      </c>
      <c r="P12" t="s">
        <v>1175</v>
      </c>
      <c r="Q12" t="s">
        <v>1176</v>
      </c>
      <c r="S12" t="s">
        <v>965</v>
      </c>
      <c r="T12" t="s">
        <v>265</v>
      </c>
      <c r="U12" t="s">
        <v>1174</v>
      </c>
      <c r="V12" t="s">
        <v>1175</v>
      </c>
      <c r="W12" t="s">
        <v>1176</v>
      </c>
      <c r="Y12" s="3" t="s">
        <v>1181</v>
      </c>
      <c r="AA12" s="4">
        <f>COUNTIF(AA5:AA6, "Normal")</f>
        <v>0</v>
      </c>
    </row>
    <row r="13" spans="1:29">
      <c r="A13" s="27" t="s">
        <v>83</v>
      </c>
      <c r="B13" s="27" t="s">
        <v>85</v>
      </c>
      <c r="C13" t="s">
        <v>1174</v>
      </c>
      <c r="D13" t="s">
        <v>1175</v>
      </c>
      <c r="E13" t="s">
        <v>1176</v>
      </c>
      <c r="G13" t="s">
        <v>319</v>
      </c>
      <c r="H13" t="s">
        <v>89</v>
      </c>
      <c r="I13" t="s">
        <v>1174</v>
      </c>
      <c r="J13" t="s">
        <v>1175</v>
      </c>
      <c r="K13" t="s">
        <v>1176</v>
      </c>
      <c r="M13" t="s">
        <v>689</v>
      </c>
      <c r="N13" s="27" t="s">
        <v>82</v>
      </c>
      <c r="O13" t="s">
        <v>1174</v>
      </c>
      <c r="P13" t="s">
        <v>1175</v>
      </c>
      <c r="Q13" t="s">
        <v>1176</v>
      </c>
      <c r="S13" t="s">
        <v>968</v>
      </c>
      <c r="T13" t="s">
        <v>85</v>
      </c>
      <c r="U13" t="s">
        <v>1174</v>
      </c>
      <c r="V13" t="s">
        <v>1175</v>
      </c>
      <c r="W13" t="s">
        <v>1176</v>
      </c>
      <c r="Y13" s="5"/>
      <c r="AA13" s="25"/>
    </row>
    <row r="14" spans="1:29">
      <c r="A14" t="s">
        <v>83</v>
      </c>
      <c r="B14" s="27" t="s">
        <v>86</v>
      </c>
      <c r="C14" t="s">
        <v>1174</v>
      </c>
      <c r="D14" t="s">
        <v>1175</v>
      </c>
      <c r="E14" t="s">
        <v>1176</v>
      </c>
      <c r="G14" t="s">
        <v>319</v>
      </c>
      <c r="H14" t="s">
        <v>322</v>
      </c>
      <c r="I14" t="s">
        <v>1177</v>
      </c>
      <c r="J14" t="s">
        <v>1175</v>
      </c>
      <c r="K14" t="s">
        <v>1176</v>
      </c>
      <c r="M14" t="s">
        <v>689</v>
      </c>
      <c r="N14" s="27" t="s">
        <v>86</v>
      </c>
      <c r="O14" t="s">
        <v>1174</v>
      </c>
      <c r="P14" t="s">
        <v>1175</v>
      </c>
      <c r="Q14" t="s">
        <v>1176</v>
      </c>
      <c r="S14" t="s">
        <v>968</v>
      </c>
      <c r="T14" t="s">
        <v>89</v>
      </c>
      <c r="U14" t="s">
        <v>1174</v>
      </c>
      <c r="V14" t="s">
        <v>1175</v>
      </c>
      <c r="W14" t="s">
        <v>1176</v>
      </c>
      <c r="Y14" s="3" t="s">
        <v>1182</v>
      </c>
      <c r="AA14" s="26">
        <f>SUM(AA10:AA12)</f>
        <v>2</v>
      </c>
    </row>
    <row r="15" spans="1:29">
      <c r="A15" t="s">
        <v>90</v>
      </c>
      <c r="B15" t="s">
        <v>92</v>
      </c>
      <c r="C15" t="s">
        <v>1174</v>
      </c>
      <c r="D15" t="s">
        <v>1175</v>
      </c>
      <c r="E15" t="s">
        <v>1176</v>
      </c>
      <c r="G15" t="s">
        <v>325</v>
      </c>
      <c r="H15" t="s">
        <v>124</v>
      </c>
      <c r="I15" t="s">
        <v>1174</v>
      </c>
      <c r="J15" t="s">
        <v>1175</v>
      </c>
      <c r="K15" t="s">
        <v>1176</v>
      </c>
      <c r="M15" t="s">
        <v>692</v>
      </c>
      <c r="N15" s="27" t="s">
        <v>424</v>
      </c>
      <c r="O15" t="s">
        <v>1177</v>
      </c>
      <c r="P15" t="s">
        <v>1175</v>
      </c>
      <c r="Q15" t="s">
        <v>1176</v>
      </c>
      <c r="S15" t="s">
        <v>972</v>
      </c>
      <c r="T15" t="s">
        <v>73</v>
      </c>
      <c r="U15" t="s">
        <v>1174</v>
      </c>
      <c r="V15" t="s">
        <v>1175</v>
      </c>
      <c r="W15" t="s">
        <v>1183</v>
      </c>
    </row>
    <row r="16" spans="1:29">
      <c r="A16" t="s">
        <v>94</v>
      </c>
      <c r="B16" t="s">
        <v>96</v>
      </c>
      <c r="C16" t="s">
        <v>1174</v>
      </c>
      <c r="D16" t="s">
        <v>1175</v>
      </c>
      <c r="E16" t="s">
        <v>1176</v>
      </c>
      <c r="G16" t="s">
        <v>325</v>
      </c>
      <c r="H16" t="s">
        <v>85</v>
      </c>
      <c r="I16" t="s">
        <v>1174</v>
      </c>
      <c r="J16" t="s">
        <v>1175</v>
      </c>
      <c r="K16" t="s">
        <v>1176</v>
      </c>
      <c r="M16" t="s">
        <v>692</v>
      </c>
      <c r="N16" s="27" t="s">
        <v>694</v>
      </c>
      <c r="O16" t="s">
        <v>1177</v>
      </c>
      <c r="P16" t="s">
        <v>1175</v>
      </c>
      <c r="Q16" t="s">
        <v>1176</v>
      </c>
      <c r="S16" t="s">
        <v>972</v>
      </c>
      <c r="T16" t="s">
        <v>137</v>
      </c>
      <c r="U16" t="s">
        <v>1174</v>
      </c>
      <c r="V16" t="s">
        <v>1175</v>
      </c>
      <c r="W16" t="s">
        <v>1183</v>
      </c>
    </row>
    <row r="17" spans="1:23">
      <c r="A17" t="s">
        <v>94</v>
      </c>
      <c r="B17" t="s">
        <v>97</v>
      </c>
      <c r="C17" t="s">
        <v>1174</v>
      </c>
      <c r="D17" t="s">
        <v>1175</v>
      </c>
      <c r="E17" t="s">
        <v>1176</v>
      </c>
      <c r="G17" t="s">
        <v>327</v>
      </c>
      <c r="H17" t="s">
        <v>137</v>
      </c>
      <c r="I17" t="s">
        <v>1174</v>
      </c>
      <c r="J17" t="s">
        <v>1175</v>
      </c>
      <c r="K17" t="s">
        <v>1176</v>
      </c>
      <c r="M17" t="s">
        <v>695</v>
      </c>
      <c r="N17" s="27" t="s">
        <v>58</v>
      </c>
      <c r="O17" t="s">
        <v>1177</v>
      </c>
      <c r="P17" t="s">
        <v>1175</v>
      </c>
      <c r="Q17" t="s">
        <v>1176</v>
      </c>
      <c r="S17" t="s">
        <v>977</v>
      </c>
      <c r="T17" t="s">
        <v>163</v>
      </c>
      <c r="U17" t="s">
        <v>1174</v>
      </c>
      <c r="V17" t="s">
        <v>1175</v>
      </c>
      <c r="W17" t="s">
        <v>1176</v>
      </c>
    </row>
    <row r="18" spans="1:23">
      <c r="A18" t="s">
        <v>98</v>
      </c>
      <c r="B18" t="s">
        <v>77</v>
      </c>
      <c r="C18" t="s">
        <v>1174</v>
      </c>
      <c r="D18" t="s">
        <v>1175</v>
      </c>
      <c r="E18" t="s">
        <v>1176</v>
      </c>
      <c r="G18" t="s">
        <v>327</v>
      </c>
      <c r="H18" t="s">
        <v>116</v>
      </c>
      <c r="I18" t="s">
        <v>1174</v>
      </c>
      <c r="J18" t="s">
        <v>1175</v>
      </c>
      <c r="K18" t="s">
        <v>1176</v>
      </c>
      <c r="M18" t="s">
        <v>699</v>
      </c>
      <c r="N18" s="27" t="s">
        <v>105</v>
      </c>
      <c r="O18" t="s">
        <v>1177</v>
      </c>
      <c r="P18" t="s">
        <v>1175</v>
      </c>
      <c r="Q18" t="s">
        <v>1176</v>
      </c>
      <c r="S18" t="s">
        <v>977</v>
      </c>
      <c r="T18" t="s">
        <v>60</v>
      </c>
      <c r="U18" t="s">
        <v>1174</v>
      </c>
      <c r="V18" t="s">
        <v>1175</v>
      </c>
      <c r="W18" t="s">
        <v>1176</v>
      </c>
    </row>
    <row r="19" spans="1:23">
      <c r="A19" t="s">
        <v>98</v>
      </c>
      <c r="B19" t="s">
        <v>71</v>
      </c>
      <c r="C19" t="s">
        <v>1174</v>
      </c>
      <c r="D19" t="s">
        <v>1175</v>
      </c>
      <c r="E19" t="s">
        <v>1176</v>
      </c>
      <c r="G19" t="s">
        <v>330</v>
      </c>
      <c r="H19" t="s">
        <v>113</v>
      </c>
      <c r="I19" t="s">
        <v>1174</v>
      </c>
      <c r="J19" t="s">
        <v>1175</v>
      </c>
      <c r="K19" t="s">
        <v>1176</v>
      </c>
      <c r="M19" t="s">
        <v>701</v>
      </c>
      <c r="N19" s="27" t="s">
        <v>116</v>
      </c>
      <c r="O19" t="s">
        <v>1177</v>
      </c>
      <c r="P19" t="s">
        <v>1175</v>
      </c>
      <c r="Q19" t="s">
        <v>1176</v>
      </c>
      <c r="S19" t="s">
        <v>984</v>
      </c>
      <c r="T19" t="s">
        <v>113</v>
      </c>
      <c r="U19" t="s">
        <v>1174</v>
      </c>
      <c r="V19" t="s">
        <v>1175</v>
      </c>
      <c r="W19" t="s">
        <v>1176</v>
      </c>
    </row>
    <row r="20" spans="1:23">
      <c r="A20" t="s">
        <v>106</v>
      </c>
      <c r="B20" t="s">
        <v>64</v>
      </c>
      <c r="C20" t="s">
        <v>1174</v>
      </c>
      <c r="D20" t="s">
        <v>1175</v>
      </c>
      <c r="E20" t="s">
        <v>1176</v>
      </c>
      <c r="G20" t="s">
        <v>330</v>
      </c>
      <c r="H20" t="s">
        <v>79</v>
      </c>
      <c r="I20" t="s">
        <v>1174</v>
      </c>
      <c r="J20" t="s">
        <v>1175</v>
      </c>
      <c r="K20" t="s">
        <v>1176</v>
      </c>
      <c r="M20" t="s">
        <v>703</v>
      </c>
      <c r="N20" s="27" t="s">
        <v>247</v>
      </c>
      <c r="O20" t="s">
        <v>1174</v>
      </c>
      <c r="P20" t="s">
        <v>1175</v>
      </c>
      <c r="Q20" t="s">
        <v>1176</v>
      </c>
      <c r="S20" t="s">
        <v>984</v>
      </c>
      <c r="T20" t="s">
        <v>82</v>
      </c>
      <c r="U20" t="s">
        <v>1174</v>
      </c>
      <c r="V20" t="s">
        <v>1175</v>
      </c>
      <c r="W20" t="s">
        <v>1176</v>
      </c>
    </row>
    <row r="21" spans="1:23">
      <c r="A21" t="s">
        <v>106</v>
      </c>
      <c r="B21" t="s">
        <v>108</v>
      </c>
      <c r="C21" t="s">
        <v>1174</v>
      </c>
      <c r="D21" t="s">
        <v>1175</v>
      </c>
      <c r="E21" t="s">
        <v>1176</v>
      </c>
      <c r="G21" t="s">
        <v>333</v>
      </c>
      <c r="H21" t="s">
        <v>97</v>
      </c>
      <c r="I21" t="s">
        <v>1174</v>
      </c>
      <c r="J21" t="s">
        <v>1175</v>
      </c>
      <c r="K21" t="s">
        <v>1176</v>
      </c>
      <c r="M21" t="s">
        <v>703</v>
      </c>
      <c r="N21" s="27" t="s">
        <v>141</v>
      </c>
      <c r="O21" t="s">
        <v>1174</v>
      </c>
      <c r="P21" t="s">
        <v>1175</v>
      </c>
      <c r="Q21" t="s">
        <v>1176</v>
      </c>
      <c r="S21" t="s">
        <v>986</v>
      </c>
      <c r="T21" t="s">
        <v>82</v>
      </c>
      <c r="U21" t="s">
        <v>1174</v>
      </c>
      <c r="V21" t="s">
        <v>1175</v>
      </c>
      <c r="W21" t="s">
        <v>1176</v>
      </c>
    </row>
    <row r="22" spans="1:23">
      <c r="A22" t="s">
        <v>110</v>
      </c>
      <c r="B22" t="s">
        <v>92</v>
      </c>
      <c r="C22" t="s">
        <v>1174</v>
      </c>
      <c r="D22" t="s">
        <v>1175</v>
      </c>
      <c r="E22" t="s">
        <v>1176</v>
      </c>
      <c r="G22" t="s">
        <v>333</v>
      </c>
      <c r="H22" t="s">
        <v>124</v>
      </c>
      <c r="I22" t="s">
        <v>1174</v>
      </c>
      <c r="J22" t="s">
        <v>1175</v>
      </c>
      <c r="K22" t="s">
        <v>1176</v>
      </c>
      <c r="M22" t="s">
        <v>707</v>
      </c>
      <c r="N22" s="27" t="s">
        <v>73</v>
      </c>
      <c r="O22" t="s">
        <v>1174</v>
      </c>
      <c r="P22" t="s">
        <v>1175</v>
      </c>
      <c r="Q22" t="s">
        <v>1176</v>
      </c>
      <c r="S22" t="s">
        <v>986</v>
      </c>
      <c r="T22" t="s">
        <v>89</v>
      </c>
      <c r="U22" t="s">
        <v>1174</v>
      </c>
      <c r="V22" t="s">
        <v>1175</v>
      </c>
      <c r="W22" t="s">
        <v>1176</v>
      </c>
    </row>
    <row r="23" spans="1:23">
      <c r="A23" t="s">
        <v>110</v>
      </c>
      <c r="B23" t="s">
        <v>93</v>
      </c>
      <c r="C23" t="s">
        <v>1174</v>
      </c>
      <c r="D23" t="s">
        <v>1175</v>
      </c>
      <c r="E23" t="s">
        <v>1176</v>
      </c>
      <c r="G23" t="s">
        <v>335</v>
      </c>
      <c r="H23" t="s">
        <v>86</v>
      </c>
      <c r="I23" t="s">
        <v>1174</v>
      </c>
      <c r="J23" t="s">
        <v>1175</v>
      </c>
      <c r="K23" t="s">
        <v>1176</v>
      </c>
      <c r="M23" t="s">
        <v>709</v>
      </c>
      <c r="N23" s="27" t="s">
        <v>93</v>
      </c>
      <c r="O23" t="s">
        <v>1174</v>
      </c>
      <c r="P23" t="s">
        <v>1175</v>
      </c>
      <c r="Q23" t="s">
        <v>1176</v>
      </c>
      <c r="S23" t="s">
        <v>988</v>
      </c>
      <c r="T23" t="s">
        <v>86</v>
      </c>
      <c r="U23" t="s">
        <v>1174</v>
      </c>
      <c r="V23" t="s">
        <v>1175</v>
      </c>
      <c r="W23" t="s">
        <v>1176</v>
      </c>
    </row>
    <row r="24" spans="1:23">
      <c r="A24" t="s">
        <v>114</v>
      </c>
      <c r="B24" t="s">
        <v>92</v>
      </c>
      <c r="C24" t="s">
        <v>1174</v>
      </c>
      <c r="D24" t="s">
        <v>1175</v>
      </c>
      <c r="E24" t="s">
        <v>1176</v>
      </c>
      <c r="G24" t="s">
        <v>335</v>
      </c>
      <c r="H24" t="s">
        <v>97</v>
      </c>
      <c r="I24" t="s">
        <v>1174</v>
      </c>
      <c r="J24" t="s">
        <v>1175</v>
      </c>
      <c r="K24" t="s">
        <v>1176</v>
      </c>
      <c r="M24" t="s">
        <v>709</v>
      </c>
      <c r="N24" s="27" t="s">
        <v>68</v>
      </c>
      <c r="O24" t="s">
        <v>1174</v>
      </c>
      <c r="P24" t="s">
        <v>1175</v>
      </c>
      <c r="Q24" t="s">
        <v>1176</v>
      </c>
      <c r="S24" t="s">
        <v>988</v>
      </c>
      <c r="T24" t="s">
        <v>113</v>
      </c>
      <c r="U24" t="s">
        <v>1174</v>
      </c>
      <c r="V24" t="s">
        <v>1175</v>
      </c>
      <c r="W24" t="s">
        <v>1176</v>
      </c>
    </row>
    <row r="25" spans="1:23">
      <c r="A25" t="s">
        <v>114</v>
      </c>
      <c r="B25" t="s">
        <v>72</v>
      </c>
      <c r="C25" t="s">
        <v>1174</v>
      </c>
      <c r="D25" t="s">
        <v>1175</v>
      </c>
      <c r="E25" t="s">
        <v>1176</v>
      </c>
      <c r="G25" t="s">
        <v>337</v>
      </c>
      <c r="H25" t="s">
        <v>137</v>
      </c>
      <c r="I25" t="s">
        <v>1174</v>
      </c>
      <c r="J25" t="s">
        <v>1175</v>
      </c>
      <c r="K25" t="s">
        <v>1176</v>
      </c>
      <c r="M25" t="s">
        <v>723</v>
      </c>
      <c r="N25" s="27" t="s">
        <v>137</v>
      </c>
      <c r="O25" t="s">
        <v>1174</v>
      </c>
      <c r="P25" t="s">
        <v>1175</v>
      </c>
      <c r="Q25" t="s">
        <v>1176</v>
      </c>
      <c r="S25" t="s">
        <v>989</v>
      </c>
      <c r="T25" t="s">
        <v>67</v>
      </c>
      <c r="U25" t="s">
        <v>1174</v>
      </c>
      <c r="V25" t="s">
        <v>1175</v>
      </c>
      <c r="W25" t="s">
        <v>1176</v>
      </c>
    </row>
    <row r="26" spans="1:23">
      <c r="A26" t="s">
        <v>120</v>
      </c>
      <c r="B26" t="s">
        <v>60</v>
      </c>
      <c r="C26" t="s">
        <v>1174</v>
      </c>
      <c r="D26" t="s">
        <v>1175</v>
      </c>
      <c r="E26" t="s">
        <v>1176</v>
      </c>
      <c r="G26" t="s">
        <v>340</v>
      </c>
      <c r="H26" t="s">
        <v>59</v>
      </c>
      <c r="I26" t="s">
        <v>1174</v>
      </c>
      <c r="J26" t="s">
        <v>1175</v>
      </c>
      <c r="K26" t="s">
        <v>1176</v>
      </c>
      <c r="M26" t="s">
        <v>723</v>
      </c>
      <c r="N26" s="27" t="s">
        <v>92</v>
      </c>
      <c r="O26" t="s">
        <v>1174</v>
      </c>
      <c r="P26" t="s">
        <v>1175</v>
      </c>
      <c r="Q26" t="s">
        <v>1176</v>
      </c>
      <c r="S26" t="s">
        <v>989</v>
      </c>
      <c r="T26" t="s">
        <v>97</v>
      </c>
      <c r="U26" t="s">
        <v>1174</v>
      </c>
      <c r="V26" t="s">
        <v>1175</v>
      </c>
      <c r="W26" t="s">
        <v>1176</v>
      </c>
    </row>
    <row r="27" spans="1:23">
      <c r="A27" t="s">
        <v>122</v>
      </c>
      <c r="B27" t="s">
        <v>68</v>
      </c>
      <c r="C27" t="s">
        <v>1174</v>
      </c>
      <c r="D27" t="s">
        <v>1175</v>
      </c>
      <c r="E27" t="s">
        <v>1176</v>
      </c>
      <c r="G27" t="s">
        <v>340</v>
      </c>
      <c r="H27" t="s">
        <v>173</v>
      </c>
      <c r="I27" t="s">
        <v>1174</v>
      </c>
      <c r="J27" t="s">
        <v>1175</v>
      </c>
      <c r="K27" t="s">
        <v>1176</v>
      </c>
      <c r="M27" t="s">
        <v>727</v>
      </c>
      <c r="N27" s="27" t="s">
        <v>729</v>
      </c>
      <c r="O27" t="s">
        <v>1174</v>
      </c>
      <c r="P27" t="s">
        <v>1175</v>
      </c>
      <c r="Q27" t="s">
        <v>1176</v>
      </c>
      <c r="S27" t="s">
        <v>991</v>
      </c>
      <c r="T27" t="s">
        <v>85</v>
      </c>
      <c r="U27" t="s">
        <v>1174</v>
      </c>
      <c r="V27" t="s">
        <v>1175</v>
      </c>
      <c r="W27" t="s">
        <v>1176</v>
      </c>
    </row>
    <row r="28" spans="1:23">
      <c r="A28" t="s">
        <v>122</v>
      </c>
      <c r="B28" t="s">
        <v>67</v>
      </c>
      <c r="C28" t="s">
        <v>1174</v>
      </c>
      <c r="D28" t="s">
        <v>1175</v>
      </c>
      <c r="E28" t="s">
        <v>1176</v>
      </c>
      <c r="G28" t="s">
        <v>344</v>
      </c>
      <c r="H28" t="s">
        <v>67</v>
      </c>
      <c r="I28" t="s">
        <v>1174</v>
      </c>
      <c r="J28" t="s">
        <v>1175</v>
      </c>
      <c r="K28" t="s">
        <v>1176</v>
      </c>
      <c r="M28" t="s">
        <v>727</v>
      </c>
      <c r="N28" s="27" t="s">
        <v>255</v>
      </c>
      <c r="O28" t="s">
        <v>1177</v>
      </c>
      <c r="P28" t="s">
        <v>1175</v>
      </c>
      <c r="Q28" t="s">
        <v>1176</v>
      </c>
      <c r="S28" t="s">
        <v>991</v>
      </c>
      <c r="T28" t="s">
        <v>89</v>
      </c>
      <c r="U28" t="s">
        <v>1174</v>
      </c>
      <c r="V28" t="s">
        <v>1175</v>
      </c>
      <c r="W28" t="s">
        <v>1176</v>
      </c>
    </row>
    <row r="29" spans="1:23">
      <c r="A29" t="s">
        <v>125</v>
      </c>
      <c r="B29" t="s">
        <v>93</v>
      </c>
      <c r="C29" t="s">
        <v>1174</v>
      </c>
      <c r="D29" t="s">
        <v>1175</v>
      </c>
      <c r="E29" t="s">
        <v>1176</v>
      </c>
      <c r="G29" t="s">
        <v>352</v>
      </c>
      <c r="H29" t="s">
        <v>85</v>
      </c>
      <c r="I29" t="s">
        <v>1174</v>
      </c>
      <c r="J29" t="s">
        <v>1175</v>
      </c>
      <c r="K29" t="s">
        <v>1176</v>
      </c>
      <c r="M29" t="s">
        <v>734</v>
      </c>
      <c r="N29" s="27" t="s">
        <v>172</v>
      </c>
      <c r="O29" t="s">
        <v>1174</v>
      </c>
      <c r="P29" t="s">
        <v>1175</v>
      </c>
      <c r="Q29" t="s">
        <v>1176</v>
      </c>
      <c r="S29" t="s">
        <v>993</v>
      </c>
      <c r="T29" t="s">
        <v>76</v>
      </c>
      <c r="U29" t="s">
        <v>1174</v>
      </c>
      <c r="V29" t="s">
        <v>1175</v>
      </c>
      <c r="W29" t="s">
        <v>1176</v>
      </c>
    </row>
    <row r="30" spans="1:23">
      <c r="A30" t="s">
        <v>127</v>
      </c>
      <c r="B30" t="s">
        <v>85</v>
      </c>
      <c r="C30" t="s">
        <v>1174</v>
      </c>
      <c r="D30" t="s">
        <v>1175</v>
      </c>
      <c r="E30" t="s">
        <v>1176</v>
      </c>
      <c r="G30" t="s">
        <v>352</v>
      </c>
      <c r="H30" t="s">
        <v>97</v>
      </c>
      <c r="I30" t="s">
        <v>1174</v>
      </c>
      <c r="J30" t="s">
        <v>1175</v>
      </c>
      <c r="K30" t="s">
        <v>1176</v>
      </c>
      <c r="M30" t="s">
        <v>737</v>
      </c>
      <c r="N30" s="27" t="s">
        <v>72</v>
      </c>
      <c r="O30" t="s">
        <v>1174</v>
      </c>
      <c r="P30" t="s">
        <v>1175</v>
      </c>
      <c r="Q30" t="s">
        <v>1176</v>
      </c>
      <c r="S30" t="s">
        <v>993</v>
      </c>
      <c r="T30" t="s">
        <v>79</v>
      </c>
      <c r="U30" t="s">
        <v>1174</v>
      </c>
      <c r="V30" t="s">
        <v>1175</v>
      </c>
      <c r="W30" t="s">
        <v>1176</v>
      </c>
    </row>
    <row r="31" spans="1:23">
      <c r="A31" t="s">
        <v>127</v>
      </c>
      <c r="B31" t="s">
        <v>86</v>
      </c>
      <c r="C31" t="s">
        <v>1174</v>
      </c>
      <c r="D31" t="s">
        <v>1175</v>
      </c>
      <c r="E31" t="s">
        <v>1176</v>
      </c>
      <c r="G31" t="s">
        <v>357</v>
      </c>
      <c r="H31" t="s">
        <v>79</v>
      </c>
      <c r="I31" t="s">
        <v>1174</v>
      </c>
      <c r="J31" t="s">
        <v>1175</v>
      </c>
      <c r="K31" t="s">
        <v>1176</v>
      </c>
      <c r="M31" t="s">
        <v>737</v>
      </c>
      <c r="N31" s="27" t="s">
        <v>79</v>
      </c>
      <c r="O31" t="s">
        <v>1174</v>
      </c>
      <c r="P31" t="s">
        <v>1175</v>
      </c>
      <c r="Q31" t="s">
        <v>1176</v>
      </c>
      <c r="S31" t="s">
        <v>996</v>
      </c>
      <c r="T31" t="s">
        <v>67</v>
      </c>
      <c r="U31" t="s">
        <v>1174</v>
      </c>
      <c r="V31" t="s">
        <v>1175</v>
      </c>
      <c r="W31" t="s">
        <v>1176</v>
      </c>
    </row>
    <row r="32" spans="1:23">
      <c r="A32" t="s">
        <v>135</v>
      </c>
      <c r="B32" t="s">
        <v>137</v>
      </c>
      <c r="C32" t="s">
        <v>1174</v>
      </c>
      <c r="D32" t="s">
        <v>1175</v>
      </c>
      <c r="E32" t="s">
        <v>1176</v>
      </c>
      <c r="G32" t="s">
        <v>357</v>
      </c>
      <c r="H32" t="s">
        <v>93</v>
      </c>
      <c r="I32" t="s">
        <v>1174</v>
      </c>
      <c r="J32" t="s">
        <v>1175</v>
      </c>
      <c r="K32" t="s">
        <v>1176</v>
      </c>
      <c r="M32" t="s">
        <v>742</v>
      </c>
      <c r="N32" s="27" t="s">
        <v>64</v>
      </c>
      <c r="O32" t="s">
        <v>1174</v>
      </c>
      <c r="P32" t="s">
        <v>1175</v>
      </c>
      <c r="Q32" t="s">
        <v>1176</v>
      </c>
      <c r="S32" t="s">
        <v>996</v>
      </c>
      <c r="T32" t="s">
        <v>173</v>
      </c>
      <c r="U32" t="s">
        <v>1174</v>
      </c>
      <c r="V32" t="s">
        <v>1175</v>
      </c>
      <c r="W32" t="s">
        <v>1176</v>
      </c>
    </row>
    <row r="33" spans="1:23">
      <c r="A33" t="s">
        <v>135</v>
      </c>
      <c r="B33" t="s">
        <v>73</v>
      </c>
      <c r="C33" t="s">
        <v>1174</v>
      </c>
      <c r="D33" t="s">
        <v>1175</v>
      </c>
      <c r="E33" t="s">
        <v>1176</v>
      </c>
      <c r="G33" t="s">
        <v>360</v>
      </c>
      <c r="H33" t="s">
        <v>172</v>
      </c>
      <c r="I33" t="s">
        <v>1174</v>
      </c>
      <c r="J33" t="s">
        <v>1175</v>
      </c>
      <c r="K33" t="s">
        <v>1176</v>
      </c>
      <c r="M33" t="s">
        <v>742</v>
      </c>
      <c r="N33" s="27" t="s">
        <v>81</v>
      </c>
      <c r="O33" t="s">
        <v>1174</v>
      </c>
      <c r="P33" t="s">
        <v>1175</v>
      </c>
      <c r="Q33" t="s">
        <v>1176</v>
      </c>
      <c r="S33" t="s">
        <v>999</v>
      </c>
      <c r="T33" t="s">
        <v>113</v>
      </c>
      <c r="U33" t="s">
        <v>1174</v>
      </c>
      <c r="V33" t="s">
        <v>1175</v>
      </c>
      <c r="W33" t="s">
        <v>1176</v>
      </c>
    </row>
    <row r="34" spans="1:23">
      <c r="A34" t="s">
        <v>138</v>
      </c>
      <c r="B34" t="s">
        <v>140</v>
      </c>
      <c r="C34" t="s">
        <v>1174</v>
      </c>
      <c r="D34" t="s">
        <v>1175</v>
      </c>
      <c r="E34" t="s">
        <v>1176</v>
      </c>
      <c r="G34" t="s">
        <v>360</v>
      </c>
      <c r="H34" t="s">
        <v>72</v>
      </c>
      <c r="I34" t="s">
        <v>1174</v>
      </c>
      <c r="J34" t="s">
        <v>1175</v>
      </c>
      <c r="K34" t="s">
        <v>1176</v>
      </c>
      <c r="M34" t="s">
        <v>744</v>
      </c>
      <c r="N34" s="27" t="s">
        <v>58</v>
      </c>
      <c r="O34" t="s">
        <v>1174</v>
      </c>
      <c r="P34" t="s">
        <v>1175</v>
      </c>
      <c r="Q34" t="s">
        <v>1176</v>
      </c>
      <c r="S34" t="s">
        <v>999</v>
      </c>
      <c r="T34" t="s">
        <v>322</v>
      </c>
      <c r="U34" t="s">
        <v>1177</v>
      </c>
      <c r="V34" t="s">
        <v>1175</v>
      </c>
      <c r="W34" t="s">
        <v>1176</v>
      </c>
    </row>
    <row r="35" spans="1:23">
      <c r="A35" t="s">
        <v>138</v>
      </c>
      <c r="B35" t="s">
        <v>141</v>
      </c>
      <c r="C35" t="s">
        <v>1174</v>
      </c>
      <c r="D35" t="s">
        <v>1175</v>
      </c>
      <c r="E35" t="s">
        <v>1176</v>
      </c>
      <c r="G35" t="s">
        <v>362</v>
      </c>
      <c r="H35" t="s">
        <v>81</v>
      </c>
      <c r="I35" t="s">
        <v>1174</v>
      </c>
      <c r="J35" t="s">
        <v>1175</v>
      </c>
      <c r="K35" t="s">
        <v>1176</v>
      </c>
      <c r="M35" t="s">
        <v>744</v>
      </c>
      <c r="N35" s="27" t="s">
        <v>93</v>
      </c>
      <c r="O35" t="s">
        <v>1174</v>
      </c>
      <c r="P35" t="s">
        <v>1175</v>
      </c>
      <c r="Q35" t="s">
        <v>1176</v>
      </c>
      <c r="S35" t="s">
        <v>1001</v>
      </c>
      <c r="T35" t="s">
        <v>1005</v>
      </c>
      <c r="U35" t="s">
        <v>1174</v>
      </c>
      <c r="V35" t="s">
        <v>1175</v>
      </c>
      <c r="W35" t="s">
        <v>1176</v>
      </c>
    </row>
    <row r="36" spans="1:23">
      <c r="A36" t="s">
        <v>143</v>
      </c>
      <c r="B36" t="s">
        <v>59</v>
      </c>
      <c r="C36" t="s">
        <v>1174</v>
      </c>
      <c r="D36" t="s">
        <v>1175</v>
      </c>
      <c r="E36" t="s">
        <v>1176</v>
      </c>
      <c r="G36" t="s">
        <v>362</v>
      </c>
      <c r="H36" t="s">
        <v>256</v>
      </c>
      <c r="I36" t="s">
        <v>1177</v>
      </c>
      <c r="J36" t="s">
        <v>1175</v>
      </c>
      <c r="K36" t="s">
        <v>1176</v>
      </c>
      <c r="M36" t="s">
        <v>762</v>
      </c>
      <c r="N36" s="27" t="s">
        <v>92</v>
      </c>
      <c r="O36" t="s">
        <v>1174</v>
      </c>
      <c r="P36" t="s">
        <v>1175</v>
      </c>
      <c r="Q36" t="s">
        <v>1176</v>
      </c>
      <c r="S36" t="s">
        <v>1001</v>
      </c>
      <c r="T36" t="s">
        <v>1006</v>
      </c>
      <c r="U36" t="s">
        <v>1174</v>
      </c>
      <c r="V36" t="s">
        <v>1175</v>
      </c>
      <c r="W36" t="s">
        <v>1176</v>
      </c>
    </row>
    <row r="37" spans="1:23">
      <c r="A37" t="s">
        <v>143</v>
      </c>
      <c r="B37" t="s">
        <v>67</v>
      </c>
      <c r="C37" t="s">
        <v>1174</v>
      </c>
      <c r="D37" t="s">
        <v>1175</v>
      </c>
      <c r="E37" t="s">
        <v>1176</v>
      </c>
      <c r="G37" t="s">
        <v>369</v>
      </c>
      <c r="H37" t="s">
        <v>73</v>
      </c>
      <c r="I37" t="s">
        <v>1174</v>
      </c>
      <c r="J37" t="s">
        <v>1175</v>
      </c>
      <c r="K37" t="s">
        <v>1176</v>
      </c>
      <c r="M37" t="s">
        <v>762</v>
      </c>
      <c r="N37" s="27" t="s">
        <v>93</v>
      </c>
      <c r="O37" t="s">
        <v>1174</v>
      </c>
      <c r="P37" t="s">
        <v>1175</v>
      </c>
      <c r="Q37" t="s">
        <v>1176</v>
      </c>
      <c r="S37" t="s">
        <v>1008</v>
      </c>
      <c r="T37" t="s">
        <v>64</v>
      </c>
      <c r="U37" t="s">
        <v>1174</v>
      </c>
      <c r="V37" t="s">
        <v>1175</v>
      </c>
      <c r="W37" t="s">
        <v>1176</v>
      </c>
    </row>
    <row r="38" spans="1:23">
      <c r="A38" t="s">
        <v>145</v>
      </c>
      <c r="B38" t="s">
        <v>92</v>
      </c>
      <c r="C38" t="s">
        <v>1174</v>
      </c>
      <c r="D38" t="s">
        <v>1175</v>
      </c>
      <c r="E38" t="s">
        <v>1176</v>
      </c>
      <c r="G38" t="s">
        <v>369</v>
      </c>
      <c r="H38" t="s">
        <v>92</v>
      </c>
      <c r="I38" t="s">
        <v>1174</v>
      </c>
      <c r="J38" t="s">
        <v>1175</v>
      </c>
      <c r="K38" t="s">
        <v>1176</v>
      </c>
      <c r="M38" t="s">
        <v>766</v>
      </c>
      <c r="N38" s="27" t="s">
        <v>89</v>
      </c>
      <c r="O38" t="s">
        <v>1174</v>
      </c>
      <c r="P38" t="s">
        <v>1175</v>
      </c>
      <c r="Q38" t="s">
        <v>1176</v>
      </c>
      <c r="S38" t="s">
        <v>1008</v>
      </c>
      <c r="T38" t="s">
        <v>73</v>
      </c>
      <c r="U38" t="s">
        <v>1174</v>
      </c>
      <c r="V38" t="s">
        <v>1175</v>
      </c>
      <c r="W38" t="s">
        <v>1176</v>
      </c>
    </row>
    <row r="39" spans="1:23">
      <c r="A39" t="s">
        <v>145</v>
      </c>
      <c r="B39" t="s">
        <v>64</v>
      </c>
      <c r="C39" t="s">
        <v>1174</v>
      </c>
      <c r="D39" t="s">
        <v>1175</v>
      </c>
      <c r="E39" t="s">
        <v>1176</v>
      </c>
      <c r="G39" t="s">
        <v>372</v>
      </c>
      <c r="H39" t="s">
        <v>86</v>
      </c>
      <c r="I39" t="s">
        <v>1174</v>
      </c>
      <c r="J39" t="s">
        <v>1175</v>
      </c>
      <c r="K39" t="s">
        <v>1176</v>
      </c>
      <c r="M39" t="s">
        <v>766</v>
      </c>
      <c r="N39" s="27" t="s">
        <v>93</v>
      </c>
      <c r="O39" t="s">
        <v>1174</v>
      </c>
      <c r="P39" t="s">
        <v>1175</v>
      </c>
      <c r="Q39" t="s">
        <v>1176</v>
      </c>
      <c r="S39" t="s">
        <v>1010</v>
      </c>
      <c r="T39" t="s">
        <v>92</v>
      </c>
      <c r="U39" t="s">
        <v>1174</v>
      </c>
      <c r="V39" t="s">
        <v>1175</v>
      </c>
      <c r="W39" t="s">
        <v>1176</v>
      </c>
    </row>
    <row r="40" spans="1:23">
      <c r="A40" t="s">
        <v>147</v>
      </c>
      <c r="B40" t="s">
        <v>149</v>
      </c>
      <c r="C40" t="s">
        <v>1174</v>
      </c>
      <c r="D40" t="s">
        <v>1175</v>
      </c>
      <c r="E40" t="s">
        <v>1176</v>
      </c>
      <c r="G40" t="s">
        <v>372</v>
      </c>
      <c r="H40" t="s">
        <v>255</v>
      </c>
      <c r="I40" t="s">
        <v>1177</v>
      </c>
      <c r="J40" t="s">
        <v>1175</v>
      </c>
      <c r="K40" t="s">
        <v>1176</v>
      </c>
      <c r="M40" t="s">
        <v>770</v>
      </c>
      <c r="N40" s="27" t="s">
        <v>92</v>
      </c>
      <c r="O40" t="s">
        <v>1174</v>
      </c>
      <c r="P40" t="s">
        <v>1175</v>
      </c>
      <c r="Q40" t="s">
        <v>1176</v>
      </c>
      <c r="S40" t="s">
        <v>1010</v>
      </c>
      <c r="T40" t="s">
        <v>113</v>
      </c>
      <c r="U40" t="s">
        <v>1174</v>
      </c>
      <c r="V40" t="s">
        <v>1175</v>
      </c>
      <c r="W40" t="s">
        <v>1176</v>
      </c>
    </row>
    <row r="41" spans="1:23">
      <c r="A41" t="s">
        <v>147</v>
      </c>
      <c r="B41" t="s">
        <v>151</v>
      </c>
      <c r="C41" t="s">
        <v>1174</v>
      </c>
      <c r="D41" t="s">
        <v>1175</v>
      </c>
      <c r="E41" t="s">
        <v>1176</v>
      </c>
      <c r="G41" t="s">
        <v>376</v>
      </c>
      <c r="H41" t="s">
        <v>71</v>
      </c>
      <c r="I41" t="s">
        <v>1174</v>
      </c>
      <c r="J41" t="s">
        <v>1175</v>
      </c>
      <c r="K41" t="s">
        <v>1176</v>
      </c>
      <c r="M41" t="s">
        <v>770</v>
      </c>
      <c r="N41" s="27" t="s">
        <v>93</v>
      </c>
      <c r="O41" t="s">
        <v>1174</v>
      </c>
      <c r="P41" t="s">
        <v>1175</v>
      </c>
      <c r="Q41" t="s">
        <v>1176</v>
      </c>
      <c r="S41" t="s">
        <v>1012</v>
      </c>
      <c r="T41" t="s">
        <v>85</v>
      </c>
      <c r="U41" t="s">
        <v>1174</v>
      </c>
      <c r="V41" t="s">
        <v>1175</v>
      </c>
      <c r="W41" t="s">
        <v>1176</v>
      </c>
    </row>
    <row r="42" spans="1:23">
      <c r="A42" t="s">
        <v>154</v>
      </c>
      <c r="B42" t="s">
        <v>156</v>
      </c>
      <c r="C42" t="s">
        <v>1174</v>
      </c>
      <c r="D42" t="s">
        <v>1175</v>
      </c>
      <c r="E42" t="s">
        <v>1176</v>
      </c>
      <c r="G42" t="s">
        <v>378</v>
      </c>
      <c r="H42" t="s">
        <v>124</v>
      </c>
      <c r="I42" t="s">
        <v>1174</v>
      </c>
      <c r="J42" t="s">
        <v>1175</v>
      </c>
      <c r="K42" t="s">
        <v>1176</v>
      </c>
      <c r="M42" t="s">
        <v>773</v>
      </c>
      <c r="N42" s="27" t="s">
        <v>73</v>
      </c>
      <c r="O42" t="s">
        <v>1174</v>
      </c>
      <c r="P42" t="s">
        <v>1175</v>
      </c>
      <c r="Q42" t="s">
        <v>1176</v>
      </c>
      <c r="S42" t="s">
        <v>1012</v>
      </c>
      <c r="T42" t="s">
        <v>252</v>
      </c>
      <c r="U42" t="s">
        <v>1177</v>
      </c>
      <c r="V42" t="s">
        <v>1175</v>
      </c>
      <c r="W42" t="s">
        <v>1176</v>
      </c>
    </row>
    <row r="43" spans="1:23">
      <c r="A43" t="s">
        <v>154</v>
      </c>
      <c r="B43" t="s">
        <v>157</v>
      </c>
      <c r="C43" t="s">
        <v>1174</v>
      </c>
      <c r="D43" t="s">
        <v>1175</v>
      </c>
      <c r="E43" t="s">
        <v>1176</v>
      </c>
      <c r="G43" t="s">
        <v>378</v>
      </c>
      <c r="H43" t="s">
        <v>68</v>
      </c>
      <c r="I43" t="s">
        <v>1174</v>
      </c>
      <c r="J43" t="s">
        <v>1175</v>
      </c>
      <c r="K43" t="s">
        <v>1176</v>
      </c>
      <c r="M43" t="s">
        <v>777</v>
      </c>
      <c r="N43" s="27" t="s">
        <v>73</v>
      </c>
      <c r="O43" t="s">
        <v>1174</v>
      </c>
      <c r="P43" t="s">
        <v>1175</v>
      </c>
      <c r="Q43" t="s">
        <v>1176</v>
      </c>
      <c r="S43" t="s">
        <v>1016</v>
      </c>
      <c r="T43" t="s">
        <v>255</v>
      </c>
      <c r="U43" t="s">
        <v>1177</v>
      </c>
      <c r="V43" t="s">
        <v>1175</v>
      </c>
      <c r="W43" t="s">
        <v>1176</v>
      </c>
    </row>
    <row r="44" spans="1:23">
      <c r="A44" t="s">
        <v>161</v>
      </c>
      <c r="B44" t="s">
        <v>163</v>
      </c>
      <c r="C44" t="s">
        <v>1174</v>
      </c>
      <c r="D44" t="s">
        <v>1175</v>
      </c>
      <c r="E44" t="s">
        <v>1176</v>
      </c>
      <c r="G44" t="s">
        <v>381</v>
      </c>
      <c r="H44" t="s">
        <v>383</v>
      </c>
      <c r="I44" t="s">
        <v>1174</v>
      </c>
      <c r="J44" t="s">
        <v>1175</v>
      </c>
      <c r="K44" t="s">
        <v>1176</v>
      </c>
      <c r="M44" t="s">
        <v>779</v>
      </c>
      <c r="N44" s="27" t="s">
        <v>105</v>
      </c>
      <c r="O44" t="s">
        <v>1177</v>
      </c>
      <c r="P44" t="s">
        <v>1175</v>
      </c>
      <c r="Q44" t="s">
        <v>1176</v>
      </c>
      <c r="S44" t="s">
        <v>1016</v>
      </c>
      <c r="T44" t="s">
        <v>1018</v>
      </c>
      <c r="U44" t="s">
        <v>1177</v>
      </c>
      <c r="V44" t="s">
        <v>1175</v>
      </c>
      <c r="W44" t="s">
        <v>1176</v>
      </c>
    </row>
    <row r="45" spans="1:23">
      <c r="A45" t="s">
        <v>161</v>
      </c>
      <c r="B45" t="s">
        <v>85</v>
      </c>
      <c r="C45" t="s">
        <v>1174</v>
      </c>
      <c r="D45" t="s">
        <v>1175</v>
      </c>
      <c r="E45" t="s">
        <v>1176</v>
      </c>
      <c r="G45" t="s">
        <v>381</v>
      </c>
      <c r="H45" t="s">
        <v>384</v>
      </c>
      <c r="I45" t="s">
        <v>1174</v>
      </c>
      <c r="J45" t="s">
        <v>1175</v>
      </c>
      <c r="K45" t="s">
        <v>1176</v>
      </c>
      <c r="M45" t="s">
        <v>779</v>
      </c>
      <c r="N45" s="27" t="s">
        <v>116</v>
      </c>
      <c r="O45" t="s">
        <v>1177</v>
      </c>
      <c r="P45" t="s">
        <v>1175</v>
      </c>
      <c r="Q45" t="s">
        <v>1176</v>
      </c>
      <c r="S45" t="s">
        <v>1020</v>
      </c>
      <c r="T45" t="s">
        <v>85</v>
      </c>
      <c r="U45" t="s">
        <v>1174</v>
      </c>
      <c r="V45" t="s">
        <v>1175</v>
      </c>
      <c r="W45" t="s">
        <v>1176</v>
      </c>
    </row>
    <row r="46" spans="1:23">
      <c r="A46" t="s">
        <v>170</v>
      </c>
      <c r="B46" t="s">
        <v>96</v>
      </c>
      <c r="C46" t="s">
        <v>1174</v>
      </c>
      <c r="D46" t="s">
        <v>1175</v>
      </c>
      <c r="E46" t="s">
        <v>1176</v>
      </c>
      <c r="G46" t="s">
        <v>390</v>
      </c>
      <c r="H46" t="s">
        <v>81</v>
      </c>
      <c r="I46" t="s">
        <v>1174</v>
      </c>
      <c r="J46" t="s">
        <v>1175</v>
      </c>
      <c r="K46" t="s">
        <v>1176</v>
      </c>
      <c r="M46" t="s">
        <v>784</v>
      </c>
      <c r="N46" s="27" t="s">
        <v>68</v>
      </c>
      <c r="O46" t="s">
        <v>1174</v>
      </c>
      <c r="P46" t="s">
        <v>1175</v>
      </c>
      <c r="Q46" t="s">
        <v>1176</v>
      </c>
      <c r="S46" t="s">
        <v>1020</v>
      </c>
      <c r="T46" t="s">
        <v>97</v>
      </c>
      <c r="U46" t="s">
        <v>1174</v>
      </c>
      <c r="V46" t="s">
        <v>1175</v>
      </c>
      <c r="W46" t="s">
        <v>1176</v>
      </c>
    </row>
    <row r="47" spans="1:23">
      <c r="A47" t="s">
        <v>170</v>
      </c>
      <c r="B47" t="s">
        <v>172</v>
      </c>
      <c r="C47" t="s">
        <v>1174</v>
      </c>
      <c r="D47" t="s">
        <v>1175</v>
      </c>
      <c r="E47" t="s">
        <v>1176</v>
      </c>
      <c r="G47" t="s">
        <v>390</v>
      </c>
      <c r="H47" t="s">
        <v>73</v>
      </c>
      <c r="I47" t="s">
        <v>1174</v>
      </c>
      <c r="J47" t="s">
        <v>1175</v>
      </c>
      <c r="K47" t="s">
        <v>1176</v>
      </c>
      <c r="M47" t="s">
        <v>788</v>
      </c>
      <c r="N47" s="27" t="s">
        <v>73</v>
      </c>
      <c r="O47" t="s">
        <v>1174</v>
      </c>
      <c r="P47" t="s">
        <v>1175</v>
      </c>
      <c r="Q47" t="s">
        <v>1176</v>
      </c>
      <c r="S47" t="s">
        <v>1022</v>
      </c>
      <c r="T47" t="s">
        <v>67</v>
      </c>
      <c r="U47" t="s">
        <v>1174</v>
      </c>
      <c r="V47" t="s">
        <v>1175</v>
      </c>
      <c r="W47" t="s">
        <v>1176</v>
      </c>
    </row>
    <row r="48" spans="1:23">
      <c r="A48" t="s">
        <v>176</v>
      </c>
      <c r="B48" t="s">
        <v>92</v>
      </c>
      <c r="C48" t="s">
        <v>1174</v>
      </c>
      <c r="D48" t="s">
        <v>1175</v>
      </c>
      <c r="E48" t="s">
        <v>1176</v>
      </c>
      <c r="G48" t="s">
        <v>392</v>
      </c>
      <c r="H48" t="s">
        <v>113</v>
      </c>
      <c r="I48" t="s">
        <v>1174</v>
      </c>
      <c r="J48" t="s">
        <v>1175</v>
      </c>
      <c r="K48" t="s">
        <v>1176</v>
      </c>
      <c r="M48" t="s">
        <v>791</v>
      </c>
      <c r="N48" s="27" t="s">
        <v>89</v>
      </c>
      <c r="O48" t="s">
        <v>1174</v>
      </c>
      <c r="P48" t="s">
        <v>1175</v>
      </c>
      <c r="Q48" t="s">
        <v>1176</v>
      </c>
      <c r="S48" t="s">
        <v>1022</v>
      </c>
      <c r="T48" t="s">
        <v>173</v>
      </c>
      <c r="U48" t="s">
        <v>1174</v>
      </c>
      <c r="V48" t="s">
        <v>1175</v>
      </c>
      <c r="W48" t="s">
        <v>1176</v>
      </c>
    </row>
    <row r="49" spans="1:23">
      <c r="A49" t="s">
        <v>176</v>
      </c>
      <c r="B49" t="s">
        <v>81</v>
      </c>
      <c r="C49" t="s">
        <v>1174</v>
      </c>
      <c r="D49" t="s">
        <v>1175</v>
      </c>
      <c r="E49" t="s">
        <v>1176</v>
      </c>
      <c r="G49" t="s">
        <v>394</v>
      </c>
      <c r="H49" t="s">
        <v>71</v>
      </c>
      <c r="I49" t="s">
        <v>1174</v>
      </c>
      <c r="J49" t="s">
        <v>1175</v>
      </c>
      <c r="K49" t="s">
        <v>1176</v>
      </c>
      <c r="M49" t="s">
        <v>791</v>
      </c>
      <c r="N49" s="27" t="s">
        <v>794</v>
      </c>
      <c r="O49" t="s">
        <v>1177</v>
      </c>
      <c r="P49" t="s">
        <v>1175</v>
      </c>
      <c r="Q49" t="s">
        <v>1176</v>
      </c>
      <c r="S49" t="s">
        <v>1024</v>
      </c>
      <c r="T49" t="s">
        <v>151</v>
      </c>
      <c r="U49" t="s">
        <v>1174</v>
      </c>
      <c r="V49" t="s">
        <v>1175</v>
      </c>
      <c r="W49" t="s">
        <v>1176</v>
      </c>
    </row>
    <row r="50" spans="1:23">
      <c r="A50" t="s">
        <v>178</v>
      </c>
      <c r="B50" t="s">
        <v>81</v>
      </c>
      <c r="C50" t="s">
        <v>1174</v>
      </c>
      <c r="D50" t="s">
        <v>1175</v>
      </c>
      <c r="E50" t="s">
        <v>1176</v>
      </c>
      <c r="G50" t="s">
        <v>394</v>
      </c>
      <c r="H50" t="s">
        <v>396</v>
      </c>
      <c r="I50" t="s">
        <v>1177</v>
      </c>
      <c r="J50" t="s">
        <v>1175</v>
      </c>
      <c r="K50" t="s">
        <v>1176</v>
      </c>
      <c r="M50" t="s">
        <v>801</v>
      </c>
      <c r="N50" s="27" t="s">
        <v>137</v>
      </c>
      <c r="O50" t="s">
        <v>1174</v>
      </c>
      <c r="P50" t="s">
        <v>1175</v>
      </c>
      <c r="Q50" t="s">
        <v>1176</v>
      </c>
      <c r="S50" t="s">
        <v>1025</v>
      </c>
      <c r="T50" t="s">
        <v>82</v>
      </c>
      <c r="U50" t="s">
        <v>1174</v>
      </c>
      <c r="V50" t="s">
        <v>1175</v>
      </c>
      <c r="W50" t="s">
        <v>1176</v>
      </c>
    </row>
    <row r="51" spans="1:23">
      <c r="A51" t="s">
        <v>178</v>
      </c>
      <c r="B51" t="s">
        <v>73</v>
      </c>
      <c r="C51" t="s">
        <v>1174</v>
      </c>
      <c r="D51" t="s">
        <v>1175</v>
      </c>
      <c r="E51" t="s">
        <v>1176</v>
      </c>
      <c r="G51" t="s">
        <v>399</v>
      </c>
      <c r="H51" t="s">
        <v>173</v>
      </c>
      <c r="I51" t="s">
        <v>1174</v>
      </c>
      <c r="J51" t="s">
        <v>1175</v>
      </c>
      <c r="K51" t="s">
        <v>1176</v>
      </c>
      <c r="M51" t="s">
        <v>806</v>
      </c>
      <c r="N51" s="27" t="s">
        <v>137</v>
      </c>
      <c r="O51" t="s">
        <v>1174</v>
      </c>
      <c r="P51" t="s">
        <v>1175</v>
      </c>
      <c r="Q51" t="s">
        <v>1176</v>
      </c>
      <c r="S51" t="s">
        <v>1025</v>
      </c>
      <c r="T51" t="s">
        <v>252</v>
      </c>
      <c r="U51" t="s">
        <v>1177</v>
      </c>
      <c r="V51" t="s">
        <v>1175</v>
      </c>
      <c r="W51" t="s">
        <v>1176</v>
      </c>
    </row>
    <row r="52" spans="1:23">
      <c r="A52" t="s">
        <v>184</v>
      </c>
      <c r="B52" t="s">
        <v>78</v>
      </c>
      <c r="C52" t="s">
        <v>1174</v>
      </c>
      <c r="D52" t="s">
        <v>1175</v>
      </c>
      <c r="E52" t="s">
        <v>1176</v>
      </c>
      <c r="G52" t="s">
        <v>399</v>
      </c>
      <c r="H52" t="s">
        <v>256</v>
      </c>
      <c r="I52" t="s">
        <v>1177</v>
      </c>
      <c r="J52" t="s">
        <v>1175</v>
      </c>
      <c r="K52" t="s">
        <v>1176</v>
      </c>
      <c r="M52" t="s">
        <v>806</v>
      </c>
      <c r="N52" s="27" t="s">
        <v>81</v>
      </c>
      <c r="O52" t="s">
        <v>1174</v>
      </c>
      <c r="P52" t="s">
        <v>1175</v>
      </c>
      <c r="Q52" t="s">
        <v>1176</v>
      </c>
      <c r="S52" t="s">
        <v>1030</v>
      </c>
      <c r="T52" t="s">
        <v>82</v>
      </c>
      <c r="U52" t="s">
        <v>1174</v>
      </c>
      <c r="V52" t="s">
        <v>1175</v>
      </c>
      <c r="W52" t="s">
        <v>1176</v>
      </c>
    </row>
    <row r="53" spans="1:23">
      <c r="A53" t="s">
        <v>187</v>
      </c>
      <c r="B53" t="s">
        <v>173</v>
      </c>
      <c r="C53" t="s">
        <v>1174</v>
      </c>
      <c r="D53" t="s">
        <v>1175</v>
      </c>
      <c r="E53" t="s">
        <v>1176</v>
      </c>
      <c r="G53" t="s">
        <v>404</v>
      </c>
      <c r="H53" t="s">
        <v>76</v>
      </c>
      <c r="I53" t="s">
        <v>1174</v>
      </c>
      <c r="J53" t="s">
        <v>1175</v>
      </c>
      <c r="K53" t="s">
        <v>1176</v>
      </c>
      <c r="M53" t="s">
        <v>808</v>
      </c>
      <c r="N53" s="27" t="s">
        <v>64</v>
      </c>
      <c r="O53" t="s">
        <v>1174</v>
      </c>
      <c r="P53" t="s">
        <v>1175</v>
      </c>
      <c r="Q53" t="s">
        <v>1176</v>
      </c>
      <c r="S53" t="s">
        <v>1030</v>
      </c>
      <c r="T53" t="s">
        <v>73</v>
      </c>
      <c r="U53" t="s">
        <v>1174</v>
      </c>
      <c r="V53" t="s">
        <v>1175</v>
      </c>
      <c r="W53" t="s">
        <v>1176</v>
      </c>
    </row>
    <row r="54" spans="1:23">
      <c r="A54" t="s">
        <v>187</v>
      </c>
      <c r="B54" t="s">
        <v>189</v>
      </c>
      <c r="C54" t="s">
        <v>1174</v>
      </c>
      <c r="D54" t="s">
        <v>1175</v>
      </c>
      <c r="E54" t="s">
        <v>1176</v>
      </c>
      <c r="G54" t="s">
        <v>404</v>
      </c>
      <c r="H54" t="s">
        <v>407</v>
      </c>
      <c r="I54" t="s">
        <v>1177</v>
      </c>
      <c r="J54" t="s">
        <v>1175</v>
      </c>
      <c r="K54" t="s">
        <v>1176</v>
      </c>
      <c r="M54" t="s">
        <v>810</v>
      </c>
      <c r="N54" s="27" t="s">
        <v>81</v>
      </c>
      <c r="O54" t="s">
        <v>1174</v>
      </c>
      <c r="P54" t="s">
        <v>1175</v>
      </c>
      <c r="Q54" t="s">
        <v>1176</v>
      </c>
      <c r="S54" t="s">
        <v>1032</v>
      </c>
      <c r="T54" t="s">
        <v>81</v>
      </c>
      <c r="U54" t="s">
        <v>1174</v>
      </c>
      <c r="V54" t="s">
        <v>1175</v>
      </c>
      <c r="W54" t="s">
        <v>1176</v>
      </c>
    </row>
    <row r="55" spans="1:23">
      <c r="A55" t="s">
        <v>192</v>
      </c>
      <c r="B55" t="s">
        <v>81</v>
      </c>
      <c r="C55" t="s">
        <v>1174</v>
      </c>
      <c r="D55" t="s">
        <v>1175</v>
      </c>
      <c r="E55" t="s">
        <v>1176</v>
      </c>
      <c r="G55" t="s">
        <v>414</v>
      </c>
      <c r="H55" t="s">
        <v>67</v>
      </c>
      <c r="I55" t="s">
        <v>1174</v>
      </c>
      <c r="J55" t="s">
        <v>1175</v>
      </c>
      <c r="K55" t="s">
        <v>1176</v>
      </c>
      <c r="M55" t="s">
        <v>812</v>
      </c>
      <c r="N55" s="27" t="s">
        <v>58</v>
      </c>
      <c r="O55" t="s">
        <v>1177</v>
      </c>
      <c r="P55" t="s">
        <v>1175</v>
      </c>
      <c r="Q55" t="s">
        <v>1176</v>
      </c>
      <c r="S55" t="s">
        <v>1032</v>
      </c>
      <c r="T55" t="s">
        <v>73</v>
      </c>
      <c r="U55" t="s">
        <v>1174</v>
      </c>
      <c r="V55" t="s">
        <v>1175</v>
      </c>
      <c r="W55" t="s">
        <v>1176</v>
      </c>
    </row>
    <row r="56" spans="1:23">
      <c r="A56" t="s">
        <v>192</v>
      </c>
      <c r="B56" t="s">
        <v>137</v>
      </c>
      <c r="C56" t="s">
        <v>1174</v>
      </c>
      <c r="D56" t="s">
        <v>1175</v>
      </c>
      <c r="E56" t="s">
        <v>1176</v>
      </c>
      <c r="G56" t="s">
        <v>414</v>
      </c>
      <c r="H56" t="s">
        <v>89</v>
      </c>
      <c r="I56" t="s">
        <v>1174</v>
      </c>
      <c r="J56" t="s">
        <v>1175</v>
      </c>
      <c r="K56" t="s">
        <v>1176</v>
      </c>
      <c r="M56" t="s">
        <v>812</v>
      </c>
      <c r="N56" s="27" t="s">
        <v>105</v>
      </c>
      <c r="O56" t="s">
        <v>1177</v>
      </c>
      <c r="P56" t="s">
        <v>1175</v>
      </c>
      <c r="Q56" t="s">
        <v>1176</v>
      </c>
      <c r="S56" t="s">
        <v>1034</v>
      </c>
      <c r="T56" t="s">
        <v>172</v>
      </c>
      <c r="U56" t="s">
        <v>1174</v>
      </c>
      <c r="V56" t="s">
        <v>1175</v>
      </c>
      <c r="W56" t="s">
        <v>1176</v>
      </c>
    </row>
    <row r="57" spans="1:23">
      <c r="A57" t="s">
        <v>195</v>
      </c>
      <c r="B57" t="s">
        <v>97</v>
      </c>
      <c r="C57" t="s">
        <v>1174</v>
      </c>
      <c r="D57" t="s">
        <v>1175</v>
      </c>
      <c r="E57" t="s">
        <v>1176</v>
      </c>
      <c r="G57" t="s">
        <v>418</v>
      </c>
      <c r="H57" t="s">
        <v>86</v>
      </c>
      <c r="I57" t="s">
        <v>1174</v>
      </c>
      <c r="J57" t="s">
        <v>1175</v>
      </c>
      <c r="K57" t="s">
        <v>1176</v>
      </c>
      <c r="M57" t="s">
        <v>813</v>
      </c>
      <c r="N57" s="27" t="s">
        <v>137</v>
      </c>
      <c r="O57" t="s">
        <v>1174</v>
      </c>
      <c r="P57" t="s">
        <v>1175</v>
      </c>
      <c r="Q57" t="s">
        <v>1176</v>
      </c>
      <c r="S57" t="s">
        <v>1034</v>
      </c>
      <c r="T57" t="s">
        <v>189</v>
      </c>
      <c r="U57" t="s">
        <v>1174</v>
      </c>
      <c r="V57" t="s">
        <v>1175</v>
      </c>
      <c r="W57" t="s">
        <v>1176</v>
      </c>
    </row>
    <row r="58" spans="1:23">
      <c r="A58" t="s">
        <v>195</v>
      </c>
      <c r="B58" t="s">
        <v>96</v>
      </c>
      <c r="C58" t="s">
        <v>1174</v>
      </c>
      <c r="D58" t="s">
        <v>1175</v>
      </c>
      <c r="E58" t="s">
        <v>1176</v>
      </c>
      <c r="G58" t="s">
        <v>421</v>
      </c>
      <c r="H58" t="s">
        <v>67</v>
      </c>
      <c r="I58" t="s">
        <v>1174</v>
      </c>
      <c r="J58" t="s">
        <v>1175</v>
      </c>
      <c r="K58" t="s">
        <v>1176</v>
      </c>
      <c r="M58" t="s">
        <v>813</v>
      </c>
      <c r="N58" s="27" t="s">
        <v>64</v>
      </c>
      <c r="O58" t="s">
        <v>1174</v>
      </c>
      <c r="P58" t="s">
        <v>1175</v>
      </c>
      <c r="Q58" t="s">
        <v>1176</v>
      </c>
      <c r="S58" t="s">
        <v>1039</v>
      </c>
      <c r="T58" t="s">
        <v>1041</v>
      </c>
      <c r="U58" t="s">
        <v>1174</v>
      </c>
      <c r="V58" t="s">
        <v>1175</v>
      </c>
      <c r="W58" t="s">
        <v>1176</v>
      </c>
    </row>
    <row r="59" spans="1:23">
      <c r="A59" t="s">
        <v>200</v>
      </c>
      <c r="B59" t="s">
        <v>68</v>
      </c>
      <c r="C59" t="s">
        <v>1174</v>
      </c>
      <c r="D59" t="s">
        <v>1175</v>
      </c>
      <c r="E59" t="s">
        <v>1176</v>
      </c>
      <c r="G59" t="s">
        <v>421</v>
      </c>
      <c r="H59" t="s">
        <v>424</v>
      </c>
      <c r="I59" t="s">
        <v>1177</v>
      </c>
      <c r="J59" t="s">
        <v>1175</v>
      </c>
      <c r="K59" t="s">
        <v>1176</v>
      </c>
      <c r="M59" t="s">
        <v>817</v>
      </c>
      <c r="N59" s="27" t="s">
        <v>68</v>
      </c>
      <c r="O59" t="s">
        <v>1174</v>
      </c>
      <c r="P59" t="s">
        <v>1175</v>
      </c>
      <c r="Q59" t="s">
        <v>1176</v>
      </c>
      <c r="S59" t="s">
        <v>1039</v>
      </c>
      <c r="T59" t="s">
        <v>1042</v>
      </c>
      <c r="U59" t="s">
        <v>1174</v>
      </c>
      <c r="V59" t="s">
        <v>1175</v>
      </c>
      <c r="W59" t="s">
        <v>1176</v>
      </c>
    </row>
    <row r="60" spans="1:23">
      <c r="A60" t="s">
        <v>200</v>
      </c>
      <c r="B60" t="s">
        <v>67</v>
      </c>
      <c r="C60" t="s">
        <v>1174</v>
      </c>
      <c r="D60" t="s">
        <v>1175</v>
      </c>
      <c r="E60" t="s">
        <v>1176</v>
      </c>
      <c r="G60" t="s">
        <v>428</v>
      </c>
      <c r="H60" t="s">
        <v>92</v>
      </c>
      <c r="I60" t="s">
        <v>1174</v>
      </c>
      <c r="J60" t="s">
        <v>1175</v>
      </c>
      <c r="K60" t="s">
        <v>1176</v>
      </c>
      <c r="M60" t="s">
        <v>817</v>
      </c>
      <c r="N60" s="27" t="s">
        <v>97</v>
      </c>
      <c r="O60" t="s">
        <v>1174</v>
      </c>
      <c r="P60" t="s">
        <v>1175</v>
      </c>
      <c r="Q60" t="s">
        <v>1176</v>
      </c>
      <c r="S60" t="s">
        <v>1049</v>
      </c>
      <c r="T60" t="s">
        <v>73</v>
      </c>
      <c r="U60" t="s">
        <v>1174</v>
      </c>
      <c r="V60" t="s">
        <v>1175</v>
      </c>
      <c r="W60" t="s">
        <v>1176</v>
      </c>
    </row>
    <row r="61" spans="1:23">
      <c r="A61" t="s">
        <v>204</v>
      </c>
      <c r="B61" t="s">
        <v>92</v>
      </c>
      <c r="C61" t="s">
        <v>1174</v>
      </c>
      <c r="D61" t="s">
        <v>1175</v>
      </c>
      <c r="E61" t="s">
        <v>1176</v>
      </c>
      <c r="G61" t="s">
        <v>428</v>
      </c>
      <c r="H61" t="s">
        <v>81</v>
      </c>
      <c r="I61" t="s">
        <v>1174</v>
      </c>
      <c r="J61" t="s">
        <v>1175</v>
      </c>
      <c r="K61" t="s">
        <v>1176</v>
      </c>
      <c r="M61" t="s">
        <v>820</v>
      </c>
      <c r="N61" s="27" t="s">
        <v>97</v>
      </c>
      <c r="O61" t="s">
        <v>1174</v>
      </c>
      <c r="P61" t="s">
        <v>1175</v>
      </c>
      <c r="Q61" t="s">
        <v>1176</v>
      </c>
      <c r="S61" t="s">
        <v>1049</v>
      </c>
      <c r="T61" t="s">
        <v>137</v>
      </c>
      <c r="U61" t="s">
        <v>1174</v>
      </c>
      <c r="V61" t="s">
        <v>1175</v>
      </c>
      <c r="W61" t="s">
        <v>1176</v>
      </c>
    </row>
    <row r="62" spans="1:23">
      <c r="A62" t="s">
        <v>204</v>
      </c>
      <c r="B62" t="s">
        <v>86</v>
      </c>
      <c r="C62" t="s">
        <v>1174</v>
      </c>
      <c r="D62" t="s">
        <v>1175</v>
      </c>
      <c r="E62" t="s">
        <v>1176</v>
      </c>
      <c r="G62" t="s">
        <v>429</v>
      </c>
      <c r="H62" t="s">
        <v>89</v>
      </c>
      <c r="I62" t="s">
        <v>1174</v>
      </c>
      <c r="J62" t="s">
        <v>1175</v>
      </c>
      <c r="K62" t="s">
        <v>1176</v>
      </c>
      <c r="M62" t="s">
        <v>820</v>
      </c>
      <c r="N62" s="27" t="s">
        <v>67</v>
      </c>
      <c r="O62" t="s">
        <v>1174</v>
      </c>
      <c r="P62" t="s">
        <v>1175</v>
      </c>
      <c r="Q62" t="s">
        <v>1176</v>
      </c>
      <c r="S62" t="s">
        <v>1051</v>
      </c>
      <c r="T62" t="s">
        <v>73</v>
      </c>
      <c r="U62" t="s">
        <v>1174</v>
      </c>
      <c r="V62" t="s">
        <v>1175</v>
      </c>
      <c r="W62" t="s">
        <v>1176</v>
      </c>
    </row>
    <row r="63" spans="1:23">
      <c r="A63" t="s">
        <v>206</v>
      </c>
      <c r="B63" t="s">
        <v>72</v>
      </c>
      <c r="C63" t="s">
        <v>1174</v>
      </c>
      <c r="D63" t="s">
        <v>1175</v>
      </c>
      <c r="E63" t="s">
        <v>1176</v>
      </c>
      <c r="G63" t="s">
        <v>429</v>
      </c>
      <c r="H63" t="s">
        <v>431</v>
      </c>
      <c r="I63" t="s">
        <v>1174</v>
      </c>
      <c r="J63" t="s">
        <v>1175</v>
      </c>
      <c r="K63" t="s">
        <v>1176</v>
      </c>
      <c r="M63" t="s">
        <v>824</v>
      </c>
      <c r="N63" s="27" t="s">
        <v>92</v>
      </c>
      <c r="O63" t="s">
        <v>1174</v>
      </c>
      <c r="P63" t="s">
        <v>1175</v>
      </c>
      <c r="Q63" t="s">
        <v>1176</v>
      </c>
      <c r="S63" t="s">
        <v>1051</v>
      </c>
      <c r="T63" t="s">
        <v>81</v>
      </c>
      <c r="U63" t="s">
        <v>1174</v>
      </c>
      <c r="V63" t="s">
        <v>1175</v>
      </c>
      <c r="W63" t="s">
        <v>1176</v>
      </c>
    </row>
    <row r="64" spans="1:23">
      <c r="A64" t="s">
        <v>206</v>
      </c>
      <c r="B64" t="s">
        <v>82</v>
      </c>
      <c r="C64" t="s">
        <v>1174</v>
      </c>
      <c r="D64" t="s">
        <v>1175</v>
      </c>
      <c r="E64" t="s">
        <v>1176</v>
      </c>
      <c r="G64" t="s">
        <v>432</v>
      </c>
      <c r="H64" t="s">
        <v>71</v>
      </c>
      <c r="I64" t="s">
        <v>1174</v>
      </c>
      <c r="J64" t="s">
        <v>1175</v>
      </c>
      <c r="K64" t="s">
        <v>1176</v>
      </c>
      <c r="M64" t="s">
        <v>824</v>
      </c>
      <c r="N64" s="27" t="s">
        <v>93</v>
      </c>
      <c r="O64" t="s">
        <v>1174</v>
      </c>
      <c r="P64" t="s">
        <v>1175</v>
      </c>
      <c r="Q64" t="s">
        <v>1176</v>
      </c>
      <c r="S64" t="s">
        <v>1053</v>
      </c>
      <c r="T64" t="s">
        <v>93</v>
      </c>
      <c r="U64" t="s">
        <v>1174</v>
      </c>
      <c r="V64" t="s">
        <v>1175</v>
      </c>
      <c r="W64" t="s">
        <v>1176</v>
      </c>
    </row>
    <row r="65" spans="1:23">
      <c r="A65" t="s">
        <v>209</v>
      </c>
      <c r="B65" t="s">
        <v>160</v>
      </c>
      <c r="C65" t="s">
        <v>1174</v>
      </c>
      <c r="D65" t="s">
        <v>1175</v>
      </c>
      <c r="E65" t="s">
        <v>1176</v>
      </c>
      <c r="G65" t="s">
        <v>432</v>
      </c>
      <c r="H65" t="s">
        <v>324</v>
      </c>
      <c r="I65" t="s">
        <v>1174</v>
      </c>
      <c r="J65" t="s">
        <v>1175</v>
      </c>
      <c r="K65" t="s">
        <v>1176</v>
      </c>
      <c r="M65" t="s">
        <v>826</v>
      </c>
      <c r="N65" s="27" t="s">
        <v>92</v>
      </c>
      <c r="O65" t="s">
        <v>1174</v>
      </c>
      <c r="P65" t="s">
        <v>1175</v>
      </c>
      <c r="Q65" t="s">
        <v>1176</v>
      </c>
      <c r="S65" t="s">
        <v>1054</v>
      </c>
      <c r="T65" t="s">
        <v>158</v>
      </c>
      <c r="U65" t="s">
        <v>1174</v>
      </c>
      <c r="V65" t="s">
        <v>1175</v>
      </c>
      <c r="W65" t="s">
        <v>1176</v>
      </c>
    </row>
    <row r="66" spans="1:23">
      <c r="A66" t="s">
        <v>209</v>
      </c>
      <c r="B66" t="s">
        <v>158</v>
      </c>
      <c r="C66" t="s">
        <v>1174</v>
      </c>
      <c r="D66" t="s">
        <v>1175</v>
      </c>
      <c r="E66" t="s">
        <v>1176</v>
      </c>
      <c r="G66" t="s">
        <v>438</v>
      </c>
      <c r="H66" t="s">
        <v>189</v>
      </c>
      <c r="I66" t="s">
        <v>1174</v>
      </c>
      <c r="J66" t="s">
        <v>1175</v>
      </c>
      <c r="K66" t="s">
        <v>1176</v>
      </c>
      <c r="M66" t="s">
        <v>826</v>
      </c>
      <c r="N66" s="27" t="s">
        <v>252</v>
      </c>
      <c r="O66" t="s">
        <v>1177</v>
      </c>
      <c r="P66" t="s">
        <v>1175</v>
      </c>
      <c r="Q66" t="s">
        <v>1176</v>
      </c>
      <c r="S66" t="s">
        <v>1054</v>
      </c>
      <c r="T66" t="s">
        <v>189</v>
      </c>
      <c r="U66" t="s">
        <v>1174</v>
      </c>
      <c r="V66" t="s">
        <v>1175</v>
      </c>
      <c r="W66" t="s">
        <v>1176</v>
      </c>
    </row>
    <row r="67" spans="1:23">
      <c r="A67" t="s">
        <v>213</v>
      </c>
      <c r="B67" t="s">
        <v>116</v>
      </c>
      <c r="C67" t="s">
        <v>1174</v>
      </c>
      <c r="D67" t="s">
        <v>1175</v>
      </c>
      <c r="E67" t="s">
        <v>1176</v>
      </c>
      <c r="G67" t="s">
        <v>438</v>
      </c>
      <c r="H67" t="s">
        <v>67</v>
      </c>
      <c r="I67" t="s">
        <v>1174</v>
      </c>
      <c r="J67" t="s">
        <v>1175</v>
      </c>
      <c r="K67" t="s">
        <v>1176</v>
      </c>
      <c r="M67" t="s">
        <v>829</v>
      </c>
      <c r="N67" s="27" t="s">
        <v>172</v>
      </c>
      <c r="O67" t="s">
        <v>1174</v>
      </c>
      <c r="P67" t="s">
        <v>1175</v>
      </c>
      <c r="Q67" t="s">
        <v>1176</v>
      </c>
      <c r="S67" t="s">
        <v>1057</v>
      </c>
      <c r="T67" t="s">
        <v>92</v>
      </c>
      <c r="U67" t="s">
        <v>1174</v>
      </c>
      <c r="V67" t="s">
        <v>1175</v>
      </c>
      <c r="W67" t="s">
        <v>1176</v>
      </c>
    </row>
    <row r="68" spans="1:23">
      <c r="A68" t="s">
        <v>213</v>
      </c>
      <c r="B68" t="s">
        <v>81</v>
      </c>
      <c r="C68" t="s">
        <v>1174</v>
      </c>
      <c r="D68" t="s">
        <v>1175</v>
      </c>
      <c r="E68" t="s">
        <v>1176</v>
      </c>
      <c r="G68" t="s">
        <v>440</v>
      </c>
      <c r="H68" t="s">
        <v>89</v>
      </c>
      <c r="I68" t="s">
        <v>1174</v>
      </c>
      <c r="J68" t="s">
        <v>1175</v>
      </c>
      <c r="K68" t="s">
        <v>1176</v>
      </c>
      <c r="M68" t="s">
        <v>829</v>
      </c>
      <c r="N68" s="27" t="s">
        <v>831</v>
      </c>
      <c r="O68" t="s">
        <v>1177</v>
      </c>
      <c r="P68" t="s">
        <v>1175</v>
      </c>
      <c r="Q68" t="s">
        <v>1176</v>
      </c>
      <c r="S68" t="s">
        <v>1057</v>
      </c>
      <c r="T68" t="s">
        <v>82</v>
      </c>
      <c r="U68" t="s">
        <v>1174</v>
      </c>
      <c r="V68" t="s">
        <v>1175</v>
      </c>
      <c r="W68" t="s">
        <v>1176</v>
      </c>
    </row>
    <row r="69" spans="1:23">
      <c r="A69" t="s">
        <v>215</v>
      </c>
      <c r="B69" t="s">
        <v>212</v>
      </c>
      <c r="C69" t="s">
        <v>1174</v>
      </c>
      <c r="D69" t="s">
        <v>1175</v>
      </c>
      <c r="E69" t="s">
        <v>1176</v>
      </c>
      <c r="G69" t="s">
        <v>440</v>
      </c>
      <c r="H69" t="s">
        <v>67</v>
      </c>
      <c r="I69" t="s">
        <v>1174</v>
      </c>
      <c r="J69" t="s">
        <v>1175</v>
      </c>
      <c r="K69" t="s">
        <v>1176</v>
      </c>
      <c r="M69" t="s">
        <v>834</v>
      </c>
      <c r="N69" s="27" t="s">
        <v>82</v>
      </c>
      <c r="O69" t="s">
        <v>1174</v>
      </c>
      <c r="P69" t="s">
        <v>1175</v>
      </c>
      <c r="Q69" t="s">
        <v>1176</v>
      </c>
      <c r="S69" t="s">
        <v>1058</v>
      </c>
      <c r="T69" t="s">
        <v>67</v>
      </c>
      <c r="U69" t="s">
        <v>1174</v>
      </c>
      <c r="V69" t="s">
        <v>1175</v>
      </c>
      <c r="W69" t="s">
        <v>1176</v>
      </c>
    </row>
    <row r="70" spans="1:23">
      <c r="A70" t="s">
        <v>217</v>
      </c>
      <c r="B70" t="s">
        <v>85</v>
      </c>
      <c r="C70" t="s">
        <v>1174</v>
      </c>
      <c r="D70" t="s">
        <v>1175</v>
      </c>
      <c r="E70" t="s">
        <v>1176</v>
      </c>
      <c r="G70" t="s">
        <v>445</v>
      </c>
      <c r="H70" t="s">
        <v>97</v>
      </c>
      <c r="I70" t="s">
        <v>1174</v>
      </c>
      <c r="J70" t="s">
        <v>1175</v>
      </c>
      <c r="K70" t="s">
        <v>1176</v>
      </c>
      <c r="M70" t="s">
        <v>836</v>
      </c>
      <c r="N70" s="27" t="s">
        <v>64</v>
      </c>
      <c r="O70" t="s">
        <v>1174</v>
      </c>
      <c r="P70" t="s">
        <v>1175</v>
      </c>
      <c r="Q70" t="s">
        <v>1176</v>
      </c>
      <c r="S70" t="s">
        <v>1058</v>
      </c>
      <c r="T70" t="s">
        <v>89</v>
      </c>
      <c r="U70" t="s">
        <v>1174</v>
      </c>
      <c r="V70" t="s">
        <v>1175</v>
      </c>
      <c r="W70" t="s">
        <v>1176</v>
      </c>
    </row>
    <row r="71" spans="1:23">
      <c r="A71" t="s">
        <v>217</v>
      </c>
      <c r="B71" t="s">
        <v>67</v>
      </c>
      <c r="C71" t="s">
        <v>1174</v>
      </c>
      <c r="D71" t="s">
        <v>1175</v>
      </c>
      <c r="E71" t="s">
        <v>1176</v>
      </c>
      <c r="G71" t="s">
        <v>447</v>
      </c>
      <c r="H71" t="s">
        <v>189</v>
      </c>
      <c r="I71" t="s">
        <v>1174</v>
      </c>
      <c r="J71" t="s">
        <v>1175</v>
      </c>
      <c r="K71" t="s">
        <v>1176</v>
      </c>
      <c r="M71" t="s">
        <v>843</v>
      </c>
      <c r="N71" s="27" t="s">
        <v>58</v>
      </c>
      <c r="O71" t="s">
        <v>1174</v>
      </c>
      <c r="P71" t="s">
        <v>1175</v>
      </c>
      <c r="Q71" t="s">
        <v>1176</v>
      </c>
      <c r="S71" t="s">
        <v>1059</v>
      </c>
      <c r="T71" t="s">
        <v>124</v>
      </c>
      <c r="U71" t="s">
        <v>1174</v>
      </c>
      <c r="V71" t="s">
        <v>1175</v>
      </c>
      <c r="W71" t="s">
        <v>1176</v>
      </c>
    </row>
    <row r="72" spans="1:23">
      <c r="A72" t="s">
        <v>219</v>
      </c>
      <c r="B72" t="s">
        <v>86</v>
      </c>
      <c r="C72" t="s">
        <v>1174</v>
      </c>
      <c r="D72" t="s">
        <v>1175</v>
      </c>
      <c r="E72" t="s">
        <v>1176</v>
      </c>
      <c r="G72" t="s">
        <v>447</v>
      </c>
      <c r="H72" t="s">
        <v>158</v>
      </c>
      <c r="I72" t="s">
        <v>1174</v>
      </c>
      <c r="J72" t="s">
        <v>1175</v>
      </c>
      <c r="K72" t="s">
        <v>1176</v>
      </c>
      <c r="M72" t="s">
        <v>843</v>
      </c>
      <c r="N72" s="27" t="s">
        <v>81</v>
      </c>
      <c r="O72" t="s">
        <v>1174</v>
      </c>
      <c r="P72" t="s">
        <v>1175</v>
      </c>
      <c r="Q72" t="s">
        <v>1176</v>
      </c>
      <c r="S72" t="s">
        <v>1059</v>
      </c>
      <c r="T72" t="s">
        <v>173</v>
      </c>
      <c r="U72" t="s">
        <v>1174</v>
      </c>
      <c r="V72" t="s">
        <v>1175</v>
      </c>
      <c r="W72" t="s">
        <v>1176</v>
      </c>
    </row>
    <row r="73" spans="1:23">
      <c r="A73" t="s">
        <v>221</v>
      </c>
      <c r="B73" t="s">
        <v>89</v>
      </c>
      <c r="C73" t="s">
        <v>1174</v>
      </c>
      <c r="D73" t="s">
        <v>1175</v>
      </c>
      <c r="E73" t="s">
        <v>1176</v>
      </c>
      <c r="G73" t="s">
        <v>451</v>
      </c>
      <c r="H73" t="s">
        <v>113</v>
      </c>
      <c r="I73" t="s">
        <v>1174</v>
      </c>
      <c r="J73" t="s">
        <v>1175</v>
      </c>
      <c r="K73" t="s">
        <v>1176</v>
      </c>
      <c r="M73" t="s">
        <v>847</v>
      </c>
      <c r="N73" s="27" t="s">
        <v>73</v>
      </c>
      <c r="O73" t="s">
        <v>1174</v>
      </c>
      <c r="P73" t="s">
        <v>1175</v>
      </c>
      <c r="Q73" t="s">
        <v>1176</v>
      </c>
      <c r="S73" t="s">
        <v>1062</v>
      </c>
      <c r="T73" t="s">
        <v>113</v>
      </c>
      <c r="U73" t="s">
        <v>1174</v>
      </c>
      <c r="V73" t="s">
        <v>1175</v>
      </c>
      <c r="W73" t="s">
        <v>1176</v>
      </c>
    </row>
    <row r="74" spans="1:23">
      <c r="A74" t="s">
        <v>221</v>
      </c>
      <c r="B74" t="s">
        <v>93</v>
      </c>
      <c r="C74" t="s">
        <v>1174</v>
      </c>
      <c r="D74" t="s">
        <v>1175</v>
      </c>
      <c r="E74" t="s">
        <v>1176</v>
      </c>
      <c r="G74" t="s">
        <v>451</v>
      </c>
      <c r="H74" t="s">
        <v>86</v>
      </c>
      <c r="I74" t="s">
        <v>1174</v>
      </c>
      <c r="J74" t="s">
        <v>1175</v>
      </c>
      <c r="K74" t="s">
        <v>1176</v>
      </c>
      <c r="M74" t="s">
        <v>847</v>
      </c>
      <c r="N74" s="27" t="s">
        <v>82</v>
      </c>
      <c r="O74" t="s">
        <v>1174</v>
      </c>
      <c r="P74" t="s">
        <v>1175</v>
      </c>
      <c r="Q74" t="s">
        <v>1176</v>
      </c>
      <c r="S74" t="s">
        <v>1062</v>
      </c>
      <c r="T74" t="s">
        <v>92</v>
      </c>
      <c r="U74" t="s">
        <v>1174</v>
      </c>
      <c r="V74" t="s">
        <v>1175</v>
      </c>
      <c r="W74" t="s">
        <v>1176</v>
      </c>
    </row>
    <row r="75" spans="1:23">
      <c r="A75" t="s">
        <v>229</v>
      </c>
      <c r="B75" t="s">
        <v>60</v>
      </c>
      <c r="C75" t="s">
        <v>1174</v>
      </c>
      <c r="D75" t="s">
        <v>1175</v>
      </c>
      <c r="E75" t="s">
        <v>1176</v>
      </c>
      <c r="G75" t="s">
        <v>453</v>
      </c>
      <c r="H75" t="s">
        <v>79</v>
      </c>
      <c r="I75" t="s">
        <v>1174</v>
      </c>
      <c r="J75" t="s">
        <v>1175</v>
      </c>
      <c r="K75" t="s">
        <v>1176</v>
      </c>
      <c r="M75" t="s">
        <v>849</v>
      </c>
      <c r="N75" s="27" t="s">
        <v>89</v>
      </c>
      <c r="O75" t="s">
        <v>1174</v>
      </c>
      <c r="P75" t="s">
        <v>1175</v>
      </c>
      <c r="Q75" t="s">
        <v>1176</v>
      </c>
      <c r="S75" t="s">
        <v>1066</v>
      </c>
      <c r="T75" t="s">
        <v>113</v>
      </c>
      <c r="U75" t="s">
        <v>1174</v>
      </c>
      <c r="V75" t="s">
        <v>1175</v>
      </c>
      <c r="W75" t="s">
        <v>1176</v>
      </c>
    </row>
    <row r="76" spans="1:23">
      <c r="A76" t="s">
        <v>229</v>
      </c>
      <c r="B76" t="s">
        <v>158</v>
      </c>
      <c r="C76" t="s">
        <v>1174</v>
      </c>
      <c r="D76" t="s">
        <v>1175</v>
      </c>
      <c r="E76" t="s">
        <v>1176</v>
      </c>
      <c r="G76" t="s">
        <v>453</v>
      </c>
      <c r="H76" t="s">
        <v>322</v>
      </c>
      <c r="I76" t="s">
        <v>1177</v>
      </c>
      <c r="J76" t="s">
        <v>1175</v>
      </c>
      <c r="K76" t="s">
        <v>1176</v>
      </c>
      <c r="M76" t="s">
        <v>849</v>
      </c>
      <c r="N76" s="27" t="s">
        <v>68</v>
      </c>
      <c r="O76" t="s">
        <v>1174</v>
      </c>
      <c r="P76" t="s">
        <v>1175</v>
      </c>
      <c r="Q76" t="s">
        <v>1176</v>
      </c>
      <c r="S76" t="s">
        <v>1066</v>
      </c>
      <c r="T76" t="s">
        <v>97</v>
      </c>
      <c r="U76" t="s">
        <v>1174</v>
      </c>
      <c r="V76" t="s">
        <v>1175</v>
      </c>
      <c r="W76" t="s">
        <v>1176</v>
      </c>
    </row>
    <row r="77" spans="1:23">
      <c r="A77" t="s">
        <v>233</v>
      </c>
      <c r="B77" t="s">
        <v>124</v>
      </c>
      <c r="C77" t="s">
        <v>1177</v>
      </c>
      <c r="D77" t="s">
        <v>1175</v>
      </c>
      <c r="E77" t="s">
        <v>1176</v>
      </c>
      <c r="G77" t="s">
        <v>461</v>
      </c>
      <c r="H77" t="s">
        <v>64</v>
      </c>
      <c r="I77" t="s">
        <v>1174</v>
      </c>
      <c r="J77" t="s">
        <v>1175</v>
      </c>
      <c r="K77" t="s">
        <v>1176</v>
      </c>
      <c r="M77" t="s">
        <v>853</v>
      </c>
      <c r="N77" s="27" t="s">
        <v>92</v>
      </c>
      <c r="O77" t="s">
        <v>1174</v>
      </c>
      <c r="P77" t="s">
        <v>1175</v>
      </c>
      <c r="Q77" t="s">
        <v>1176</v>
      </c>
      <c r="S77" t="s">
        <v>1069</v>
      </c>
      <c r="T77" t="s">
        <v>68</v>
      </c>
      <c r="U77" t="s">
        <v>1174</v>
      </c>
      <c r="V77" t="s">
        <v>1175</v>
      </c>
      <c r="W77" t="s">
        <v>1176</v>
      </c>
    </row>
    <row r="78" spans="1:23">
      <c r="A78" t="s">
        <v>233</v>
      </c>
      <c r="B78" t="s">
        <v>68</v>
      </c>
      <c r="C78" t="s">
        <v>1177</v>
      </c>
      <c r="D78" t="s">
        <v>1175</v>
      </c>
      <c r="E78" t="s">
        <v>1176</v>
      </c>
      <c r="G78" t="s">
        <v>462</v>
      </c>
      <c r="H78" t="s">
        <v>93</v>
      </c>
      <c r="I78" t="s">
        <v>1174</v>
      </c>
      <c r="J78" t="s">
        <v>1175</v>
      </c>
      <c r="K78" t="s">
        <v>1176</v>
      </c>
      <c r="M78" t="s">
        <v>853</v>
      </c>
      <c r="N78" s="27" t="s">
        <v>72</v>
      </c>
      <c r="O78" t="s">
        <v>1174</v>
      </c>
      <c r="P78" t="s">
        <v>1175</v>
      </c>
      <c r="Q78" t="s">
        <v>1176</v>
      </c>
      <c r="S78" t="s">
        <v>1069</v>
      </c>
      <c r="T78" t="s">
        <v>67</v>
      </c>
      <c r="U78" t="s">
        <v>1174</v>
      </c>
      <c r="V78" t="s">
        <v>1175</v>
      </c>
      <c r="W78" t="s">
        <v>1176</v>
      </c>
    </row>
    <row r="79" spans="1:23">
      <c r="A79" t="s">
        <v>236</v>
      </c>
      <c r="B79" t="s">
        <v>86</v>
      </c>
      <c r="C79" t="s">
        <v>1174</v>
      </c>
      <c r="D79" t="s">
        <v>1175</v>
      </c>
      <c r="E79" t="s">
        <v>1176</v>
      </c>
      <c r="G79" t="s">
        <v>462</v>
      </c>
      <c r="H79" t="s">
        <v>68</v>
      </c>
      <c r="I79" t="s">
        <v>1174</v>
      </c>
      <c r="J79" t="s">
        <v>1175</v>
      </c>
      <c r="K79" t="s">
        <v>1176</v>
      </c>
      <c r="M79" t="s">
        <v>855</v>
      </c>
      <c r="N79" s="27" t="s">
        <v>92</v>
      </c>
      <c r="O79" t="s">
        <v>1174</v>
      </c>
      <c r="P79" t="s">
        <v>1175</v>
      </c>
      <c r="Q79" t="s">
        <v>1176</v>
      </c>
      <c r="S79" t="s">
        <v>1071</v>
      </c>
      <c r="T79" t="s">
        <v>67</v>
      </c>
      <c r="U79" t="s">
        <v>1174</v>
      </c>
      <c r="V79" t="s">
        <v>1175</v>
      </c>
      <c r="W79" t="s">
        <v>1176</v>
      </c>
    </row>
    <row r="80" spans="1:23">
      <c r="A80" t="s">
        <v>238</v>
      </c>
      <c r="B80" t="s">
        <v>73</v>
      </c>
      <c r="C80" t="s">
        <v>1174</v>
      </c>
      <c r="D80" t="s">
        <v>1175</v>
      </c>
      <c r="E80" t="s">
        <v>1176</v>
      </c>
      <c r="G80" t="s">
        <v>466</v>
      </c>
      <c r="H80" t="s">
        <v>92</v>
      </c>
      <c r="I80" t="s">
        <v>1174</v>
      </c>
      <c r="J80" t="s">
        <v>1175</v>
      </c>
      <c r="K80" t="s">
        <v>1176</v>
      </c>
      <c r="M80" t="s">
        <v>855</v>
      </c>
      <c r="N80" s="27" t="s">
        <v>93</v>
      </c>
      <c r="O80" t="s">
        <v>1174</v>
      </c>
      <c r="P80" t="s">
        <v>1175</v>
      </c>
      <c r="Q80" t="s">
        <v>1176</v>
      </c>
      <c r="S80" t="s">
        <v>1071</v>
      </c>
      <c r="T80" t="s">
        <v>105</v>
      </c>
      <c r="U80" t="s">
        <v>1174</v>
      </c>
      <c r="V80" t="s">
        <v>1175</v>
      </c>
      <c r="W80" t="s">
        <v>1176</v>
      </c>
    </row>
    <row r="81" spans="1:23">
      <c r="A81" t="s">
        <v>238</v>
      </c>
      <c r="B81" t="s">
        <v>81</v>
      </c>
      <c r="C81" t="s">
        <v>1174</v>
      </c>
      <c r="D81" t="s">
        <v>1175</v>
      </c>
      <c r="E81" t="s">
        <v>1176</v>
      </c>
      <c r="G81" t="s">
        <v>471</v>
      </c>
      <c r="H81" t="s">
        <v>124</v>
      </c>
      <c r="I81" t="s">
        <v>1174</v>
      </c>
      <c r="J81" t="s">
        <v>1175</v>
      </c>
      <c r="K81" t="s">
        <v>1176</v>
      </c>
      <c r="M81" t="s">
        <v>859</v>
      </c>
      <c r="N81" s="27" t="s">
        <v>137</v>
      </c>
      <c r="O81" t="s">
        <v>1174</v>
      </c>
      <c r="P81" t="s">
        <v>1175</v>
      </c>
      <c r="Q81" t="s">
        <v>1176</v>
      </c>
      <c r="S81" t="s">
        <v>1074</v>
      </c>
      <c r="T81" t="s">
        <v>124</v>
      </c>
      <c r="U81" t="s">
        <v>1174</v>
      </c>
      <c r="V81" t="s">
        <v>1175</v>
      </c>
      <c r="W81" t="s">
        <v>1176</v>
      </c>
    </row>
    <row r="82" spans="1:23">
      <c r="A82" t="s">
        <v>241</v>
      </c>
      <c r="B82" t="s">
        <v>81</v>
      </c>
      <c r="C82" t="s">
        <v>1174</v>
      </c>
      <c r="D82" t="s">
        <v>1175</v>
      </c>
      <c r="E82" t="s">
        <v>1176</v>
      </c>
      <c r="G82" t="s">
        <v>471</v>
      </c>
      <c r="H82" t="s">
        <v>417</v>
      </c>
      <c r="I82" t="s">
        <v>1174</v>
      </c>
      <c r="J82" t="s">
        <v>1175</v>
      </c>
      <c r="K82" t="s">
        <v>1176</v>
      </c>
      <c r="M82" t="s">
        <v>861</v>
      </c>
      <c r="N82" s="27" t="s">
        <v>67</v>
      </c>
      <c r="O82" t="s">
        <v>1174</v>
      </c>
      <c r="P82" t="s">
        <v>1175</v>
      </c>
      <c r="Q82" t="s">
        <v>1176</v>
      </c>
      <c r="S82" t="s">
        <v>1074</v>
      </c>
      <c r="T82" t="s">
        <v>172</v>
      </c>
      <c r="U82" t="s">
        <v>1174</v>
      </c>
      <c r="V82" t="s">
        <v>1175</v>
      </c>
      <c r="W82" t="s">
        <v>1176</v>
      </c>
    </row>
    <row r="83" spans="1:23">
      <c r="A83" t="s">
        <v>241</v>
      </c>
      <c r="B83" t="s">
        <v>64</v>
      </c>
      <c r="C83" t="s">
        <v>1174</v>
      </c>
      <c r="D83" t="s">
        <v>1175</v>
      </c>
      <c r="E83" t="s">
        <v>1176</v>
      </c>
      <c r="G83" t="s">
        <v>473</v>
      </c>
      <c r="H83" t="s">
        <v>64</v>
      </c>
      <c r="I83" t="s">
        <v>1174</v>
      </c>
      <c r="J83" t="s">
        <v>1175</v>
      </c>
      <c r="K83" t="s">
        <v>1176</v>
      </c>
      <c r="M83" t="s">
        <v>861</v>
      </c>
      <c r="N83" s="27" t="s">
        <v>68</v>
      </c>
      <c r="O83" t="s">
        <v>1174</v>
      </c>
      <c r="P83" t="s">
        <v>1175</v>
      </c>
      <c r="Q83" t="s">
        <v>1176</v>
      </c>
      <c r="S83" t="s">
        <v>1076</v>
      </c>
      <c r="T83" t="s">
        <v>67</v>
      </c>
      <c r="U83" t="s">
        <v>1174</v>
      </c>
      <c r="V83" t="s">
        <v>1175</v>
      </c>
      <c r="W83" t="s">
        <v>1176</v>
      </c>
    </row>
    <row r="84" spans="1:23">
      <c r="A84" t="s">
        <v>242</v>
      </c>
      <c r="B84" t="s">
        <v>73</v>
      </c>
      <c r="C84" t="s">
        <v>1174</v>
      </c>
      <c r="D84" t="s">
        <v>1175</v>
      </c>
      <c r="E84" t="s">
        <v>1176</v>
      </c>
      <c r="G84" t="s">
        <v>473</v>
      </c>
      <c r="H84" t="s">
        <v>408</v>
      </c>
      <c r="I84" t="s">
        <v>1177</v>
      </c>
      <c r="J84" t="s">
        <v>1175</v>
      </c>
      <c r="K84" t="s">
        <v>1176</v>
      </c>
      <c r="M84" t="s">
        <v>865</v>
      </c>
      <c r="N84" s="27" t="s">
        <v>72</v>
      </c>
      <c r="O84" t="s">
        <v>1174</v>
      </c>
      <c r="P84" t="s">
        <v>1175</v>
      </c>
      <c r="Q84" t="s">
        <v>1176</v>
      </c>
      <c r="S84" t="s">
        <v>1076</v>
      </c>
      <c r="T84" t="s">
        <v>105</v>
      </c>
      <c r="U84" t="s">
        <v>1174</v>
      </c>
      <c r="V84" t="s">
        <v>1175</v>
      </c>
      <c r="W84" t="s">
        <v>1176</v>
      </c>
    </row>
    <row r="85" spans="1:23">
      <c r="A85" t="s">
        <v>242</v>
      </c>
      <c r="B85" t="s">
        <v>92</v>
      </c>
      <c r="C85" t="s">
        <v>1174</v>
      </c>
      <c r="D85" t="s">
        <v>1175</v>
      </c>
      <c r="E85" t="s">
        <v>1176</v>
      </c>
      <c r="G85" t="s">
        <v>477</v>
      </c>
      <c r="H85" t="s">
        <v>137</v>
      </c>
      <c r="I85" t="s">
        <v>1174</v>
      </c>
      <c r="J85" t="s">
        <v>1175</v>
      </c>
      <c r="K85" t="s">
        <v>1176</v>
      </c>
      <c r="M85" t="s">
        <v>865</v>
      </c>
      <c r="N85" s="27" t="s">
        <v>89</v>
      </c>
      <c r="O85" t="s">
        <v>1174</v>
      </c>
      <c r="P85" t="s">
        <v>1175</v>
      </c>
      <c r="Q85" t="s">
        <v>1176</v>
      </c>
      <c r="S85" t="s">
        <v>1081</v>
      </c>
      <c r="T85" t="s">
        <v>173</v>
      </c>
      <c r="U85" t="s">
        <v>1174</v>
      </c>
      <c r="V85" t="s">
        <v>1175</v>
      </c>
      <c r="W85" t="s">
        <v>1176</v>
      </c>
    </row>
    <row r="86" spans="1:23">
      <c r="A86" t="s">
        <v>244</v>
      </c>
      <c r="B86" t="s">
        <v>68</v>
      </c>
      <c r="C86" t="s">
        <v>1174</v>
      </c>
      <c r="D86" t="s">
        <v>1175</v>
      </c>
      <c r="E86" t="s">
        <v>1176</v>
      </c>
      <c r="G86" t="s">
        <v>477</v>
      </c>
      <c r="H86" t="s">
        <v>92</v>
      </c>
      <c r="I86" t="s">
        <v>1174</v>
      </c>
      <c r="J86" t="s">
        <v>1175</v>
      </c>
      <c r="K86" t="s">
        <v>1176</v>
      </c>
      <c r="M86" t="s">
        <v>867</v>
      </c>
      <c r="N86" s="27" t="s">
        <v>476</v>
      </c>
      <c r="O86" t="s">
        <v>1174</v>
      </c>
      <c r="P86" t="s">
        <v>1175</v>
      </c>
      <c r="Q86" t="s">
        <v>1176</v>
      </c>
      <c r="S86" t="s">
        <v>1081</v>
      </c>
      <c r="T86" t="s">
        <v>68</v>
      </c>
      <c r="U86" t="s">
        <v>1174</v>
      </c>
      <c r="V86" t="s">
        <v>1175</v>
      </c>
      <c r="W86" t="s">
        <v>1176</v>
      </c>
    </row>
    <row r="87" spans="1:23">
      <c r="A87" t="s">
        <v>244</v>
      </c>
      <c r="B87" t="s">
        <v>246</v>
      </c>
      <c r="C87" t="s">
        <v>1174</v>
      </c>
      <c r="D87" t="s">
        <v>1175</v>
      </c>
      <c r="E87" t="s">
        <v>1176</v>
      </c>
      <c r="G87" t="s">
        <v>480</v>
      </c>
      <c r="H87" t="s">
        <v>116</v>
      </c>
      <c r="I87" t="s">
        <v>1174</v>
      </c>
      <c r="J87" t="s">
        <v>1175</v>
      </c>
      <c r="K87" t="s">
        <v>1176</v>
      </c>
      <c r="M87" t="s">
        <v>870</v>
      </c>
      <c r="N87" s="27" t="s">
        <v>81</v>
      </c>
      <c r="O87" t="s">
        <v>1174</v>
      </c>
      <c r="P87" t="s">
        <v>1175</v>
      </c>
      <c r="Q87" t="s">
        <v>1176</v>
      </c>
      <c r="S87" t="s">
        <v>1083</v>
      </c>
      <c r="T87" t="s">
        <v>156</v>
      </c>
      <c r="U87" t="s">
        <v>1174</v>
      </c>
      <c r="V87" t="s">
        <v>1175</v>
      </c>
      <c r="W87" t="s">
        <v>1176</v>
      </c>
    </row>
    <row r="88" spans="1:23">
      <c r="A88" t="s">
        <v>250</v>
      </c>
      <c r="B88" t="s">
        <v>116</v>
      </c>
      <c r="C88" t="s">
        <v>1174</v>
      </c>
      <c r="D88" t="s">
        <v>1175</v>
      </c>
      <c r="E88" t="s">
        <v>1176</v>
      </c>
      <c r="G88" t="s">
        <v>480</v>
      </c>
      <c r="H88" t="s">
        <v>137</v>
      </c>
      <c r="I88" t="s">
        <v>1174</v>
      </c>
      <c r="J88" t="s">
        <v>1175</v>
      </c>
      <c r="K88" t="s">
        <v>1176</v>
      </c>
      <c r="M88" t="s">
        <v>870</v>
      </c>
      <c r="N88" s="27" t="s">
        <v>73</v>
      </c>
      <c r="O88" t="s">
        <v>1174</v>
      </c>
      <c r="P88" t="s">
        <v>1175</v>
      </c>
      <c r="Q88" t="s">
        <v>1176</v>
      </c>
      <c r="S88" t="s">
        <v>1083</v>
      </c>
      <c r="T88" t="s">
        <v>231</v>
      </c>
      <c r="U88" t="s">
        <v>1174</v>
      </c>
      <c r="V88" t="s">
        <v>1175</v>
      </c>
      <c r="W88" t="s">
        <v>1176</v>
      </c>
    </row>
    <row r="89" spans="1:23">
      <c r="A89" t="s">
        <v>250</v>
      </c>
      <c r="B89" t="s">
        <v>255</v>
      </c>
      <c r="C89" t="s">
        <v>1177</v>
      </c>
      <c r="D89" t="s">
        <v>1175</v>
      </c>
      <c r="E89" t="s">
        <v>1176</v>
      </c>
      <c r="G89" t="s">
        <v>483</v>
      </c>
      <c r="H89" t="s">
        <v>86</v>
      </c>
      <c r="I89" t="s">
        <v>1174</v>
      </c>
      <c r="J89" t="s">
        <v>1175</v>
      </c>
      <c r="K89" t="s">
        <v>1176</v>
      </c>
      <c r="M89" t="s">
        <v>872</v>
      </c>
      <c r="N89" s="27" t="s">
        <v>67</v>
      </c>
      <c r="O89" t="s">
        <v>1174</v>
      </c>
      <c r="P89" t="s">
        <v>1175</v>
      </c>
      <c r="Q89" t="s">
        <v>1176</v>
      </c>
      <c r="S89" t="s">
        <v>1086</v>
      </c>
      <c r="T89" t="s">
        <v>73</v>
      </c>
      <c r="U89" t="s">
        <v>1174</v>
      </c>
      <c r="V89" t="s">
        <v>1175</v>
      </c>
      <c r="W89" t="s">
        <v>1176</v>
      </c>
    </row>
    <row r="90" spans="1:23">
      <c r="A90" t="s">
        <v>257</v>
      </c>
      <c r="B90" t="s">
        <v>81</v>
      </c>
      <c r="C90" t="s">
        <v>1174</v>
      </c>
      <c r="D90" t="s">
        <v>1175</v>
      </c>
      <c r="E90" t="s">
        <v>1176</v>
      </c>
      <c r="G90" t="s">
        <v>483</v>
      </c>
      <c r="H90" t="s">
        <v>255</v>
      </c>
      <c r="I90" t="s">
        <v>1177</v>
      </c>
      <c r="J90" t="s">
        <v>1175</v>
      </c>
      <c r="K90" t="s">
        <v>1176</v>
      </c>
      <c r="M90" t="s">
        <v>872</v>
      </c>
      <c r="N90" s="27" t="s">
        <v>255</v>
      </c>
      <c r="O90" t="s">
        <v>1177</v>
      </c>
      <c r="P90" t="s">
        <v>1175</v>
      </c>
      <c r="Q90" t="s">
        <v>1176</v>
      </c>
      <c r="S90" t="s">
        <v>1086</v>
      </c>
      <c r="T90" t="s">
        <v>82</v>
      </c>
      <c r="U90" t="s">
        <v>1174</v>
      </c>
      <c r="V90" t="s">
        <v>1175</v>
      </c>
      <c r="W90" t="s">
        <v>1176</v>
      </c>
    </row>
    <row r="91" spans="1:23">
      <c r="A91" t="s">
        <v>263</v>
      </c>
      <c r="B91" t="s">
        <v>189</v>
      </c>
      <c r="C91" t="s">
        <v>1174</v>
      </c>
      <c r="D91" t="s">
        <v>1175</v>
      </c>
      <c r="E91" t="s">
        <v>1176</v>
      </c>
      <c r="G91" t="s">
        <v>492</v>
      </c>
      <c r="H91" t="s">
        <v>93</v>
      </c>
      <c r="I91" t="s">
        <v>1174</v>
      </c>
      <c r="J91" t="s">
        <v>1175</v>
      </c>
      <c r="K91" t="s">
        <v>1176</v>
      </c>
      <c r="M91" t="s">
        <v>877</v>
      </c>
      <c r="N91" s="27" t="s">
        <v>116</v>
      </c>
      <c r="O91" t="s">
        <v>1174</v>
      </c>
      <c r="P91" t="s">
        <v>1175</v>
      </c>
      <c r="Q91" t="s">
        <v>1176</v>
      </c>
      <c r="S91" t="s">
        <v>1087</v>
      </c>
      <c r="T91" t="s">
        <v>92</v>
      </c>
      <c r="U91" t="s">
        <v>1174</v>
      </c>
      <c r="V91" t="s">
        <v>1175</v>
      </c>
      <c r="W91" t="s">
        <v>1176</v>
      </c>
    </row>
    <row r="92" spans="1:23">
      <c r="A92" t="s">
        <v>263</v>
      </c>
      <c r="B92" t="s">
        <v>89</v>
      </c>
      <c r="C92" t="s">
        <v>1174</v>
      </c>
      <c r="D92" t="s">
        <v>1175</v>
      </c>
      <c r="E92" t="s">
        <v>1176</v>
      </c>
      <c r="G92" t="s">
        <v>492</v>
      </c>
      <c r="H92" t="s">
        <v>64</v>
      </c>
      <c r="I92" t="s">
        <v>1174</v>
      </c>
      <c r="J92" t="s">
        <v>1175</v>
      </c>
      <c r="K92" t="s">
        <v>1176</v>
      </c>
      <c r="M92" t="s">
        <v>877</v>
      </c>
      <c r="N92" s="27" t="s">
        <v>105</v>
      </c>
      <c r="O92" t="s">
        <v>1174</v>
      </c>
      <c r="P92" t="s">
        <v>1175</v>
      </c>
      <c r="Q92" t="s">
        <v>1176</v>
      </c>
      <c r="S92" t="s">
        <v>1087</v>
      </c>
      <c r="T92" t="s">
        <v>113</v>
      </c>
      <c r="U92" t="s">
        <v>1174</v>
      </c>
      <c r="V92" t="s">
        <v>1175</v>
      </c>
      <c r="W92" t="s">
        <v>1176</v>
      </c>
    </row>
    <row r="93" spans="1:23">
      <c r="A93" t="s">
        <v>267</v>
      </c>
      <c r="B93" t="s">
        <v>97</v>
      </c>
      <c r="C93" t="s">
        <v>1174</v>
      </c>
      <c r="D93" t="s">
        <v>1175</v>
      </c>
      <c r="E93" t="s">
        <v>1176</v>
      </c>
      <c r="G93" t="s">
        <v>495</v>
      </c>
      <c r="H93" t="s">
        <v>86</v>
      </c>
      <c r="I93" t="s">
        <v>1174</v>
      </c>
      <c r="J93" t="s">
        <v>1175</v>
      </c>
      <c r="K93" t="s">
        <v>1176</v>
      </c>
      <c r="M93" t="s">
        <v>880</v>
      </c>
      <c r="N93" s="27" t="s">
        <v>81</v>
      </c>
      <c r="O93" t="s">
        <v>1174</v>
      </c>
      <c r="P93" t="s">
        <v>1175</v>
      </c>
      <c r="Q93" t="s">
        <v>1176</v>
      </c>
      <c r="S93" t="s">
        <v>1089</v>
      </c>
      <c r="T93" t="s">
        <v>82</v>
      </c>
      <c r="U93" t="s">
        <v>1174</v>
      </c>
      <c r="V93" t="s">
        <v>1175</v>
      </c>
      <c r="W93" t="s">
        <v>1176</v>
      </c>
    </row>
    <row r="94" spans="1:23">
      <c r="A94" t="s">
        <v>267</v>
      </c>
      <c r="B94" t="s">
        <v>68</v>
      </c>
      <c r="C94" t="s">
        <v>1174</v>
      </c>
      <c r="D94" t="s">
        <v>1175</v>
      </c>
      <c r="E94" t="s">
        <v>1176</v>
      </c>
      <c r="G94" t="s">
        <v>495</v>
      </c>
      <c r="H94" t="s">
        <v>92</v>
      </c>
      <c r="I94" t="s">
        <v>1174</v>
      </c>
      <c r="J94" t="s">
        <v>1175</v>
      </c>
      <c r="K94" t="s">
        <v>1176</v>
      </c>
      <c r="M94" t="s">
        <v>886</v>
      </c>
      <c r="N94" s="27" t="s">
        <v>160</v>
      </c>
      <c r="O94" t="s">
        <v>1174</v>
      </c>
      <c r="P94" t="s">
        <v>1175</v>
      </c>
      <c r="Q94" t="s">
        <v>1176</v>
      </c>
      <c r="S94" t="s">
        <v>1089</v>
      </c>
      <c r="T94" t="s">
        <v>92</v>
      </c>
      <c r="U94" t="s">
        <v>1174</v>
      </c>
      <c r="V94" t="s">
        <v>1175</v>
      </c>
      <c r="W94" t="s">
        <v>1176</v>
      </c>
    </row>
    <row r="95" spans="1:23">
      <c r="A95" t="s">
        <v>269</v>
      </c>
      <c r="B95" t="s">
        <v>86</v>
      </c>
      <c r="C95" t="s">
        <v>1174</v>
      </c>
      <c r="D95" t="s">
        <v>1175</v>
      </c>
      <c r="E95" t="s">
        <v>1176</v>
      </c>
      <c r="G95" t="s">
        <v>504</v>
      </c>
      <c r="H95" t="s">
        <v>283</v>
      </c>
      <c r="I95" t="s">
        <v>1174</v>
      </c>
      <c r="J95" t="s">
        <v>1175</v>
      </c>
      <c r="K95" t="s">
        <v>1176</v>
      </c>
      <c r="M95" t="s">
        <v>886</v>
      </c>
      <c r="N95" s="27" t="s">
        <v>158</v>
      </c>
      <c r="O95" t="s">
        <v>1174</v>
      </c>
      <c r="P95" t="s">
        <v>1175</v>
      </c>
      <c r="Q95" t="s">
        <v>1176</v>
      </c>
      <c r="S95" t="s">
        <v>1091</v>
      </c>
      <c r="T95" t="s">
        <v>81</v>
      </c>
      <c r="U95" t="s">
        <v>1174</v>
      </c>
      <c r="V95" t="s">
        <v>1175</v>
      </c>
      <c r="W95" t="s">
        <v>1176</v>
      </c>
    </row>
    <row r="96" spans="1:23">
      <c r="A96" t="s">
        <v>269</v>
      </c>
      <c r="B96" t="s">
        <v>175</v>
      </c>
      <c r="C96" t="s">
        <v>1174</v>
      </c>
      <c r="D96" t="s">
        <v>1175</v>
      </c>
      <c r="E96" t="s">
        <v>1176</v>
      </c>
      <c r="G96" t="s">
        <v>504</v>
      </c>
      <c r="H96" t="s">
        <v>156</v>
      </c>
      <c r="I96" t="s">
        <v>1174</v>
      </c>
      <c r="J96" t="s">
        <v>1175</v>
      </c>
      <c r="K96" t="s">
        <v>1176</v>
      </c>
      <c r="M96" t="s">
        <v>889</v>
      </c>
      <c r="N96" s="27" t="s">
        <v>68</v>
      </c>
      <c r="O96" t="s">
        <v>1174</v>
      </c>
      <c r="P96" t="s">
        <v>1175</v>
      </c>
      <c r="Q96" t="s">
        <v>1176</v>
      </c>
      <c r="S96" t="s">
        <v>1091</v>
      </c>
      <c r="T96" t="s">
        <v>137</v>
      </c>
      <c r="U96" t="s">
        <v>1174</v>
      </c>
      <c r="V96" t="s">
        <v>1175</v>
      </c>
      <c r="W96" t="s">
        <v>1176</v>
      </c>
    </row>
    <row r="97" spans="1:23">
      <c r="A97" t="s">
        <v>272</v>
      </c>
      <c r="B97" t="s">
        <v>79</v>
      </c>
      <c r="C97" t="s">
        <v>1174</v>
      </c>
      <c r="D97" t="s">
        <v>1175</v>
      </c>
      <c r="E97" t="s">
        <v>1176</v>
      </c>
      <c r="G97" t="s">
        <v>510</v>
      </c>
      <c r="H97" t="s">
        <v>149</v>
      </c>
      <c r="I97" t="s">
        <v>1174</v>
      </c>
      <c r="J97" t="s">
        <v>1175</v>
      </c>
      <c r="K97" t="s">
        <v>1176</v>
      </c>
      <c r="M97" t="s">
        <v>889</v>
      </c>
      <c r="N97" s="27" t="s">
        <v>576</v>
      </c>
      <c r="O97" t="s">
        <v>1177</v>
      </c>
      <c r="P97" t="s">
        <v>1175</v>
      </c>
      <c r="Q97" t="s">
        <v>1176</v>
      </c>
      <c r="S97" t="s">
        <v>1092</v>
      </c>
      <c r="T97" t="s">
        <v>137</v>
      </c>
      <c r="U97" t="s">
        <v>1174</v>
      </c>
      <c r="V97" t="s">
        <v>1175</v>
      </c>
      <c r="W97" t="s">
        <v>1176</v>
      </c>
    </row>
    <row r="98" spans="1:23">
      <c r="A98" t="s">
        <v>272</v>
      </c>
      <c r="B98" t="s">
        <v>71</v>
      </c>
      <c r="C98" t="s">
        <v>1174</v>
      </c>
      <c r="D98" t="s">
        <v>1175</v>
      </c>
      <c r="E98" t="s">
        <v>1176</v>
      </c>
      <c r="G98" t="s">
        <v>512</v>
      </c>
      <c r="H98" t="s">
        <v>64</v>
      </c>
      <c r="I98" t="s">
        <v>1174</v>
      </c>
      <c r="J98" t="s">
        <v>1175</v>
      </c>
      <c r="K98" t="s">
        <v>1176</v>
      </c>
      <c r="M98" t="s">
        <v>894</v>
      </c>
      <c r="N98" s="27" t="s">
        <v>82</v>
      </c>
      <c r="O98" t="s">
        <v>1174</v>
      </c>
      <c r="P98" t="s">
        <v>1175</v>
      </c>
      <c r="Q98" t="s">
        <v>1176</v>
      </c>
      <c r="S98" t="s">
        <v>1092</v>
      </c>
      <c r="T98" t="s">
        <v>81</v>
      </c>
      <c r="U98" t="s">
        <v>1174</v>
      </c>
      <c r="V98" t="s">
        <v>1175</v>
      </c>
      <c r="W98" t="s">
        <v>1176</v>
      </c>
    </row>
    <row r="99" spans="1:23">
      <c r="A99" t="s">
        <v>275</v>
      </c>
      <c r="B99" t="s">
        <v>92</v>
      </c>
      <c r="C99" t="s">
        <v>1174</v>
      </c>
      <c r="D99" t="s">
        <v>1175</v>
      </c>
      <c r="E99" t="s">
        <v>1176</v>
      </c>
      <c r="G99" t="s">
        <v>512</v>
      </c>
      <c r="H99" t="s">
        <v>81</v>
      </c>
      <c r="I99" t="s">
        <v>1174</v>
      </c>
      <c r="J99" t="s">
        <v>1175</v>
      </c>
      <c r="K99" t="s">
        <v>1176</v>
      </c>
      <c r="M99" t="s">
        <v>894</v>
      </c>
      <c r="N99" s="27" t="s">
        <v>92</v>
      </c>
      <c r="O99" t="s">
        <v>1174</v>
      </c>
      <c r="P99" t="s">
        <v>1175</v>
      </c>
      <c r="Q99" t="s">
        <v>1176</v>
      </c>
      <c r="S99" t="s">
        <v>1094</v>
      </c>
      <c r="T99" t="s">
        <v>172</v>
      </c>
      <c r="U99" t="s">
        <v>1174</v>
      </c>
      <c r="V99" t="s">
        <v>1175</v>
      </c>
      <c r="W99" t="s">
        <v>1176</v>
      </c>
    </row>
    <row r="100" spans="1:23">
      <c r="A100" t="s">
        <v>275</v>
      </c>
      <c r="B100" t="s">
        <v>85</v>
      </c>
      <c r="C100" t="s">
        <v>1174</v>
      </c>
      <c r="D100" t="s">
        <v>1175</v>
      </c>
      <c r="E100" t="s">
        <v>1176</v>
      </c>
      <c r="G100" t="s">
        <v>517</v>
      </c>
      <c r="H100" t="s">
        <v>67</v>
      </c>
      <c r="I100" t="s">
        <v>1174</v>
      </c>
      <c r="J100" t="s">
        <v>1175</v>
      </c>
      <c r="K100" t="s">
        <v>1176</v>
      </c>
      <c r="M100" t="s">
        <v>896</v>
      </c>
      <c r="N100" s="27" t="s">
        <v>59</v>
      </c>
      <c r="O100" t="s">
        <v>1174</v>
      </c>
      <c r="P100" t="s">
        <v>1175</v>
      </c>
      <c r="Q100" t="s">
        <v>1176</v>
      </c>
      <c r="S100" t="s">
        <v>1094</v>
      </c>
      <c r="T100" t="s">
        <v>78</v>
      </c>
      <c r="U100" t="s">
        <v>1174</v>
      </c>
      <c r="V100" t="s">
        <v>1175</v>
      </c>
      <c r="W100" t="s">
        <v>1176</v>
      </c>
    </row>
    <row r="101" spans="1:23">
      <c r="A101" t="s">
        <v>278</v>
      </c>
      <c r="B101" t="s">
        <v>124</v>
      </c>
      <c r="C101" t="s">
        <v>1174</v>
      </c>
      <c r="D101" t="s">
        <v>1175</v>
      </c>
      <c r="E101" t="s">
        <v>1176</v>
      </c>
      <c r="G101" t="s">
        <v>517</v>
      </c>
      <c r="H101" t="s">
        <v>173</v>
      </c>
      <c r="I101" t="s">
        <v>1174</v>
      </c>
      <c r="J101" t="s">
        <v>1175</v>
      </c>
      <c r="K101" t="s">
        <v>1176</v>
      </c>
      <c r="M101" t="s">
        <v>899</v>
      </c>
      <c r="N101" s="27" t="s">
        <v>82</v>
      </c>
      <c r="O101" t="s">
        <v>1174</v>
      </c>
      <c r="P101" t="s">
        <v>1175</v>
      </c>
      <c r="Q101" t="s">
        <v>1176</v>
      </c>
      <c r="S101" t="s">
        <v>1096</v>
      </c>
      <c r="T101" t="s">
        <v>189</v>
      </c>
      <c r="U101" t="s">
        <v>1174</v>
      </c>
      <c r="V101" t="s">
        <v>1175</v>
      </c>
      <c r="W101" t="s">
        <v>1176</v>
      </c>
    </row>
    <row r="102" spans="1:23">
      <c r="A102" t="s">
        <v>278</v>
      </c>
      <c r="B102" t="s">
        <v>68</v>
      </c>
      <c r="C102" t="s">
        <v>1174</v>
      </c>
      <c r="D102" t="s">
        <v>1175</v>
      </c>
      <c r="E102" t="s">
        <v>1176</v>
      </c>
      <c r="G102" t="s">
        <v>520</v>
      </c>
      <c r="H102" t="s">
        <v>76</v>
      </c>
      <c r="I102" t="s">
        <v>1174</v>
      </c>
      <c r="J102" t="s">
        <v>1175</v>
      </c>
      <c r="K102" t="s">
        <v>1176</v>
      </c>
      <c r="M102" t="s">
        <v>899</v>
      </c>
      <c r="N102" s="27" t="s">
        <v>92</v>
      </c>
      <c r="O102" t="s">
        <v>1174</v>
      </c>
      <c r="P102" t="s">
        <v>1175</v>
      </c>
      <c r="Q102" t="s">
        <v>1176</v>
      </c>
      <c r="S102" t="s">
        <v>1096</v>
      </c>
      <c r="T102" t="s">
        <v>156</v>
      </c>
      <c r="U102" t="s">
        <v>1174</v>
      </c>
      <c r="V102" t="s">
        <v>1175</v>
      </c>
      <c r="W102" t="s">
        <v>1176</v>
      </c>
    </row>
    <row r="103" spans="1:23">
      <c r="A103" t="s">
        <v>280</v>
      </c>
      <c r="B103" t="s">
        <v>158</v>
      </c>
      <c r="C103" t="s">
        <v>1174</v>
      </c>
      <c r="D103" t="s">
        <v>1175</v>
      </c>
      <c r="E103" t="s">
        <v>1176</v>
      </c>
      <c r="G103" t="s">
        <v>520</v>
      </c>
      <c r="H103" t="s">
        <v>189</v>
      </c>
      <c r="I103" t="s">
        <v>1177</v>
      </c>
      <c r="J103" t="s">
        <v>1175</v>
      </c>
      <c r="K103" t="s">
        <v>1176</v>
      </c>
      <c r="M103" t="s">
        <v>902</v>
      </c>
      <c r="N103" s="27" t="s">
        <v>85</v>
      </c>
      <c r="O103" t="s">
        <v>1174</v>
      </c>
      <c r="P103" t="s">
        <v>1175</v>
      </c>
      <c r="Q103" t="s">
        <v>1176</v>
      </c>
      <c r="S103" t="s">
        <v>1098</v>
      </c>
      <c r="T103" t="s">
        <v>81</v>
      </c>
      <c r="U103" t="s">
        <v>1174</v>
      </c>
      <c r="V103" t="s">
        <v>1175</v>
      </c>
      <c r="W103" t="s">
        <v>1176</v>
      </c>
    </row>
    <row r="104" spans="1:23">
      <c r="A104" t="s">
        <v>280</v>
      </c>
      <c r="B104" t="s">
        <v>159</v>
      </c>
      <c r="C104" t="s">
        <v>1174</v>
      </c>
      <c r="D104" t="s">
        <v>1175</v>
      </c>
      <c r="E104" t="s">
        <v>1176</v>
      </c>
      <c r="G104" t="s">
        <v>522</v>
      </c>
      <c r="H104" t="s">
        <v>76</v>
      </c>
      <c r="I104" t="s">
        <v>1174</v>
      </c>
      <c r="J104" t="s">
        <v>1175</v>
      </c>
      <c r="K104" t="s">
        <v>1176</v>
      </c>
      <c r="M104" t="s">
        <v>902</v>
      </c>
      <c r="N104" s="27" t="s">
        <v>86</v>
      </c>
      <c r="O104" t="s">
        <v>1174</v>
      </c>
      <c r="P104" t="s">
        <v>1175</v>
      </c>
      <c r="Q104" t="s">
        <v>1176</v>
      </c>
      <c r="S104" t="s">
        <v>1098</v>
      </c>
      <c r="T104" t="s">
        <v>73</v>
      </c>
      <c r="U104" t="s">
        <v>1174</v>
      </c>
      <c r="V104" t="s">
        <v>1175</v>
      </c>
      <c r="W104" t="s">
        <v>1176</v>
      </c>
    </row>
    <row r="105" spans="1:23">
      <c r="A105" t="s">
        <v>284</v>
      </c>
      <c r="B105" t="s">
        <v>97</v>
      </c>
      <c r="C105" t="s">
        <v>1174</v>
      </c>
      <c r="D105" t="s">
        <v>1175</v>
      </c>
      <c r="E105" t="s">
        <v>1176</v>
      </c>
      <c r="G105" t="s">
        <v>522</v>
      </c>
      <c r="H105" t="s">
        <v>212</v>
      </c>
      <c r="I105" t="s">
        <v>1174</v>
      </c>
      <c r="J105" t="s">
        <v>1175</v>
      </c>
      <c r="K105" t="s">
        <v>1176</v>
      </c>
      <c r="M105" t="s">
        <v>905</v>
      </c>
      <c r="N105" s="27" t="s">
        <v>81</v>
      </c>
      <c r="O105" t="s">
        <v>1174</v>
      </c>
      <c r="P105" t="s">
        <v>1175</v>
      </c>
      <c r="Q105" t="s">
        <v>1176</v>
      </c>
      <c r="S105" t="s">
        <v>1100</v>
      </c>
      <c r="T105" t="s">
        <v>97</v>
      </c>
      <c r="U105" t="s">
        <v>1174</v>
      </c>
      <c r="V105" t="s">
        <v>1175</v>
      </c>
      <c r="W105" t="s">
        <v>1176</v>
      </c>
    </row>
    <row r="106" spans="1:23">
      <c r="A106" t="s">
        <v>284</v>
      </c>
      <c r="B106" t="s">
        <v>78</v>
      </c>
      <c r="C106" t="s">
        <v>1174</v>
      </c>
      <c r="D106" t="s">
        <v>1175</v>
      </c>
      <c r="E106" t="s">
        <v>1176</v>
      </c>
      <c r="G106" t="s">
        <v>525</v>
      </c>
      <c r="H106" t="s">
        <v>175</v>
      </c>
      <c r="I106" t="s">
        <v>1174</v>
      </c>
      <c r="J106" t="s">
        <v>1175</v>
      </c>
      <c r="K106" t="s">
        <v>1176</v>
      </c>
      <c r="M106" t="s">
        <v>905</v>
      </c>
      <c r="N106" s="27" t="s">
        <v>64</v>
      </c>
      <c r="O106" t="s">
        <v>1174</v>
      </c>
      <c r="P106" t="s">
        <v>1175</v>
      </c>
      <c r="Q106" t="s">
        <v>1176</v>
      </c>
      <c r="S106" t="s">
        <v>1100</v>
      </c>
      <c r="T106" t="s">
        <v>89</v>
      </c>
      <c r="U106" t="s">
        <v>1174</v>
      </c>
      <c r="V106" t="s">
        <v>1175</v>
      </c>
      <c r="W106" t="s">
        <v>1176</v>
      </c>
    </row>
    <row r="107" spans="1:23">
      <c r="A107" t="s">
        <v>286</v>
      </c>
      <c r="B107" t="s">
        <v>64</v>
      </c>
      <c r="C107" t="s">
        <v>1174</v>
      </c>
      <c r="D107" t="s">
        <v>1175</v>
      </c>
      <c r="E107" t="s">
        <v>1176</v>
      </c>
      <c r="G107" t="s">
        <v>525</v>
      </c>
      <c r="H107" t="s">
        <v>163</v>
      </c>
      <c r="I107" t="s">
        <v>1174</v>
      </c>
      <c r="J107" t="s">
        <v>1175</v>
      </c>
      <c r="K107" t="s">
        <v>1176</v>
      </c>
      <c r="M107" t="s">
        <v>911</v>
      </c>
      <c r="N107" s="27" t="s">
        <v>137</v>
      </c>
      <c r="O107" t="s">
        <v>1174</v>
      </c>
      <c r="P107" t="s">
        <v>1175</v>
      </c>
      <c r="Q107" t="s">
        <v>1176</v>
      </c>
      <c r="S107" t="s">
        <v>1102</v>
      </c>
      <c r="T107" t="s">
        <v>116</v>
      </c>
      <c r="U107" t="s">
        <v>1174</v>
      </c>
      <c r="V107" t="s">
        <v>1175</v>
      </c>
      <c r="W107" t="s">
        <v>1176</v>
      </c>
    </row>
    <row r="108" spans="1:23">
      <c r="A108" t="s">
        <v>286</v>
      </c>
      <c r="B108" t="s">
        <v>137</v>
      </c>
      <c r="C108" t="s">
        <v>1174</v>
      </c>
      <c r="D108" t="s">
        <v>1175</v>
      </c>
      <c r="E108" t="s">
        <v>1176</v>
      </c>
      <c r="G108" t="s">
        <v>528</v>
      </c>
      <c r="H108" t="s">
        <v>85</v>
      </c>
      <c r="I108" t="s">
        <v>1174</v>
      </c>
      <c r="J108" t="s">
        <v>1175</v>
      </c>
      <c r="K108" t="s">
        <v>1176</v>
      </c>
      <c r="M108" t="s">
        <v>911</v>
      </c>
      <c r="N108" s="27" t="s">
        <v>64</v>
      </c>
      <c r="O108" t="s">
        <v>1174</v>
      </c>
      <c r="P108" t="s">
        <v>1175</v>
      </c>
      <c r="Q108" t="s">
        <v>1176</v>
      </c>
      <c r="S108" t="s">
        <v>1102</v>
      </c>
      <c r="T108" t="s">
        <v>81</v>
      </c>
      <c r="U108" t="s">
        <v>1174</v>
      </c>
      <c r="V108" t="s">
        <v>1175</v>
      </c>
      <c r="W108" t="s">
        <v>1176</v>
      </c>
    </row>
    <row r="109" spans="1:23">
      <c r="A109" t="s">
        <v>287</v>
      </c>
      <c r="B109" t="s">
        <v>73</v>
      </c>
      <c r="C109" t="s">
        <v>1174</v>
      </c>
      <c r="D109" t="s">
        <v>1175</v>
      </c>
      <c r="E109" t="s">
        <v>1176</v>
      </c>
      <c r="G109" t="s">
        <v>528</v>
      </c>
      <c r="H109" t="s">
        <v>67</v>
      </c>
      <c r="I109" t="s">
        <v>1174</v>
      </c>
      <c r="J109" t="s">
        <v>1175</v>
      </c>
      <c r="K109" t="s">
        <v>1176</v>
      </c>
      <c r="M109" t="s">
        <v>924</v>
      </c>
      <c r="N109" s="27" t="s">
        <v>715</v>
      </c>
      <c r="O109" t="s">
        <v>1174</v>
      </c>
      <c r="P109" t="s">
        <v>1175</v>
      </c>
      <c r="Q109" t="s">
        <v>1176</v>
      </c>
      <c r="S109" t="s">
        <v>1103</v>
      </c>
      <c r="T109" t="s">
        <v>67</v>
      </c>
      <c r="U109" t="s">
        <v>1174</v>
      </c>
      <c r="V109" t="s">
        <v>1175</v>
      </c>
      <c r="W109" t="s">
        <v>1176</v>
      </c>
    </row>
    <row r="110" spans="1:23">
      <c r="A110" t="s">
        <v>287</v>
      </c>
      <c r="B110" t="s">
        <v>82</v>
      </c>
      <c r="C110" t="s">
        <v>1174</v>
      </c>
      <c r="D110" t="s">
        <v>1175</v>
      </c>
      <c r="E110" t="s">
        <v>1176</v>
      </c>
      <c r="G110" t="s">
        <v>531</v>
      </c>
      <c r="H110" t="s">
        <v>77</v>
      </c>
      <c r="I110" t="s">
        <v>1174</v>
      </c>
      <c r="J110" t="s">
        <v>1175</v>
      </c>
      <c r="K110" t="s">
        <v>1176</v>
      </c>
      <c r="M110" t="s">
        <v>924</v>
      </c>
      <c r="N110" s="27" t="s">
        <v>926</v>
      </c>
      <c r="O110" t="s">
        <v>1174</v>
      </c>
      <c r="P110" t="s">
        <v>1175</v>
      </c>
      <c r="Q110" t="s">
        <v>1176</v>
      </c>
      <c r="S110" t="s">
        <v>1103</v>
      </c>
      <c r="T110" t="s">
        <v>97</v>
      </c>
      <c r="U110" t="s">
        <v>1174</v>
      </c>
      <c r="V110" t="s">
        <v>1175</v>
      </c>
      <c r="W110" t="s">
        <v>1176</v>
      </c>
    </row>
    <row r="111" spans="1:23">
      <c r="A111" t="s">
        <v>290</v>
      </c>
      <c r="B111" t="s">
        <v>81</v>
      </c>
      <c r="C111" t="s">
        <v>1174</v>
      </c>
      <c r="D111" t="s">
        <v>1175</v>
      </c>
      <c r="E111" t="s">
        <v>1176</v>
      </c>
      <c r="G111" t="s">
        <v>533</v>
      </c>
      <c r="H111" t="s">
        <v>73</v>
      </c>
      <c r="I111" t="s">
        <v>1174</v>
      </c>
      <c r="J111" t="s">
        <v>1175</v>
      </c>
      <c r="K111" t="s">
        <v>1176</v>
      </c>
      <c r="M111" t="s">
        <v>931</v>
      </c>
      <c r="N111" s="27" t="s">
        <v>173</v>
      </c>
      <c r="O111" t="s">
        <v>1174</v>
      </c>
      <c r="P111" t="s">
        <v>1175</v>
      </c>
      <c r="Q111" t="s">
        <v>1176</v>
      </c>
      <c r="S111" t="s">
        <v>1105</v>
      </c>
      <c r="T111" t="s">
        <v>73</v>
      </c>
      <c r="U111" t="s">
        <v>1174</v>
      </c>
      <c r="V111" t="s">
        <v>1175</v>
      </c>
      <c r="W111" t="s">
        <v>1176</v>
      </c>
    </row>
    <row r="112" spans="1:23">
      <c r="A112" t="s">
        <v>290</v>
      </c>
      <c r="B112" t="s">
        <v>93</v>
      </c>
      <c r="C112" t="s">
        <v>1174</v>
      </c>
      <c r="D112" t="s">
        <v>1175</v>
      </c>
      <c r="E112" t="s">
        <v>1176</v>
      </c>
      <c r="G112" t="s">
        <v>533</v>
      </c>
      <c r="H112" t="s">
        <v>81</v>
      </c>
      <c r="I112" t="s">
        <v>1174</v>
      </c>
      <c r="J112" t="s">
        <v>1175</v>
      </c>
      <c r="K112" t="s">
        <v>1176</v>
      </c>
      <c r="M112" t="s">
        <v>931</v>
      </c>
      <c r="N112" s="27" t="s">
        <v>124</v>
      </c>
      <c r="O112" t="s">
        <v>1174</v>
      </c>
      <c r="P112" t="s">
        <v>1175</v>
      </c>
      <c r="Q112" t="s">
        <v>1176</v>
      </c>
      <c r="S112" t="s">
        <v>1105</v>
      </c>
      <c r="T112" t="s">
        <v>113</v>
      </c>
      <c r="U112" t="s">
        <v>1174</v>
      </c>
      <c r="V112" t="s">
        <v>1175</v>
      </c>
      <c r="W112" t="s">
        <v>1176</v>
      </c>
    </row>
    <row r="113" spans="1:23">
      <c r="A113" t="s">
        <v>292</v>
      </c>
      <c r="B113" t="s">
        <v>92</v>
      </c>
      <c r="C113" t="s">
        <v>1174</v>
      </c>
      <c r="D113" t="s">
        <v>1175</v>
      </c>
      <c r="E113" t="s">
        <v>1176</v>
      </c>
      <c r="G113" t="s">
        <v>536</v>
      </c>
      <c r="H113" t="s">
        <v>58</v>
      </c>
      <c r="I113" t="s">
        <v>1174</v>
      </c>
      <c r="J113" t="s">
        <v>1175</v>
      </c>
      <c r="K113" t="s">
        <v>1176</v>
      </c>
      <c r="M113" t="s">
        <v>934</v>
      </c>
      <c r="N113" s="27" t="s">
        <v>116</v>
      </c>
      <c r="O113" t="s">
        <v>1174</v>
      </c>
      <c r="P113" t="s">
        <v>1175</v>
      </c>
      <c r="Q113" t="s">
        <v>1176</v>
      </c>
      <c r="S113" t="s">
        <v>1108</v>
      </c>
      <c r="T113" t="s">
        <v>73</v>
      </c>
      <c r="U113" t="s">
        <v>1174</v>
      </c>
      <c r="V113" t="s">
        <v>1175</v>
      </c>
      <c r="W113" t="s">
        <v>1176</v>
      </c>
    </row>
    <row r="114" spans="1:23">
      <c r="A114" t="s">
        <v>292</v>
      </c>
      <c r="B114" t="s">
        <v>113</v>
      </c>
      <c r="C114" t="s">
        <v>1174</v>
      </c>
      <c r="D114" t="s">
        <v>1175</v>
      </c>
      <c r="E114" t="s">
        <v>1176</v>
      </c>
      <c r="G114" t="s">
        <v>536</v>
      </c>
      <c r="H114" t="s">
        <v>538</v>
      </c>
      <c r="I114" t="s">
        <v>1177</v>
      </c>
      <c r="J114" t="s">
        <v>1175</v>
      </c>
      <c r="K114" t="s">
        <v>1176</v>
      </c>
      <c r="M114" t="s">
        <v>934</v>
      </c>
      <c r="N114" s="27" t="s">
        <v>137</v>
      </c>
      <c r="O114" t="s">
        <v>1174</v>
      </c>
      <c r="P114" t="s">
        <v>1175</v>
      </c>
      <c r="Q114" t="s">
        <v>1176</v>
      </c>
      <c r="S114" t="s">
        <v>1108</v>
      </c>
      <c r="T114" t="s">
        <v>113</v>
      </c>
      <c r="U114" t="s">
        <v>1174</v>
      </c>
      <c r="V114" t="s">
        <v>1175</v>
      </c>
      <c r="W114" t="s">
        <v>1176</v>
      </c>
    </row>
    <row r="115" spans="1:23">
      <c r="A115" t="s">
        <v>294</v>
      </c>
      <c r="B115" t="s">
        <v>172</v>
      </c>
      <c r="C115" t="s">
        <v>1174</v>
      </c>
      <c r="D115" t="s">
        <v>1175</v>
      </c>
      <c r="E115" t="s">
        <v>1176</v>
      </c>
      <c r="G115" t="s">
        <v>539</v>
      </c>
      <c r="H115" t="s">
        <v>116</v>
      </c>
      <c r="I115" t="s">
        <v>1174</v>
      </c>
      <c r="J115" t="s">
        <v>1175</v>
      </c>
      <c r="K115" t="s">
        <v>1176</v>
      </c>
      <c r="M115" t="s">
        <v>937</v>
      </c>
      <c r="N115" s="27" t="s">
        <v>73</v>
      </c>
      <c r="O115" t="s">
        <v>1174</v>
      </c>
      <c r="P115" t="s">
        <v>1175</v>
      </c>
      <c r="Q115" t="s">
        <v>1176</v>
      </c>
      <c r="S115" t="s">
        <v>1110</v>
      </c>
      <c r="T115" t="s">
        <v>96</v>
      </c>
      <c r="U115" t="s">
        <v>1174</v>
      </c>
      <c r="V115" t="s">
        <v>1175</v>
      </c>
      <c r="W115" t="s">
        <v>1176</v>
      </c>
    </row>
    <row r="116" spans="1:23">
      <c r="A116" t="s">
        <v>294</v>
      </c>
      <c r="B116" t="s">
        <v>173</v>
      </c>
      <c r="C116" t="s">
        <v>1174</v>
      </c>
      <c r="D116" t="s">
        <v>1175</v>
      </c>
      <c r="E116" t="s">
        <v>1176</v>
      </c>
      <c r="G116" t="s">
        <v>541</v>
      </c>
      <c r="H116" t="s">
        <v>116</v>
      </c>
      <c r="I116" t="s">
        <v>1174</v>
      </c>
      <c r="J116" t="s">
        <v>1175</v>
      </c>
      <c r="K116" t="s">
        <v>1176</v>
      </c>
      <c r="M116" t="s">
        <v>938</v>
      </c>
      <c r="N116" s="27" t="s">
        <v>73</v>
      </c>
      <c r="O116" t="s">
        <v>1174</v>
      </c>
      <c r="P116" t="s">
        <v>1175</v>
      </c>
      <c r="Q116" t="s">
        <v>1176</v>
      </c>
      <c r="S116" t="s">
        <v>1110</v>
      </c>
      <c r="T116" t="s">
        <v>175</v>
      </c>
      <c r="U116" t="s">
        <v>1174</v>
      </c>
      <c r="V116" t="s">
        <v>1175</v>
      </c>
      <c r="W116" t="s">
        <v>1176</v>
      </c>
    </row>
    <row r="117" spans="1:23">
      <c r="A117" t="s">
        <v>298</v>
      </c>
      <c r="B117" t="s">
        <v>137</v>
      </c>
      <c r="C117" t="s">
        <v>1174</v>
      </c>
      <c r="D117" t="s">
        <v>1175</v>
      </c>
      <c r="E117" t="s">
        <v>1176</v>
      </c>
      <c r="G117" t="s">
        <v>541</v>
      </c>
      <c r="H117" t="s">
        <v>64</v>
      </c>
      <c r="I117" t="s">
        <v>1174</v>
      </c>
      <c r="J117" t="s">
        <v>1175</v>
      </c>
      <c r="K117" t="s">
        <v>1176</v>
      </c>
      <c r="M117" t="s">
        <v>938</v>
      </c>
      <c r="N117" s="27" t="s">
        <v>81</v>
      </c>
      <c r="O117" t="s">
        <v>1174</v>
      </c>
      <c r="P117" t="s">
        <v>1175</v>
      </c>
      <c r="Q117" t="s">
        <v>1176</v>
      </c>
      <c r="S117" t="s">
        <v>1115</v>
      </c>
      <c r="T117" t="s">
        <v>92</v>
      </c>
      <c r="U117" t="s">
        <v>1174</v>
      </c>
      <c r="V117" t="s">
        <v>1175</v>
      </c>
      <c r="W117" t="s">
        <v>1176</v>
      </c>
    </row>
    <row r="118" spans="1:23">
      <c r="A118" t="s">
        <v>298</v>
      </c>
      <c r="B118" t="s">
        <v>73</v>
      </c>
      <c r="C118" t="s">
        <v>1174</v>
      </c>
      <c r="D118" t="s">
        <v>1175</v>
      </c>
      <c r="E118" t="s">
        <v>1176</v>
      </c>
      <c r="G118" t="s">
        <v>544</v>
      </c>
      <c r="H118" t="s">
        <v>64</v>
      </c>
      <c r="I118" t="s">
        <v>1174</v>
      </c>
      <c r="J118" t="s">
        <v>1175</v>
      </c>
      <c r="K118" t="s">
        <v>1176</v>
      </c>
      <c r="M118" t="s">
        <v>940</v>
      </c>
      <c r="N118" s="27" t="s">
        <v>212</v>
      </c>
      <c r="O118" t="s">
        <v>1174</v>
      </c>
      <c r="P118" t="s">
        <v>1175</v>
      </c>
      <c r="Q118" t="s">
        <v>1176</v>
      </c>
      <c r="S118" t="s">
        <v>1115</v>
      </c>
      <c r="T118" t="s">
        <v>73</v>
      </c>
      <c r="U118" t="s">
        <v>1174</v>
      </c>
      <c r="V118" t="s">
        <v>1175</v>
      </c>
      <c r="W118" t="s">
        <v>1176</v>
      </c>
    </row>
    <row r="119" spans="1:23">
      <c r="G119" t="s">
        <v>544</v>
      </c>
      <c r="H119" t="s">
        <v>116</v>
      </c>
      <c r="I119" t="s">
        <v>1174</v>
      </c>
      <c r="J119" t="s">
        <v>1175</v>
      </c>
      <c r="K119" t="s">
        <v>1176</v>
      </c>
      <c r="M119" t="s">
        <v>940</v>
      </c>
      <c r="N119" s="27" t="s">
        <v>173</v>
      </c>
      <c r="O119" t="s">
        <v>1174</v>
      </c>
      <c r="P119" t="s">
        <v>1175</v>
      </c>
      <c r="Q119" t="s">
        <v>1176</v>
      </c>
      <c r="S119" t="s">
        <v>1118</v>
      </c>
      <c r="T119" t="s">
        <v>81</v>
      </c>
      <c r="U119" t="s">
        <v>1174</v>
      </c>
      <c r="V119" t="s">
        <v>1175</v>
      </c>
      <c r="W119" t="s">
        <v>1176</v>
      </c>
    </row>
    <row r="120" spans="1:23">
      <c r="A120" s="3" t="s">
        <v>1178</v>
      </c>
      <c r="C120" s="4">
        <f>COUNTA(_xlfn.UNIQUE(A5:A118))</f>
        <v>62</v>
      </c>
      <c r="G120" t="s">
        <v>547</v>
      </c>
      <c r="H120" t="s">
        <v>417</v>
      </c>
      <c r="I120" t="s">
        <v>1174</v>
      </c>
      <c r="J120" t="s">
        <v>1175</v>
      </c>
      <c r="K120" t="s">
        <v>1176</v>
      </c>
      <c r="M120" t="s">
        <v>943</v>
      </c>
      <c r="N120" s="27" t="s">
        <v>173</v>
      </c>
      <c r="O120" t="s">
        <v>1174</v>
      </c>
      <c r="P120" t="s">
        <v>1175</v>
      </c>
      <c r="Q120" t="s">
        <v>1176</v>
      </c>
      <c r="S120" t="s">
        <v>1118</v>
      </c>
      <c r="T120" t="s">
        <v>92</v>
      </c>
      <c r="U120" t="s">
        <v>1174</v>
      </c>
      <c r="V120" t="s">
        <v>1175</v>
      </c>
      <c r="W120" t="s">
        <v>1176</v>
      </c>
    </row>
    <row r="121" spans="1:23">
      <c r="G121" t="s">
        <v>547</v>
      </c>
      <c r="H121" t="s">
        <v>172</v>
      </c>
      <c r="I121" t="s">
        <v>1174</v>
      </c>
      <c r="J121" t="s">
        <v>1175</v>
      </c>
      <c r="K121" t="s">
        <v>1176</v>
      </c>
      <c r="M121" t="s">
        <v>943</v>
      </c>
      <c r="N121" s="27" t="s">
        <v>78</v>
      </c>
      <c r="O121" t="s">
        <v>1174</v>
      </c>
      <c r="P121" t="s">
        <v>1175</v>
      </c>
      <c r="Q121" t="s">
        <v>1176</v>
      </c>
      <c r="S121" t="s">
        <v>1120</v>
      </c>
      <c r="T121" t="s">
        <v>231</v>
      </c>
      <c r="U121" t="s">
        <v>1174</v>
      </c>
      <c r="V121" t="s">
        <v>1175</v>
      </c>
      <c r="W121" t="s">
        <v>1176</v>
      </c>
    </row>
    <row r="122" spans="1:23">
      <c r="A122" s="3" t="s">
        <v>1179</v>
      </c>
      <c r="C122" s="4">
        <f>COUNTIF(C5:C118, "Primary")</f>
        <v>110</v>
      </c>
      <c r="G122" t="s">
        <v>550</v>
      </c>
      <c r="H122" t="s">
        <v>81</v>
      </c>
      <c r="I122" t="s">
        <v>1174</v>
      </c>
      <c r="J122" t="s">
        <v>1175</v>
      </c>
      <c r="K122" t="s">
        <v>1176</v>
      </c>
      <c r="M122" t="s">
        <v>945</v>
      </c>
      <c r="N122" s="27" t="s">
        <v>68</v>
      </c>
      <c r="O122" t="s">
        <v>1174</v>
      </c>
      <c r="P122" t="s">
        <v>1175</v>
      </c>
      <c r="Q122" t="s">
        <v>1176</v>
      </c>
      <c r="S122" t="s">
        <v>1120</v>
      </c>
      <c r="T122" t="s">
        <v>706</v>
      </c>
      <c r="U122" t="s">
        <v>1174</v>
      </c>
      <c r="V122" t="s">
        <v>1175</v>
      </c>
      <c r="W122" t="s">
        <v>1176</v>
      </c>
    </row>
    <row r="123" spans="1:23">
      <c r="A123" s="3" t="s">
        <v>1180</v>
      </c>
      <c r="C123" s="4">
        <f>COUNTIF(C5:C118, "Metastatic")</f>
        <v>4</v>
      </c>
      <c r="G123" t="s">
        <v>552</v>
      </c>
      <c r="H123" t="s">
        <v>72</v>
      </c>
      <c r="I123" t="s">
        <v>1174</v>
      </c>
      <c r="J123" t="s">
        <v>1175</v>
      </c>
      <c r="K123" t="s">
        <v>1176</v>
      </c>
      <c r="M123" t="s">
        <v>945</v>
      </c>
      <c r="N123" s="27" t="s">
        <v>85</v>
      </c>
      <c r="O123" t="s">
        <v>1174</v>
      </c>
      <c r="P123" t="s">
        <v>1175</v>
      </c>
      <c r="Q123" t="s">
        <v>1176</v>
      </c>
      <c r="S123" t="s">
        <v>1125</v>
      </c>
      <c r="T123" t="s">
        <v>189</v>
      </c>
      <c r="U123" t="s">
        <v>1174</v>
      </c>
      <c r="V123" t="s">
        <v>1175</v>
      </c>
      <c r="W123" t="s">
        <v>1176</v>
      </c>
    </row>
    <row r="124" spans="1:23">
      <c r="A124" s="3" t="s">
        <v>1181</v>
      </c>
      <c r="C124" s="4">
        <f>COUNTIF(C5:C118, "Normal")</f>
        <v>0</v>
      </c>
      <c r="G124" t="s">
        <v>552</v>
      </c>
      <c r="H124" t="s">
        <v>73</v>
      </c>
      <c r="I124" t="s">
        <v>1174</v>
      </c>
      <c r="J124" t="s">
        <v>1175</v>
      </c>
      <c r="K124" t="s">
        <v>1176</v>
      </c>
      <c r="M124" t="s">
        <v>948</v>
      </c>
      <c r="N124" s="27" t="s">
        <v>407</v>
      </c>
      <c r="O124" t="s">
        <v>1177</v>
      </c>
      <c r="P124" t="s">
        <v>1175</v>
      </c>
      <c r="Q124" t="s">
        <v>1176</v>
      </c>
      <c r="S124" t="s">
        <v>1125</v>
      </c>
      <c r="T124" t="s">
        <v>158</v>
      </c>
      <c r="U124" t="s">
        <v>1174</v>
      </c>
      <c r="V124" t="s">
        <v>1175</v>
      </c>
      <c r="W124" t="s">
        <v>1176</v>
      </c>
    </row>
    <row r="125" spans="1:23">
      <c r="A125" s="5"/>
      <c r="C125" s="25"/>
      <c r="G125" t="s">
        <v>554</v>
      </c>
      <c r="H125" t="s">
        <v>137</v>
      </c>
      <c r="I125" t="s">
        <v>1174</v>
      </c>
      <c r="J125" t="s">
        <v>1175</v>
      </c>
      <c r="K125" t="s">
        <v>1176</v>
      </c>
      <c r="M125" t="s">
        <v>948</v>
      </c>
      <c r="N125" s="27" t="s">
        <v>485</v>
      </c>
      <c r="O125" t="s">
        <v>1177</v>
      </c>
      <c r="P125" t="s">
        <v>1175</v>
      </c>
      <c r="Q125" t="s">
        <v>1176</v>
      </c>
      <c r="S125" t="s">
        <v>1129</v>
      </c>
      <c r="T125" t="s">
        <v>137</v>
      </c>
      <c r="U125" t="s">
        <v>1174</v>
      </c>
      <c r="V125" t="s">
        <v>1175</v>
      </c>
      <c r="W125" t="s">
        <v>1176</v>
      </c>
    </row>
    <row r="126" spans="1:23">
      <c r="A126" s="3" t="s">
        <v>1182</v>
      </c>
      <c r="C126" s="26">
        <f>SUM(C122:C124)</f>
        <v>114</v>
      </c>
      <c r="G126" t="s">
        <v>554</v>
      </c>
      <c r="H126" t="s">
        <v>81</v>
      </c>
      <c r="I126" t="s">
        <v>1174</v>
      </c>
      <c r="J126" t="s">
        <v>1175</v>
      </c>
      <c r="K126" t="s">
        <v>1176</v>
      </c>
      <c r="M126" t="s">
        <v>954</v>
      </c>
      <c r="N126" s="27" t="s">
        <v>58</v>
      </c>
      <c r="O126" t="s">
        <v>1177</v>
      </c>
      <c r="P126" t="s">
        <v>1175</v>
      </c>
      <c r="Q126" t="s">
        <v>1176</v>
      </c>
      <c r="S126" t="s">
        <v>1129</v>
      </c>
      <c r="T126" t="s">
        <v>81</v>
      </c>
      <c r="U126" t="s">
        <v>1174</v>
      </c>
      <c r="V126" t="s">
        <v>1175</v>
      </c>
      <c r="W126" t="s">
        <v>1176</v>
      </c>
    </row>
    <row r="127" spans="1:23">
      <c r="G127" t="s">
        <v>555</v>
      </c>
      <c r="H127" t="s">
        <v>68</v>
      </c>
      <c r="I127" t="s">
        <v>1174</v>
      </c>
      <c r="J127" t="s">
        <v>1175</v>
      </c>
      <c r="K127" t="s">
        <v>1176</v>
      </c>
      <c r="S127" t="s">
        <v>1131</v>
      </c>
      <c r="T127" t="s">
        <v>71</v>
      </c>
      <c r="U127" t="s">
        <v>1174</v>
      </c>
      <c r="V127" t="s">
        <v>1175</v>
      </c>
      <c r="W127" t="s">
        <v>1176</v>
      </c>
    </row>
    <row r="128" spans="1:23">
      <c r="G128" t="s">
        <v>555</v>
      </c>
      <c r="H128" t="s">
        <v>97</v>
      </c>
      <c r="I128" t="s">
        <v>1174</v>
      </c>
      <c r="J128" t="s">
        <v>1175</v>
      </c>
      <c r="K128" t="s">
        <v>1176</v>
      </c>
      <c r="M128" s="3" t="s">
        <v>1178</v>
      </c>
      <c r="O128" s="4">
        <f>COUNTA(_xlfn.UNIQUE(M5:M126))</f>
        <v>72</v>
      </c>
      <c r="S128" t="s">
        <v>1131</v>
      </c>
      <c r="T128" t="s">
        <v>81</v>
      </c>
      <c r="U128" t="s">
        <v>1174</v>
      </c>
      <c r="V128" t="s">
        <v>1175</v>
      </c>
      <c r="W128" t="s">
        <v>1176</v>
      </c>
    </row>
    <row r="129" spans="7:23">
      <c r="G129" t="s">
        <v>558</v>
      </c>
      <c r="H129" t="s">
        <v>538</v>
      </c>
      <c r="I129" t="s">
        <v>1174</v>
      </c>
      <c r="J129" t="s">
        <v>1175</v>
      </c>
      <c r="K129" t="s">
        <v>1176</v>
      </c>
      <c r="S129" t="s">
        <v>1133</v>
      </c>
      <c r="T129" t="s">
        <v>85</v>
      </c>
      <c r="U129" t="s">
        <v>1174</v>
      </c>
      <c r="V129" t="s">
        <v>1175</v>
      </c>
      <c r="W129" t="s">
        <v>1176</v>
      </c>
    </row>
    <row r="130" spans="7:23">
      <c r="G130" t="s">
        <v>561</v>
      </c>
      <c r="H130" t="s">
        <v>67</v>
      </c>
      <c r="I130" t="s">
        <v>1174</v>
      </c>
      <c r="J130" t="s">
        <v>1175</v>
      </c>
      <c r="K130" t="s">
        <v>1176</v>
      </c>
      <c r="M130" s="3" t="s">
        <v>1179</v>
      </c>
      <c r="O130" s="4">
        <f>COUNTIF(O5:O126, "Primary")</f>
        <v>103</v>
      </c>
      <c r="S130" t="s">
        <v>1133</v>
      </c>
      <c r="T130" t="s">
        <v>173</v>
      </c>
      <c r="U130" t="s">
        <v>1174</v>
      </c>
      <c r="V130" t="s">
        <v>1175</v>
      </c>
      <c r="W130" t="s">
        <v>1176</v>
      </c>
    </row>
    <row r="131" spans="7:23">
      <c r="G131" t="s">
        <v>563</v>
      </c>
      <c r="H131" t="s">
        <v>68</v>
      </c>
      <c r="I131" t="s">
        <v>1174</v>
      </c>
      <c r="J131" t="s">
        <v>1175</v>
      </c>
      <c r="K131" t="s">
        <v>1176</v>
      </c>
      <c r="M131" s="3" t="s">
        <v>1180</v>
      </c>
      <c r="O131" s="4">
        <f>COUNTIF(O5:O126, "Metastatic")</f>
        <v>19</v>
      </c>
      <c r="S131" t="s">
        <v>1136</v>
      </c>
      <c r="T131" t="s">
        <v>172</v>
      </c>
      <c r="U131" t="s">
        <v>1174</v>
      </c>
      <c r="V131" t="s">
        <v>1175</v>
      </c>
      <c r="W131" t="s">
        <v>1176</v>
      </c>
    </row>
    <row r="132" spans="7:23">
      <c r="G132" t="s">
        <v>563</v>
      </c>
      <c r="H132" t="s">
        <v>124</v>
      </c>
      <c r="I132" t="s">
        <v>1174</v>
      </c>
      <c r="J132" t="s">
        <v>1175</v>
      </c>
      <c r="K132" t="s">
        <v>1176</v>
      </c>
      <c r="M132" s="3" t="s">
        <v>1181</v>
      </c>
      <c r="O132" s="4">
        <f>COUNTIF(O5:O126, "Normal")</f>
        <v>0</v>
      </c>
      <c r="S132" t="s">
        <v>1136</v>
      </c>
      <c r="T132" t="s">
        <v>212</v>
      </c>
      <c r="U132" t="s">
        <v>1174</v>
      </c>
      <c r="V132" t="s">
        <v>1175</v>
      </c>
      <c r="W132" t="s">
        <v>1176</v>
      </c>
    </row>
    <row r="133" spans="7:23">
      <c r="G133" t="s">
        <v>566</v>
      </c>
      <c r="H133" t="s">
        <v>568</v>
      </c>
      <c r="I133" t="s">
        <v>1174</v>
      </c>
      <c r="J133" t="s">
        <v>1175</v>
      </c>
      <c r="K133" t="s">
        <v>1176</v>
      </c>
      <c r="M133" s="5"/>
      <c r="O133" s="25"/>
      <c r="S133" t="s">
        <v>1140</v>
      </c>
      <c r="T133" t="s">
        <v>67</v>
      </c>
      <c r="U133" t="s">
        <v>1174</v>
      </c>
      <c r="V133" t="s">
        <v>1175</v>
      </c>
      <c r="W133" t="s">
        <v>1176</v>
      </c>
    </row>
    <row r="134" spans="7:23">
      <c r="G134" t="s">
        <v>570</v>
      </c>
      <c r="H134" t="s">
        <v>77</v>
      </c>
      <c r="I134" t="s">
        <v>1174</v>
      </c>
      <c r="J134" t="s">
        <v>1175</v>
      </c>
      <c r="K134" t="s">
        <v>1176</v>
      </c>
      <c r="M134" s="3" t="s">
        <v>1182</v>
      </c>
      <c r="O134" s="26">
        <f>SUM(O130:O132)</f>
        <v>122</v>
      </c>
      <c r="S134" t="s">
        <v>1142</v>
      </c>
      <c r="T134" t="s">
        <v>92</v>
      </c>
      <c r="U134" t="s">
        <v>1174</v>
      </c>
      <c r="V134" t="s">
        <v>1175</v>
      </c>
      <c r="W134" t="s">
        <v>1176</v>
      </c>
    </row>
    <row r="135" spans="7:23">
      <c r="G135" t="s">
        <v>570</v>
      </c>
      <c r="H135" t="s">
        <v>92</v>
      </c>
      <c r="I135" t="s">
        <v>1174</v>
      </c>
      <c r="J135" t="s">
        <v>1175</v>
      </c>
      <c r="K135" t="s">
        <v>1176</v>
      </c>
      <c r="S135" t="s">
        <v>1142</v>
      </c>
      <c r="T135" t="s">
        <v>73</v>
      </c>
      <c r="U135" t="s">
        <v>1174</v>
      </c>
      <c r="V135" t="s">
        <v>1175</v>
      </c>
      <c r="W135" t="s">
        <v>1176</v>
      </c>
    </row>
    <row r="136" spans="7:23">
      <c r="G136" t="s">
        <v>573</v>
      </c>
      <c r="H136" t="s">
        <v>76</v>
      </c>
      <c r="I136" t="s">
        <v>1174</v>
      </c>
      <c r="J136" t="s">
        <v>1175</v>
      </c>
      <c r="K136" t="s">
        <v>1176</v>
      </c>
      <c r="M136" s="102" t="s">
        <v>713</v>
      </c>
      <c r="N136" s="102" t="s">
        <v>659</v>
      </c>
      <c r="O136" s="102" t="s">
        <v>715</v>
      </c>
      <c r="S136" t="s">
        <v>1144</v>
      </c>
      <c r="T136" t="s">
        <v>151</v>
      </c>
      <c r="U136" t="s">
        <v>1174</v>
      </c>
      <c r="V136" t="s">
        <v>1175</v>
      </c>
      <c r="W136" t="s">
        <v>1176</v>
      </c>
    </row>
    <row r="137" spans="7:23">
      <c r="G137" t="s">
        <v>573</v>
      </c>
      <c r="H137" t="s">
        <v>576</v>
      </c>
      <c r="I137" t="s">
        <v>1177</v>
      </c>
      <c r="J137" t="s">
        <v>1175</v>
      </c>
      <c r="K137" t="s">
        <v>1176</v>
      </c>
      <c r="M137" t="s">
        <v>1184</v>
      </c>
      <c r="S137" t="s">
        <v>1147</v>
      </c>
      <c r="T137" t="s">
        <v>113</v>
      </c>
      <c r="U137" t="s">
        <v>1174</v>
      </c>
      <c r="V137" t="s">
        <v>1175</v>
      </c>
      <c r="W137" t="s">
        <v>1176</v>
      </c>
    </row>
    <row r="138" spans="7:23">
      <c r="G138" t="s">
        <v>579</v>
      </c>
      <c r="H138" t="s">
        <v>137</v>
      </c>
      <c r="I138" t="s">
        <v>1174</v>
      </c>
      <c r="J138" t="s">
        <v>1175</v>
      </c>
      <c r="K138" t="s">
        <v>1176</v>
      </c>
      <c r="S138" t="s">
        <v>1147</v>
      </c>
      <c r="T138" t="s">
        <v>92</v>
      </c>
      <c r="U138" t="s">
        <v>1174</v>
      </c>
      <c r="V138" t="s">
        <v>1175</v>
      </c>
      <c r="W138" t="s">
        <v>1176</v>
      </c>
    </row>
    <row r="139" spans="7:23">
      <c r="G139" t="s">
        <v>579</v>
      </c>
      <c r="H139" t="s">
        <v>73</v>
      </c>
      <c r="I139" t="s">
        <v>1174</v>
      </c>
      <c r="J139" t="s">
        <v>1175</v>
      </c>
      <c r="K139" t="s">
        <v>1176</v>
      </c>
      <c r="S139" t="s">
        <v>1149</v>
      </c>
      <c r="T139" t="s">
        <v>76</v>
      </c>
      <c r="U139" t="s">
        <v>1174</v>
      </c>
      <c r="V139" t="s">
        <v>1175</v>
      </c>
      <c r="W139" t="s">
        <v>1176</v>
      </c>
    </row>
    <row r="140" spans="7:23">
      <c r="G140" t="s">
        <v>584</v>
      </c>
      <c r="H140" t="s">
        <v>71</v>
      </c>
      <c r="I140" t="s">
        <v>1174</v>
      </c>
      <c r="J140" t="s">
        <v>1175</v>
      </c>
      <c r="K140" t="s">
        <v>1176</v>
      </c>
      <c r="S140" t="s">
        <v>1149</v>
      </c>
      <c r="T140" t="s">
        <v>255</v>
      </c>
      <c r="U140" t="s">
        <v>1177</v>
      </c>
      <c r="V140" t="s">
        <v>1175</v>
      </c>
      <c r="W140" t="s">
        <v>1176</v>
      </c>
    </row>
    <row r="141" spans="7:23">
      <c r="G141" t="s">
        <v>584</v>
      </c>
      <c r="H141" t="s">
        <v>312</v>
      </c>
      <c r="I141" t="s">
        <v>1177</v>
      </c>
      <c r="J141" t="s">
        <v>1175</v>
      </c>
      <c r="K141" t="s">
        <v>1176</v>
      </c>
      <c r="S141" t="s">
        <v>1152</v>
      </c>
      <c r="T141" t="s">
        <v>72</v>
      </c>
      <c r="U141" t="s">
        <v>1174</v>
      </c>
      <c r="V141" t="s">
        <v>1175</v>
      </c>
      <c r="W141" t="s">
        <v>1176</v>
      </c>
    </row>
    <row r="142" spans="7:23">
      <c r="G142" t="s">
        <v>587</v>
      </c>
      <c r="H142" t="s">
        <v>116</v>
      </c>
      <c r="I142" t="s">
        <v>1174</v>
      </c>
      <c r="J142" t="s">
        <v>1175</v>
      </c>
      <c r="K142" t="s">
        <v>1176</v>
      </c>
      <c r="S142" t="s">
        <v>1152</v>
      </c>
      <c r="T142" t="s">
        <v>79</v>
      </c>
      <c r="U142" t="s">
        <v>1174</v>
      </c>
      <c r="V142" t="s">
        <v>1175</v>
      </c>
      <c r="W142" t="s">
        <v>1176</v>
      </c>
    </row>
    <row r="143" spans="7:23">
      <c r="G143" t="s">
        <v>587</v>
      </c>
      <c r="H143" t="s">
        <v>92</v>
      </c>
      <c r="I143" t="s">
        <v>1174</v>
      </c>
      <c r="J143" t="s">
        <v>1175</v>
      </c>
      <c r="K143" t="s">
        <v>1176</v>
      </c>
      <c r="S143" t="s">
        <v>1156</v>
      </c>
      <c r="T143" t="s">
        <v>82</v>
      </c>
      <c r="U143" t="s">
        <v>1174</v>
      </c>
      <c r="V143" t="s">
        <v>1175</v>
      </c>
      <c r="W143" t="s">
        <v>1176</v>
      </c>
    </row>
    <row r="144" spans="7:23">
      <c r="G144" t="s">
        <v>590</v>
      </c>
      <c r="H144" t="s">
        <v>73</v>
      </c>
      <c r="I144" t="s">
        <v>1174</v>
      </c>
      <c r="J144" t="s">
        <v>1175</v>
      </c>
      <c r="K144" t="s">
        <v>1176</v>
      </c>
      <c r="S144" t="s">
        <v>1156</v>
      </c>
      <c r="T144" t="s">
        <v>113</v>
      </c>
      <c r="U144" t="s">
        <v>1174</v>
      </c>
      <c r="V144" t="s">
        <v>1175</v>
      </c>
      <c r="W144" t="s">
        <v>1176</v>
      </c>
    </row>
    <row r="145" spans="7:23">
      <c r="G145" t="s">
        <v>590</v>
      </c>
      <c r="H145" t="s">
        <v>113</v>
      </c>
      <c r="I145" t="s">
        <v>1174</v>
      </c>
      <c r="J145" t="s">
        <v>1175</v>
      </c>
      <c r="K145" t="s">
        <v>1176</v>
      </c>
      <c r="S145" t="s">
        <v>1159</v>
      </c>
      <c r="T145" t="s">
        <v>189</v>
      </c>
      <c r="U145" t="s">
        <v>1174</v>
      </c>
      <c r="V145" t="s">
        <v>1175</v>
      </c>
      <c r="W145" t="s">
        <v>1176</v>
      </c>
    </row>
    <row r="146" spans="7:23">
      <c r="G146" t="s">
        <v>592</v>
      </c>
      <c r="H146" t="s">
        <v>425</v>
      </c>
      <c r="I146" t="s">
        <v>1174</v>
      </c>
      <c r="J146" t="s">
        <v>1175</v>
      </c>
      <c r="K146" t="s">
        <v>1176</v>
      </c>
      <c r="S146" t="s">
        <v>1161</v>
      </c>
      <c r="T146" t="s">
        <v>231</v>
      </c>
      <c r="U146" t="s">
        <v>1174</v>
      </c>
      <c r="V146" t="s">
        <v>1175</v>
      </c>
      <c r="W146" t="s">
        <v>1176</v>
      </c>
    </row>
    <row r="147" spans="7:23">
      <c r="G147" t="s">
        <v>598</v>
      </c>
      <c r="H147" t="s">
        <v>93</v>
      </c>
      <c r="I147" t="s">
        <v>1174</v>
      </c>
      <c r="J147" t="s">
        <v>1175</v>
      </c>
      <c r="K147" t="s">
        <v>1176</v>
      </c>
      <c r="S147" t="s">
        <v>1161</v>
      </c>
      <c r="T147" t="s">
        <v>160</v>
      </c>
      <c r="U147" t="s">
        <v>1174</v>
      </c>
      <c r="V147" t="s">
        <v>1175</v>
      </c>
      <c r="W147" t="s">
        <v>1176</v>
      </c>
    </row>
    <row r="148" spans="7:23">
      <c r="G148" t="s">
        <v>600</v>
      </c>
      <c r="H148" t="s">
        <v>247</v>
      </c>
      <c r="I148" t="s">
        <v>1174</v>
      </c>
      <c r="J148" t="s">
        <v>1175</v>
      </c>
      <c r="K148" t="s">
        <v>1176</v>
      </c>
    </row>
    <row r="149" spans="7:23">
      <c r="G149" t="s">
        <v>600</v>
      </c>
      <c r="H149" t="s">
        <v>59</v>
      </c>
      <c r="I149" t="s">
        <v>1174</v>
      </c>
      <c r="J149" t="s">
        <v>1175</v>
      </c>
      <c r="K149" t="s">
        <v>1176</v>
      </c>
      <c r="S149" s="3" t="s">
        <v>1178</v>
      </c>
      <c r="U149" s="4">
        <f>COUNTA(_xlfn.UNIQUE(S5:S147))</f>
        <v>74</v>
      </c>
    </row>
    <row r="150" spans="7:23">
      <c r="G150" t="s">
        <v>602</v>
      </c>
      <c r="H150" t="s">
        <v>68</v>
      </c>
      <c r="I150" t="s">
        <v>1174</v>
      </c>
      <c r="J150" t="s">
        <v>1175</v>
      </c>
      <c r="K150" t="s">
        <v>1176</v>
      </c>
    </row>
    <row r="151" spans="7:23">
      <c r="G151" t="s">
        <v>602</v>
      </c>
      <c r="H151" t="s">
        <v>124</v>
      </c>
      <c r="I151" t="s">
        <v>1174</v>
      </c>
      <c r="J151" t="s">
        <v>1175</v>
      </c>
      <c r="K151" t="s">
        <v>1176</v>
      </c>
      <c r="S151" s="3" t="s">
        <v>1179</v>
      </c>
      <c r="U151" s="4">
        <f>COUNTIF(U5:U147, "Primary")</f>
        <v>137</v>
      </c>
    </row>
    <row r="152" spans="7:23">
      <c r="G152" t="s">
        <v>604</v>
      </c>
      <c r="H152" t="s">
        <v>151</v>
      </c>
      <c r="I152" t="s">
        <v>1174</v>
      </c>
      <c r="J152" t="s">
        <v>1175</v>
      </c>
      <c r="K152" t="s">
        <v>1176</v>
      </c>
      <c r="S152" s="3" t="s">
        <v>1180</v>
      </c>
      <c r="U152" s="4">
        <f>COUNTIF(U5:U147, "Metastatic")</f>
        <v>6</v>
      </c>
    </row>
    <row r="153" spans="7:23">
      <c r="G153" t="s">
        <v>604</v>
      </c>
      <c r="H153" t="s">
        <v>212</v>
      </c>
      <c r="I153" t="s">
        <v>1174</v>
      </c>
      <c r="J153" t="s">
        <v>1175</v>
      </c>
      <c r="K153" t="s">
        <v>1176</v>
      </c>
      <c r="S153" s="3" t="s">
        <v>1181</v>
      </c>
      <c r="U153" s="4">
        <f>COUNTIF(U5:U147, "Normal")</f>
        <v>0</v>
      </c>
    </row>
    <row r="154" spans="7:23">
      <c r="G154" t="s">
        <v>609</v>
      </c>
      <c r="H154" t="s">
        <v>158</v>
      </c>
      <c r="I154" t="s">
        <v>1174</v>
      </c>
      <c r="J154" t="s">
        <v>1175</v>
      </c>
      <c r="K154" t="s">
        <v>1176</v>
      </c>
      <c r="S154" s="5"/>
      <c r="U154" s="25"/>
    </row>
    <row r="155" spans="7:23">
      <c r="G155" t="s">
        <v>609</v>
      </c>
      <c r="H155" t="s">
        <v>124</v>
      </c>
      <c r="I155" t="s">
        <v>1174</v>
      </c>
      <c r="J155" t="s">
        <v>1175</v>
      </c>
      <c r="K155" t="s">
        <v>1176</v>
      </c>
      <c r="S155" s="3" t="s">
        <v>1182</v>
      </c>
      <c r="U155" s="26">
        <f>SUM(U151:U153)</f>
        <v>143</v>
      </c>
    </row>
    <row r="156" spans="7:23">
      <c r="G156" t="s">
        <v>612</v>
      </c>
      <c r="H156" t="s">
        <v>82</v>
      </c>
      <c r="I156" t="s">
        <v>1174</v>
      </c>
      <c r="J156" t="s">
        <v>1175</v>
      </c>
      <c r="K156" t="s">
        <v>1176</v>
      </c>
    </row>
    <row r="157" spans="7:23">
      <c r="G157" t="s">
        <v>612</v>
      </c>
      <c r="H157" t="s">
        <v>93</v>
      </c>
      <c r="I157" t="s">
        <v>1174</v>
      </c>
      <c r="J157" t="s">
        <v>1175</v>
      </c>
      <c r="K157" t="s">
        <v>1176</v>
      </c>
    </row>
    <row r="158" spans="7:23">
      <c r="G158" t="s">
        <v>615</v>
      </c>
      <c r="H158" t="s">
        <v>93</v>
      </c>
      <c r="I158" t="s">
        <v>1174</v>
      </c>
      <c r="J158" t="s">
        <v>1175</v>
      </c>
      <c r="K158" t="s">
        <v>1176</v>
      </c>
    </row>
    <row r="159" spans="7:23">
      <c r="G159" t="s">
        <v>615</v>
      </c>
      <c r="H159" t="s">
        <v>77</v>
      </c>
      <c r="I159" t="s">
        <v>1174</v>
      </c>
      <c r="J159" t="s">
        <v>1175</v>
      </c>
      <c r="K159" t="s">
        <v>1176</v>
      </c>
    </row>
    <row r="160" spans="7:23">
      <c r="G160" t="s">
        <v>618</v>
      </c>
      <c r="H160" t="s">
        <v>82</v>
      </c>
      <c r="I160" t="s">
        <v>1174</v>
      </c>
      <c r="J160" t="s">
        <v>1175</v>
      </c>
      <c r="K160" t="s">
        <v>1176</v>
      </c>
    </row>
    <row r="161" spans="7:11">
      <c r="G161" t="s">
        <v>618</v>
      </c>
      <c r="H161" t="s">
        <v>85</v>
      </c>
      <c r="I161" t="s">
        <v>1174</v>
      </c>
      <c r="J161" t="s">
        <v>1175</v>
      </c>
      <c r="K161" t="s">
        <v>1176</v>
      </c>
    </row>
    <row r="162" spans="7:11">
      <c r="G162" t="s">
        <v>620</v>
      </c>
      <c r="H162" t="s">
        <v>76</v>
      </c>
      <c r="I162" t="s">
        <v>1174</v>
      </c>
      <c r="J162" t="s">
        <v>1175</v>
      </c>
      <c r="K162" t="s">
        <v>1176</v>
      </c>
    </row>
    <row r="163" spans="7:11">
      <c r="G163" t="s">
        <v>620</v>
      </c>
      <c r="H163" t="s">
        <v>93</v>
      </c>
      <c r="I163" t="s">
        <v>1174</v>
      </c>
      <c r="J163" t="s">
        <v>1175</v>
      </c>
      <c r="K163" t="s">
        <v>1176</v>
      </c>
    </row>
    <row r="164" spans="7:11">
      <c r="G164" t="s">
        <v>623</v>
      </c>
      <c r="H164" t="s">
        <v>67</v>
      </c>
      <c r="I164" t="s">
        <v>1174</v>
      </c>
      <c r="J164" t="s">
        <v>1175</v>
      </c>
      <c r="K164" t="s">
        <v>1176</v>
      </c>
    </row>
    <row r="165" spans="7:11">
      <c r="G165" t="s">
        <v>623</v>
      </c>
      <c r="H165" t="s">
        <v>625</v>
      </c>
      <c r="I165" t="s">
        <v>1177</v>
      </c>
      <c r="J165" t="s">
        <v>1175</v>
      </c>
      <c r="K165" t="s">
        <v>1176</v>
      </c>
    </row>
    <row r="166" spans="7:11">
      <c r="G166" t="s">
        <v>629</v>
      </c>
      <c r="H166" t="s">
        <v>189</v>
      </c>
      <c r="I166" t="s">
        <v>1174</v>
      </c>
      <c r="J166" t="s">
        <v>1175</v>
      </c>
      <c r="K166" t="s">
        <v>1176</v>
      </c>
    </row>
    <row r="167" spans="7:11">
      <c r="G167" t="s">
        <v>629</v>
      </c>
      <c r="H167" t="s">
        <v>159</v>
      </c>
      <c r="I167" t="s">
        <v>1174</v>
      </c>
      <c r="J167" t="s">
        <v>1175</v>
      </c>
      <c r="K167" t="s">
        <v>1176</v>
      </c>
    </row>
    <row r="168" spans="7:11">
      <c r="G168" t="s">
        <v>632</v>
      </c>
      <c r="H168" t="s">
        <v>189</v>
      </c>
      <c r="I168" t="s">
        <v>1174</v>
      </c>
      <c r="J168" t="s">
        <v>1175</v>
      </c>
      <c r="K168" t="s">
        <v>1176</v>
      </c>
    </row>
    <row r="169" spans="7:11">
      <c r="G169" t="s">
        <v>632</v>
      </c>
      <c r="H169" t="s">
        <v>212</v>
      </c>
      <c r="I169" t="s">
        <v>1174</v>
      </c>
      <c r="J169" t="s">
        <v>1175</v>
      </c>
      <c r="K169" t="s">
        <v>1176</v>
      </c>
    </row>
    <row r="170" spans="7:11">
      <c r="G170" t="s">
        <v>633</v>
      </c>
      <c r="H170" t="s">
        <v>417</v>
      </c>
      <c r="I170" t="s">
        <v>1174</v>
      </c>
      <c r="J170" t="s">
        <v>1175</v>
      </c>
      <c r="K170" t="s">
        <v>1176</v>
      </c>
    </row>
    <row r="171" spans="7:11">
      <c r="G171" t="s">
        <v>633</v>
      </c>
      <c r="H171" t="s">
        <v>68</v>
      </c>
      <c r="I171" t="s">
        <v>1174</v>
      </c>
      <c r="J171" t="s">
        <v>1175</v>
      </c>
      <c r="K171" t="s">
        <v>1176</v>
      </c>
    </row>
    <row r="172" spans="7:11">
      <c r="G172" t="s">
        <v>636</v>
      </c>
      <c r="H172" t="s">
        <v>61</v>
      </c>
      <c r="I172" t="s">
        <v>1174</v>
      </c>
      <c r="J172" t="s">
        <v>1175</v>
      </c>
      <c r="K172" t="s">
        <v>1176</v>
      </c>
    </row>
    <row r="173" spans="7:11">
      <c r="G173" t="s">
        <v>636</v>
      </c>
      <c r="H173" t="s">
        <v>67</v>
      </c>
      <c r="I173" t="s">
        <v>1174</v>
      </c>
      <c r="J173" t="s">
        <v>1175</v>
      </c>
      <c r="K173" t="s">
        <v>1176</v>
      </c>
    </row>
    <row r="174" spans="7:11">
      <c r="G174" t="s">
        <v>639</v>
      </c>
      <c r="H174" t="s">
        <v>173</v>
      </c>
      <c r="I174" t="s">
        <v>1174</v>
      </c>
      <c r="J174" t="s">
        <v>1175</v>
      </c>
      <c r="K174" t="s">
        <v>1176</v>
      </c>
    </row>
    <row r="175" spans="7:11">
      <c r="G175" t="s">
        <v>639</v>
      </c>
      <c r="H175" t="s">
        <v>78</v>
      </c>
      <c r="I175" t="s">
        <v>1174</v>
      </c>
      <c r="J175" t="s">
        <v>1175</v>
      </c>
      <c r="K175" t="s">
        <v>1176</v>
      </c>
    </row>
    <row r="176" spans="7:11">
      <c r="G176" t="s">
        <v>640</v>
      </c>
      <c r="H176" t="s">
        <v>64</v>
      </c>
      <c r="I176" t="s">
        <v>1174</v>
      </c>
      <c r="J176" t="s">
        <v>1175</v>
      </c>
      <c r="K176" t="s">
        <v>1176</v>
      </c>
    </row>
    <row r="177" spans="7:11">
      <c r="G177" t="s">
        <v>640</v>
      </c>
      <c r="H177" t="s">
        <v>73</v>
      </c>
      <c r="I177" t="s">
        <v>1174</v>
      </c>
      <c r="J177" t="s">
        <v>1175</v>
      </c>
      <c r="K177" t="s">
        <v>1176</v>
      </c>
    </row>
    <row r="178" spans="7:11">
      <c r="G178" t="s">
        <v>642</v>
      </c>
      <c r="H178" t="s">
        <v>67</v>
      </c>
      <c r="I178" t="s">
        <v>1174</v>
      </c>
      <c r="J178" t="s">
        <v>1175</v>
      </c>
      <c r="K178" t="s">
        <v>1176</v>
      </c>
    </row>
    <row r="179" spans="7:11">
      <c r="G179" t="s">
        <v>642</v>
      </c>
      <c r="H179" t="s">
        <v>68</v>
      </c>
      <c r="I179" t="s">
        <v>1174</v>
      </c>
      <c r="J179" t="s">
        <v>1175</v>
      </c>
      <c r="K179" t="s">
        <v>1176</v>
      </c>
    </row>
    <row r="180" spans="7:11">
      <c r="G180" t="s">
        <v>647</v>
      </c>
      <c r="H180" t="s">
        <v>68</v>
      </c>
      <c r="I180" t="s">
        <v>1174</v>
      </c>
      <c r="J180" t="s">
        <v>1175</v>
      </c>
      <c r="K180" t="s">
        <v>1176</v>
      </c>
    </row>
    <row r="181" spans="7:11">
      <c r="G181" t="s">
        <v>647</v>
      </c>
      <c r="H181" t="s">
        <v>89</v>
      </c>
      <c r="I181" t="s">
        <v>1174</v>
      </c>
      <c r="J181" t="s">
        <v>1175</v>
      </c>
      <c r="K181" t="s">
        <v>1176</v>
      </c>
    </row>
    <row r="182" spans="7:11">
      <c r="G182" t="s">
        <v>650</v>
      </c>
      <c r="H182" t="s">
        <v>652</v>
      </c>
      <c r="I182" t="s">
        <v>1174</v>
      </c>
      <c r="J182" t="s">
        <v>1175</v>
      </c>
      <c r="K182" t="s">
        <v>1176</v>
      </c>
    </row>
    <row r="183" spans="7:11">
      <c r="G183" t="s">
        <v>650</v>
      </c>
      <c r="H183" t="s">
        <v>256</v>
      </c>
      <c r="I183" t="s">
        <v>1177</v>
      </c>
      <c r="J183" t="s">
        <v>1175</v>
      </c>
      <c r="K183" t="s">
        <v>1176</v>
      </c>
    </row>
    <row r="184" spans="7:11">
      <c r="G184" t="s">
        <v>655</v>
      </c>
      <c r="H184" t="s">
        <v>59</v>
      </c>
      <c r="I184" t="s">
        <v>1174</v>
      </c>
      <c r="J184" t="s">
        <v>1175</v>
      </c>
      <c r="K184" t="s">
        <v>1176</v>
      </c>
    </row>
    <row r="185" spans="7:11">
      <c r="G185" t="s">
        <v>655</v>
      </c>
      <c r="H185" t="s">
        <v>85</v>
      </c>
      <c r="I185" t="s">
        <v>1174</v>
      </c>
      <c r="J185" t="s">
        <v>1175</v>
      </c>
      <c r="K185" t="s">
        <v>1176</v>
      </c>
    </row>
    <row r="186" spans="7:11">
      <c r="G186" t="s">
        <v>657</v>
      </c>
      <c r="H186" t="s">
        <v>182</v>
      </c>
      <c r="I186" t="s">
        <v>1177</v>
      </c>
      <c r="J186" t="s">
        <v>1175</v>
      </c>
      <c r="K186" t="s">
        <v>1176</v>
      </c>
    </row>
    <row r="187" spans="7:11">
      <c r="G187" t="s">
        <v>657</v>
      </c>
      <c r="H187" t="s">
        <v>425</v>
      </c>
      <c r="I187" t="s">
        <v>1177</v>
      </c>
      <c r="J187" t="s">
        <v>1175</v>
      </c>
      <c r="K187" t="s">
        <v>1176</v>
      </c>
    </row>
    <row r="188" spans="7:11">
      <c r="G188" t="s">
        <v>662</v>
      </c>
      <c r="H188" t="s">
        <v>506</v>
      </c>
      <c r="I188" t="s">
        <v>1174</v>
      </c>
      <c r="J188" t="s">
        <v>1175</v>
      </c>
      <c r="K188" t="s">
        <v>1176</v>
      </c>
    </row>
    <row r="189" spans="7:11">
      <c r="G189" t="s">
        <v>666</v>
      </c>
      <c r="H189" t="s">
        <v>113</v>
      </c>
      <c r="I189" t="s">
        <v>1174</v>
      </c>
      <c r="J189" t="s">
        <v>1175</v>
      </c>
      <c r="K189" t="s">
        <v>1176</v>
      </c>
    </row>
    <row r="190" spans="7:11">
      <c r="G190" t="s">
        <v>666</v>
      </c>
      <c r="H190" t="s">
        <v>86</v>
      </c>
      <c r="I190" t="s">
        <v>1174</v>
      </c>
      <c r="J190" t="s">
        <v>1175</v>
      </c>
      <c r="K190" t="s">
        <v>1176</v>
      </c>
    </row>
    <row r="191" spans="7:11">
      <c r="G191" t="s">
        <v>668</v>
      </c>
      <c r="H191" t="s">
        <v>113</v>
      </c>
      <c r="I191" t="s">
        <v>1174</v>
      </c>
      <c r="J191" t="s">
        <v>1175</v>
      </c>
      <c r="K191" t="s">
        <v>1176</v>
      </c>
    </row>
    <row r="192" spans="7:11">
      <c r="G192" t="s">
        <v>668</v>
      </c>
      <c r="H192" t="s">
        <v>402</v>
      </c>
      <c r="I192" t="s">
        <v>1177</v>
      </c>
      <c r="J192" t="s">
        <v>1175</v>
      </c>
      <c r="K192" t="s">
        <v>1176</v>
      </c>
    </row>
    <row r="194" spans="7:9">
      <c r="G194" s="3" t="s">
        <v>1178</v>
      </c>
      <c r="I194" s="4">
        <f>COUNTA(_xlfn.UNIQUE(G5:G192))</f>
        <v>103</v>
      </c>
    </row>
    <row r="196" spans="7:9">
      <c r="G196" s="3" t="s">
        <v>1179</v>
      </c>
      <c r="I196" s="4">
        <f>COUNTIF(I5:I192, "Primary")</f>
        <v>168</v>
      </c>
    </row>
    <row r="197" spans="7:9">
      <c r="G197" s="3" t="s">
        <v>1180</v>
      </c>
      <c r="I197" s="4">
        <f>COUNTIF(I5:I192, "Metastatic")</f>
        <v>20</v>
      </c>
    </row>
    <row r="198" spans="7:9">
      <c r="G198" s="3" t="s">
        <v>1181</v>
      </c>
      <c r="I198" s="4">
        <f>COUNTIF(I5:I192, "Normal")</f>
        <v>0</v>
      </c>
    </row>
    <row r="199" spans="7:9">
      <c r="G199" s="5"/>
      <c r="I199" s="25"/>
    </row>
    <row r="200" spans="7:9">
      <c r="G200" s="3" t="s">
        <v>1182</v>
      </c>
      <c r="I200" s="26">
        <f>SUM(I196:I198)</f>
        <v>188</v>
      </c>
    </row>
  </sheetData>
  <sortState xmlns:xlrd2="http://schemas.microsoft.com/office/spreadsheetml/2017/richdata2" ref="M5:O126">
    <sortCondition ref="M5:M126"/>
  </sortState>
  <mergeCells count="3">
    <mergeCell ref="D3:E3"/>
    <mergeCell ref="V3:W3"/>
    <mergeCell ref="AB3:AC3"/>
  </mergeCells>
  <conditionalFormatting sqref="A4">
    <cfRule type="duplicateValues" dxfId="27" priority="13"/>
  </conditionalFormatting>
  <conditionalFormatting sqref="A120 C120">
    <cfRule type="duplicateValues" dxfId="26" priority="14"/>
  </conditionalFormatting>
  <conditionalFormatting sqref="G4">
    <cfRule type="duplicateValues" dxfId="25" priority="8"/>
  </conditionalFormatting>
  <conditionalFormatting sqref="G194 I194">
    <cfRule type="duplicateValues" dxfId="24" priority="7"/>
  </conditionalFormatting>
  <conditionalFormatting sqref="S4">
    <cfRule type="duplicateValues" dxfId="23" priority="6"/>
  </conditionalFormatting>
  <conditionalFormatting sqref="S149 U149">
    <cfRule type="duplicateValues" dxfId="22" priority="5"/>
  </conditionalFormatting>
  <conditionalFormatting sqref="M4">
    <cfRule type="duplicateValues" dxfId="21" priority="4"/>
  </conditionalFormatting>
  <conditionalFormatting sqref="M128 O128">
    <cfRule type="duplicateValues" dxfId="20" priority="3"/>
  </conditionalFormatting>
  <conditionalFormatting sqref="Y4">
    <cfRule type="duplicateValues" dxfId="19" priority="2"/>
  </conditionalFormatting>
  <conditionalFormatting sqref="Y8 AA8">
    <cfRule type="duplicateValues" dxfId="18" priority="1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56A2-623B-4C8C-B648-10745EB451B9}">
  <dimension ref="A1:I7"/>
  <sheetViews>
    <sheetView workbookViewId="0">
      <selection activeCell="I1" sqref="I1"/>
    </sheetView>
  </sheetViews>
  <sheetFormatPr defaultRowHeight="15.75"/>
  <cols>
    <col min="1" max="1" width="17.375" customWidth="1"/>
    <col min="2" max="2" width="14" customWidth="1"/>
    <col min="3" max="3" width="11.375" style="66" customWidth="1"/>
    <col min="4" max="5" width="9" style="66"/>
    <col min="6" max="6" width="22.25" style="66" customWidth="1"/>
    <col min="7" max="7" width="9" style="66"/>
    <col min="8" max="8" width="45.25" customWidth="1"/>
    <col min="9" max="9" width="56.625" style="27" customWidth="1"/>
  </cols>
  <sheetData>
    <row r="1" spans="1:9" ht="91.5">
      <c r="A1" s="105" t="s">
        <v>1185</v>
      </c>
      <c r="B1" s="105" t="s">
        <v>7</v>
      </c>
      <c r="C1" s="105" t="s">
        <v>1186</v>
      </c>
      <c r="D1" s="105" t="s">
        <v>1187</v>
      </c>
      <c r="E1" s="105" t="s">
        <v>1188</v>
      </c>
      <c r="F1" s="105" t="s">
        <v>1189</v>
      </c>
      <c r="G1" s="105" t="s">
        <v>1190</v>
      </c>
      <c r="H1" s="74" t="s">
        <v>1191</v>
      </c>
      <c r="I1" s="107" t="s">
        <v>1192</v>
      </c>
    </row>
    <row r="2" spans="1:9">
      <c r="A2" s="66">
        <v>1</v>
      </c>
      <c r="B2" s="106" t="s">
        <v>672</v>
      </c>
      <c r="C2" s="66">
        <v>6</v>
      </c>
      <c r="D2" s="66">
        <v>4</v>
      </c>
      <c r="E2" s="66">
        <v>0</v>
      </c>
      <c r="F2" s="66">
        <f>SUM(D2,E2)</f>
        <v>4</v>
      </c>
      <c r="G2" s="66" t="s">
        <v>34</v>
      </c>
      <c r="H2" t="s">
        <v>1193</v>
      </c>
      <c r="I2" s="27">
        <f>SUM(F2-C2)</f>
        <v>-2</v>
      </c>
    </row>
    <row r="3" spans="1:9">
      <c r="A3" s="66">
        <v>1</v>
      </c>
      <c r="B3" s="106" t="s">
        <v>676</v>
      </c>
      <c r="C3" s="66">
        <v>6</v>
      </c>
      <c r="D3" s="66">
        <v>4</v>
      </c>
      <c r="E3" s="66">
        <v>0</v>
      </c>
      <c r="F3" s="66">
        <f t="shared" ref="F3:F7" si="0">SUM(D3,E3)</f>
        <v>4</v>
      </c>
      <c r="G3" s="66" t="s">
        <v>34</v>
      </c>
      <c r="H3" t="s">
        <v>1193</v>
      </c>
      <c r="I3" s="27">
        <f t="shared" ref="I3:I7" si="1">SUM(F3-C3)</f>
        <v>-2</v>
      </c>
    </row>
    <row r="4" spans="1:9">
      <c r="A4" s="66">
        <v>1</v>
      </c>
      <c r="B4" s="106" t="s">
        <v>679</v>
      </c>
      <c r="C4" s="66">
        <v>2</v>
      </c>
      <c r="D4" s="66">
        <v>1</v>
      </c>
      <c r="E4" s="66">
        <v>0</v>
      </c>
      <c r="F4" s="66">
        <f t="shared" si="0"/>
        <v>1</v>
      </c>
      <c r="G4" s="66" t="s">
        <v>34</v>
      </c>
      <c r="H4" t="s">
        <v>1193</v>
      </c>
      <c r="I4" s="27">
        <f t="shared" si="1"/>
        <v>-1</v>
      </c>
    </row>
    <row r="5" spans="1:9">
      <c r="A5" s="66">
        <v>1</v>
      </c>
      <c r="B5" s="106" t="s">
        <v>682</v>
      </c>
      <c r="C5" s="66">
        <v>2</v>
      </c>
      <c r="D5" s="66">
        <v>1</v>
      </c>
      <c r="E5" s="66">
        <v>0</v>
      </c>
      <c r="F5" s="66">
        <f t="shared" si="0"/>
        <v>1</v>
      </c>
      <c r="G5" s="66" t="s">
        <v>34</v>
      </c>
      <c r="H5" t="s">
        <v>1193</v>
      </c>
      <c r="I5" s="27">
        <f t="shared" si="1"/>
        <v>-1</v>
      </c>
    </row>
    <row r="6" spans="1:9">
      <c r="A6" s="66">
        <v>1</v>
      </c>
      <c r="B6" s="106" t="s">
        <v>685</v>
      </c>
      <c r="C6" s="66">
        <v>7</v>
      </c>
      <c r="D6" s="66">
        <v>5</v>
      </c>
      <c r="E6" s="66">
        <v>0</v>
      </c>
      <c r="F6" s="66">
        <f t="shared" si="0"/>
        <v>5</v>
      </c>
      <c r="G6" s="66" t="s">
        <v>34</v>
      </c>
      <c r="H6" t="s">
        <v>1193</v>
      </c>
      <c r="I6" s="27">
        <f t="shared" si="1"/>
        <v>-2</v>
      </c>
    </row>
    <row r="7" spans="1:9">
      <c r="A7" s="66">
        <v>1</v>
      </c>
      <c r="B7" s="106" t="s">
        <v>689</v>
      </c>
      <c r="C7" s="66">
        <v>3</v>
      </c>
      <c r="D7" s="66">
        <v>1</v>
      </c>
      <c r="E7" s="66">
        <v>0</v>
      </c>
      <c r="F7" s="66">
        <f t="shared" si="0"/>
        <v>1</v>
      </c>
      <c r="G7" s="66" t="s">
        <v>34</v>
      </c>
      <c r="H7" t="s">
        <v>1193</v>
      </c>
      <c r="I7" s="27">
        <f t="shared" si="1"/>
        <v>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C323-7639-4C7C-9EEC-F7C5224C21C4}">
  <sheetPr filterMode="1"/>
  <dimension ref="A1:I305"/>
  <sheetViews>
    <sheetView topLeftCell="A241" workbookViewId="0">
      <selection activeCell="D2" sqref="D2"/>
    </sheetView>
  </sheetViews>
  <sheetFormatPr defaultColWidth="9" defaultRowHeight="15.75"/>
  <cols>
    <col min="1" max="1" width="17.875" customWidth="1"/>
    <col min="2" max="2" width="11.875" customWidth="1"/>
    <col min="3" max="3" width="29.375" customWidth="1"/>
    <col min="4" max="4" width="10.5" style="66" customWidth="1"/>
    <col min="5" max="5" width="29.375" customWidth="1"/>
    <col min="6" max="6" width="17.875" bestFit="1" customWidth="1"/>
  </cols>
  <sheetData>
    <row r="1" spans="1:9">
      <c r="A1" s="74" t="s">
        <v>1194</v>
      </c>
      <c r="B1" s="74" t="s">
        <v>1195</v>
      </c>
      <c r="C1" s="74" t="s">
        <v>21</v>
      </c>
      <c r="D1" s="2" t="s">
        <v>22</v>
      </c>
      <c r="E1" s="74" t="s">
        <v>1196</v>
      </c>
      <c r="F1" s="95" t="s">
        <v>52</v>
      </c>
    </row>
    <row r="2" spans="1:9">
      <c r="A2" s="6" t="s">
        <v>303</v>
      </c>
      <c r="B2" s="61" t="s">
        <v>1197</v>
      </c>
      <c r="C2" s="61" t="s">
        <v>1198</v>
      </c>
      <c r="D2" s="96" t="s">
        <v>57</v>
      </c>
      <c r="E2" s="61" t="s">
        <v>105</v>
      </c>
      <c r="F2" s="96" t="s">
        <v>57</v>
      </c>
      <c r="H2" s="61"/>
      <c r="I2" s="61"/>
    </row>
    <row r="3" spans="1:9" hidden="1">
      <c r="A3" s="6" t="s">
        <v>306</v>
      </c>
      <c r="B3" s="61" t="s">
        <v>1199</v>
      </c>
      <c r="C3" s="61"/>
      <c r="D3" s="96"/>
      <c r="E3" s="61"/>
      <c r="F3" s="96"/>
      <c r="H3" s="61"/>
      <c r="I3" s="61"/>
    </row>
    <row r="4" spans="1:9" hidden="1">
      <c r="A4" s="6" t="s">
        <v>309</v>
      </c>
      <c r="B4" s="61" t="s">
        <v>36</v>
      </c>
      <c r="C4" s="61"/>
      <c r="D4" s="96"/>
      <c r="E4" s="94"/>
      <c r="F4" s="96"/>
      <c r="H4" s="61"/>
      <c r="I4" s="61"/>
    </row>
    <row r="5" spans="1:9" hidden="1">
      <c r="A5" s="6" t="s">
        <v>315</v>
      </c>
      <c r="B5" s="61" t="s">
        <v>36</v>
      </c>
      <c r="C5" s="61"/>
      <c r="D5" s="96"/>
      <c r="E5" s="61"/>
      <c r="F5" s="96"/>
      <c r="H5" s="61"/>
      <c r="I5" s="61"/>
    </row>
    <row r="6" spans="1:9" hidden="1">
      <c r="A6" s="6" t="s">
        <v>319</v>
      </c>
      <c r="B6" s="61" t="s">
        <v>1200</v>
      </c>
      <c r="C6" s="61"/>
      <c r="D6" s="96"/>
      <c r="E6" s="61"/>
      <c r="F6" s="96"/>
      <c r="H6" s="61"/>
      <c r="I6" s="61"/>
    </row>
    <row r="7" spans="1:9" hidden="1">
      <c r="A7" s="6" t="s">
        <v>325</v>
      </c>
      <c r="B7" s="61" t="s">
        <v>36</v>
      </c>
      <c r="D7" s="96"/>
      <c r="E7" s="61"/>
      <c r="F7" s="96"/>
      <c r="H7" s="61"/>
      <c r="I7" s="61"/>
    </row>
    <row r="8" spans="1:9">
      <c r="A8" s="6" t="s">
        <v>327</v>
      </c>
      <c r="B8" s="61" t="s">
        <v>1201</v>
      </c>
      <c r="C8" s="61" t="s">
        <v>1202</v>
      </c>
      <c r="D8" s="96" t="s">
        <v>57</v>
      </c>
      <c r="E8" s="61" t="s">
        <v>105</v>
      </c>
      <c r="F8" s="96" t="s">
        <v>57</v>
      </c>
      <c r="H8" s="61"/>
      <c r="I8" s="61"/>
    </row>
    <row r="9" spans="1:9">
      <c r="A9" s="6" t="s">
        <v>330</v>
      </c>
      <c r="B9" s="61" t="s">
        <v>1203</v>
      </c>
      <c r="C9" s="61" t="s">
        <v>1204</v>
      </c>
      <c r="D9" s="96" t="s">
        <v>57</v>
      </c>
      <c r="E9" s="61" t="s">
        <v>255</v>
      </c>
      <c r="F9" s="96" t="s">
        <v>57</v>
      </c>
      <c r="H9" s="61"/>
      <c r="I9" s="61"/>
    </row>
    <row r="10" spans="1:9" hidden="1">
      <c r="A10" s="6" t="s">
        <v>333</v>
      </c>
      <c r="B10" s="61" t="s">
        <v>1205</v>
      </c>
      <c r="C10" s="61"/>
      <c r="D10" s="96"/>
      <c r="E10" s="61"/>
      <c r="F10" s="96"/>
      <c r="H10" s="61"/>
      <c r="I10" s="61"/>
    </row>
    <row r="11" spans="1:9" hidden="1">
      <c r="A11" s="6" t="s">
        <v>335</v>
      </c>
      <c r="B11" s="61" t="s">
        <v>36</v>
      </c>
      <c r="C11" s="61"/>
      <c r="D11" s="96"/>
      <c r="E11" s="61"/>
      <c r="F11" s="96"/>
      <c r="H11" s="61"/>
      <c r="I11" s="61"/>
    </row>
    <row r="12" spans="1:9">
      <c r="A12" s="6" t="s">
        <v>337</v>
      </c>
      <c r="B12" s="61" t="s">
        <v>1206</v>
      </c>
      <c r="C12" s="61" t="s">
        <v>1207</v>
      </c>
      <c r="D12" s="96" t="s">
        <v>57</v>
      </c>
      <c r="E12" s="61" t="s">
        <v>1208</v>
      </c>
      <c r="F12" s="96" t="s">
        <v>57</v>
      </c>
      <c r="H12" s="61"/>
      <c r="I12" s="61"/>
    </row>
    <row r="13" spans="1:9">
      <c r="A13" s="6" t="s">
        <v>340</v>
      </c>
      <c r="B13" s="61" t="s">
        <v>1209</v>
      </c>
      <c r="C13" s="61" t="s">
        <v>105</v>
      </c>
      <c r="D13" s="96" t="s">
        <v>57</v>
      </c>
      <c r="E13" s="61" t="s">
        <v>105</v>
      </c>
      <c r="F13" s="96" t="s">
        <v>57</v>
      </c>
      <c r="H13" s="61"/>
      <c r="I13" s="61"/>
    </row>
    <row r="14" spans="1:9">
      <c r="A14" s="6" t="s">
        <v>344</v>
      </c>
      <c r="B14" s="61" t="s">
        <v>1210</v>
      </c>
      <c r="C14" s="61" t="s">
        <v>1211</v>
      </c>
      <c r="D14" s="96" t="s">
        <v>57</v>
      </c>
      <c r="E14" s="61" t="s">
        <v>105</v>
      </c>
      <c r="F14" s="96" t="s">
        <v>57</v>
      </c>
      <c r="H14" s="61"/>
      <c r="I14" s="61"/>
    </row>
    <row r="15" spans="1:9" hidden="1">
      <c r="A15" s="6" t="s">
        <v>352</v>
      </c>
      <c r="B15" s="61" t="s">
        <v>36</v>
      </c>
      <c r="C15" s="61"/>
      <c r="D15" s="96"/>
      <c r="E15" s="61"/>
      <c r="F15" s="96"/>
      <c r="H15" s="61"/>
      <c r="I15" s="61"/>
    </row>
    <row r="16" spans="1:9">
      <c r="A16" s="6" t="s">
        <v>357</v>
      </c>
      <c r="B16" s="61" t="s">
        <v>1212</v>
      </c>
      <c r="C16" s="61" t="s">
        <v>1198</v>
      </c>
      <c r="D16" s="96" t="s">
        <v>57</v>
      </c>
      <c r="E16" s="61" t="s">
        <v>105</v>
      </c>
      <c r="F16" s="96" t="s">
        <v>57</v>
      </c>
      <c r="H16" s="61"/>
      <c r="I16" s="61"/>
    </row>
    <row r="17" spans="1:9">
      <c r="A17" s="6" t="s">
        <v>360</v>
      </c>
      <c r="B17" s="61" t="s">
        <v>1213</v>
      </c>
      <c r="C17" s="61" t="s">
        <v>105</v>
      </c>
      <c r="D17" s="96" t="s">
        <v>57</v>
      </c>
      <c r="E17" s="61" t="s">
        <v>105</v>
      </c>
      <c r="F17" s="96" t="s">
        <v>57</v>
      </c>
      <c r="H17" s="61"/>
      <c r="I17" s="61"/>
    </row>
    <row r="18" spans="1:9">
      <c r="A18" s="6" t="s">
        <v>362</v>
      </c>
      <c r="B18" s="61" t="s">
        <v>1214</v>
      </c>
      <c r="C18" s="61" t="s">
        <v>1198</v>
      </c>
      <c r="D18" s="96" t="s">
        <v>57</v>
      </c>
      <c r="E18" s="61" t="s">
        <v>105</v>
      </c>
      <c r="F18" s="96" t="s">
        <v>57</v>
      </c>
      <c r="H18" s="61"/>
      <c r="I18" s="61"/>
    </row>
    <row r="19" spans="1:9">
      <c r="A19" s="82" t="s">
        <v>366</v>
      </c>
      <c r="B19" s="87" t="s">
        <v>1215</v>
      </c>
      <c r="C19" s="87" t="s">
        <v>1216</v>
      </c>
      <c r="D19" s="97" t="s">
        <v>57</v>
      </c>
      <c r="E19" s="87" t="s">
        <v>1208</v>
      </c>
      <c r="F19" s="97" t="s">
        <v>57</v>
      </c>
      <c r="H19" s="61"/>
      <c r="I19" s="61"/>
    </row>
    <row r="20" spans="1:9" hidden="1">
      <c r="A20" s="6" t="s">
        <v>369</v>
      </c>
      <c r="B20" s="61" t="s">
        <v>1217</v>
      </c>
      <c r="C20" s="61"/>
      <c r="D20" s="96"/>
      <c r="E20" s="61"/>
      <c r="F20" s="96"/>
      <c r="H20" s="61"/>
      <c r="I20" s="61"/>
    </row>
    <row r="21" spans="1:9" hidden="1">
      <c r="A21" s="6" t="s">
        <v>372</v>
      </c>
      <c r="B21" s="61" t="s">
        <v>36</v>
      </c>
      <c r="C21" s="61"/>
      <c r="D21" s="96"/>
      <c r="E21" s="61"/>
      <c r="F21" s="96"/>
      <c r="H21" s="61"/>
      <c r="I21" s="61"/>
    </row>
    <row r="22" spans="1:9" hidden="1">
      <c r="A22" s="6" t="s">
        <v>376</v>
      </c>
      <c r="B22" s="61" t="s">
        <v>1218</v>
      </c>
      <c r="C22" s="61"/>
      <c r="D22" s="96"/>
      <c r="E22" s="61"/>
      <c r="F22" s="96"/>
      <c r="H22" s="61"/>
      <c r="I22" s="61"/>
    </row>
    <row r="23" spans="1:9" hidden="1">
      <c r="A23" s="6" t="s">
        <v>378</v>
      </c>
      <c r="B23" s="61" t="s">
        <v>36</v>
      </c>
      <c r="C23" s="61"/>
      <c r="D23" s="96"/>
      <c r="E23" s="61"/>
      <c r="F23" s="96"/>
      <c r="H23" s="61"/>
      <c r="I23" s="61"/>
    </row>
    <row r="24" spans="1:9" hidden="1">
      <c r="A24" s="6" t="s">
        <v>381</v>
      </c>
      <c r="B24" s="61" t="s">
        <v>36</v>
      </c>
      <c r="C24" s="61"/>
      <c r="D24" s="96"/>
      <c r="E24" s="61"/>
      <c r="F24" s="96"/>
      <c r="H24" s="61"/>
      <c r="I24" s="61"/>
    </row>
    <row r="25" spans="1:9">
      <c r="A25" s="6" t="s">
        <v>390</v>
      </c>
      <c r="B25" s="61" t="s">
        <v>1219</v>
      </c>
      <c r="C25" s="61" t="s">
        <v>1220</v>
      </c>
      <c r="D25" s="96" t="s">
        <v>57</v>
      </c>
      <c r="E25" s="61" t="s">
        <v>105</v>
      </c>
      <c r="F25" s="96" t="s">
        <v>57</v>
      </c>
      <c r="H25" s="61"/>
      <c r="I25" s="61"/>
    </row>
    <row r="26" spans="1:9" hidden="1">
      <c r="A26" s="6" t="s">
        <v>392</v>
      </c>
      <c r="B26" s="61" t="s">
        <v>36</v>
      </c>
      <c r="C26" s="61"/>
      <c r="D26" s="96"/>
      <c r="E26" s="61"/>
      <c r="F26" s="96"/>
      <c r="H26" s="61"/>
      <c r="I26" s="61"/>
    </row>
    <row r="27" spans="1:9" hidden="1">
      <c r="A27" s="6" t="s">
        <v>394</v>
      </c>
      <c r="B27" s="61" t="s">
        <v>36</v>
      </c>
      <c r="C27" s="61"/>
      <c r="D27" s="96"/>
      <c r="E27" s="61"/>
      <c r="F27" s="96"/>
      <c r="H27" s="61"/>
      <c r="I27" s="61"/>
    </row>
    <row r="28" spans="1:9" hidden="1">
      <c r="A28" s="6" t="s">
        <v>399</v>
      </c>
      <c r="B28" s="61" t="s">
        <v>1221</v>
      </c>
      <c r="C28" s="61"/>
      <c r="D28" s="96"/>
      <c r="E28" s="61"/>
      <c r="F28" s="96"/>
      <c r="H28" s="61"/>
      <c r="I28" s="61"/>
    </row>
    <row r="29" spans="1:9" hidden="1">
      <c r="A29" s="6" t="s">
        <v>404</v>
      </c>
      <c r="B29" s="61" t="s">
        <v>36</v>
      </c>
      <c r="C29" s="61"/>
      <c r="D29" s="96"/>
      <c r="E29" s="61"/>
      <c r="F29" s="96"/>
      <c r="H29" s="61"/>
      <c r="I29" s="61"/>
    </row>
    <row r="30" spans="1:9">
      <c r="A30" s="6" t="s">
        <v>414</v>
      </c>
      <c r="B30" s="61" t="s">
        <v>1222</v>
      </c>
      <c r="C30" s="61" t="s">
        <v>1220</v>
      </c>
      <c r="D30" s="96" t="s">
        <v>57</v>
      </c>
      <c r="E30" s="61" t="s">
        <v>1208</v>
      </c>
      <c r="F30" s="96" t="s">
        <v>57</v>
      </c>
      <c r="H30" s="61"/>
      <c r="I30" s="61"/>
    </row>
    <row r="31" spans="1:9" hidden="1">
      <c r="A31" s="6" t="s">
        <v>418</v>
      </c>
      <c r="B31" s="61" t="s">
        <v>36</v>
      </c>
      <c r="C31" s="61"/>
      <c r="D31" s="96"/>
      <c r="E31" s="61"/>
      <c r="F31" s="96"/>
      <c r="H31" s="61"/>
      <c r="I31" s="61"/>
    </row>
    <row r="32" spans="1:9" hidden="1">
      <c r="A32" s="6" t="s">
        <v>421</v>
      </c>
      <c r="B32" s="61" t="s">
        <v>1223</v>
      </c>
      <c r="C32" s="61"/>
      <c r="D32" s="96"/>
      <c r="E32" s="61"/>
      <c r="F32" s="96"/>
      <c r="H32" s="61"/>
      <c r="I32" s="61"/>
    </row>
    <row r="33" spans="1:9" hidden="1">
      <c r="A33" s="6" t="s">
        <v>428</v>
      </c>
      <c r="B33" s="61" t="s">
        <v>36</v>
      </c>
      <c r="C33" s="61"/>
      <c r="D33" s="96"/>
      <c r="E33" s="61"/>
      <c r="F33" s="96"/>
      <c r="H33" s="61"/>
      <c r="I33" s="61"/>
    </row>
    <row r="34" spans="1:9" hidden="1">
      <c r="A34" s="6" t="s">
        <v>429</v>
      </c>
      <c r="B34" s="61" t="s">
        <v>36</v>
      </c>
      <c r="C34" s="61"/>
      <c r="D34" s="96"/>
      <c r="E34" s="61"/>
      <c r="F34" s="96"/>
      <c r="H34" s="61"/>
      <c r="I34" s="61"/>
    </row>
    <row r="35" spans="1:9" hidden="1">
      <c r="A35" s="6" t="s">
        <v>432</v>
      </c>
      <c r="B35" s="61" t="s">
        <v>36</v>
      </c>
      <c r="C35" s="61"/>
      <c r="D35" s="96"/>
      <c r="E35" s="61"/>
      <c r="F35" s="96"/>
      <c r="H35" s="61"/>
      <c r="I35" s="61"/>
    </row>
    <row r="36" spans="1:9" hidden="1">
      <c r="A36" s="6" t="s">
        <v>438</v>
      </c>
      <c r="B36" s="61" t="s">
        <v>1224</v>
      </c>
      <c r="C36" s="61"/>
      <c r="D36" s="96"/>
      <c r="E36" s="61"/>
      <c r="F36" s="96"/>
      <c r="H36" s="61"/>
      <c r="I36" s="61"/>
    </row>
    <row r="37" spans="1:9" hidden="1">
      <c r="A37" s="6" t="s">
        <v>440</v>
      </c>
      <c r="B37" s="61" t="s">
        <v>36</v>
      </c>
      <c r="C37" s="61"/>
      <c r="D37" s="96"/>
      <c r="E37" s="61"/>
      <c r="F37" s="96"/>
      <c r="H37" s="61"/>
      <c r="I37" s="61"/>
    </row>
    <row r="38" spans="1:9" hidden="1">
      <c r="A38" s="6" t="s">
        <v>445</v>
      </c>
      <c r="B38" s="61" t="s">
        <v>36</v>
      </c>
      <c r="C38" s="61"/>
      <c r="D38" s="96"/>
      <c r="E38" s="61"/>
      <c r="F38" s="96"/>
      <c r="H38" s="61"/>
      <c r="I38" s="61"/>
    </row>
    <row r="39" spans="1:9" hidden="1">
      <c r="A39" s="6" t="s">
        <v>447</v>
      </c>
      <c r="B39" s="61" t="s">
        <v>36</v>
      </c>
      <c r="C39" s="61"/>
      <c r="D39" s="96"/>
      <c r="E39" s="61"/>
      <c r="F39" s="96"/>
      <c r="H39" s="61"/>
      <c r="I39" s="61"/>
    </row>
    <row r="40" spans="1:9">
      <c r="A40" s="6" t="s">
        <v>451</v>
      </c>
      <c r="B40" s="61" t="s">
        <v>1225</v>
      </c>
      <c r="C40" s="61" t="s">
        <v>1226</v>
      </c>
      <c r="D40" s="96" t="s">
        <v>57</v>
      </c>
      <c r="E40" s="61" t="s">
        <v>105</v>
      </c>
      <c r="F40" s="96" t="s">
        <v>57</v>
      </c>
      <c r="H40" s="61"/>
      <c r="I40" s="61"/>
    </row>
    <row r="41" spans="1:9" hidden="1">
      <c r="A41" s="6" t="s">
        <v>453</v>
      </c>
      <c r="B41" s="61" t="s">
        <v>36</v>
      </c>
      <c r="C41" s="61"/>
      <c r="D41" s="96"/>
      <c r="E41" s="61"/>
      <c r="F41" s="96"/>
      <c r="H41" s="61"/>
      <c r="I41" s="61"/>
    </row>
    <row r="42" spans="1:9" hidden="1">
      <c r="A42" s="6" t="s">
        <v>456</v>
      </c>
      <c r="B42" s="61" t="s">
        <v>36</v>
      </c>
      <c r="C42" s="61"/>
      <c r="D42" s="96"/>
      <c r="E42" s="61"/>
      <c r="F42" s="96"/>
      <c r="H42" s="61"/>
      <c r="I42" s="61"/>
    </row>
    <row r="43" spans="1:9">
      <c r="A43" s="6" t="s">
        <v>461</v>
      </c>
      <c r="B43" s="61" t="s">
        <v>1227</v>
      </c>
      <c r="C43" s="61" t="s">
        <v>1228</v>
      </c>
      <c r="D43" s="96" t="s">
        <v>57</v>
      </c>
      <c r="E43" s="61" t="s">
        <v>1229</v>
      </c>
      <c r="F43" s="96" t="s">
        <v>57</v>
      </c>
      <c r="H43" s="61"/>
      <c r="I43" s="61"/>
    </row>
    <row r="44" spans="1:9" hidden="1">
      <c r="A44" s="6" t="s">
        <v>462</v>
      </c>
      <c r="B44" s="61" t="s">
        <v>36</v>
      </c>
      <c r="C44" s="61"/>
      <c r="D44" s="96"/>
      <c r="E44" s="61"/>
      <c r="F44" s="96"/>
      <c r="H44" s="61"/>
      <c r="I44" s="61"/>
    </row>
    <row r="45" spans="1:9">
      <c r="A45" s="6" t="s">
        <v>466</v>
      </c>
      <c r="B45" s="61" t="s">
        <v>1230</v>
      </c>
      <c r="C45" s="61" t="s">
        <v>1231</v>
      </c>
      <c r="D45" s="96" t="s">
        <v>57</v>
      </c>
      <c r="E45" s="61" t="s">
        <v>1229</v>
      </c>
      <c r="F45" s="96" t="s">
        <v>57</v>
      </c>
      <c r="H45" s="61"/>
      <c r="I45" s="61"/>
    </row>
    <row r="46" spans="1:9">
      <c r="A46" s="6" t="s">
        <v>471</v>
      </c>
      <c r="B46" s="61" t="s">
        <v>1232</v>
      </c>
      <c r="C46" s="61" t="s">
        <v>1233</v>
      </c>
      <c r="D46" s="96" t="s">
        <v>57</v>
      </c>
      <c r="E46" s="61" t="s">
        <v>105</v>
      </c>
      <c r="F46" s="96" t="s">
        <v>57</v>
      </c>
      <c r="H46" s="61"/>
      <c r="I46" s="61"/>
    </row>
    <row r="47" spans="1:9" hidden="1">
      <c r="A47" s="6" t="s">
        <v>473</v>
      </c>
      <c r="B47" s="61" t="s">
        <v>36</v>
      </c>
      <c r="C47" s="61"/>
      <c r="D47" s="96"/>
      <c r="E47" s="61"/>
      <c r="F47" s="96"/>
      <c r="H47" s="61"/>
      <c r="I47" s="61"/>
    </row>
    <row r="48" spans="1:9" hidden="1">
      <c r="A48" s="6" t="s">
        <v>477</v>
      </c>
      <c r="B48" s="61" t="s">
        <v>1234</v>
      </c>
      <c r="C48" s="61"/>
      <c r="D48" s="96"/>
      <c r="E48" s="61"/>
      <c r="F48" s="96"/>
      <c r="H48" s="61"/>
      <c r="I48" s="61"/>
    </row>
    <row r="49" spans="1:9" hidden="1">
      <c r="A49" s="6" t="s">
        <v>480</v>
      </c>
      <c r="B49" s="61" t="s">
        <v>36</v>
      </c>
      <c r="C49" s="61"/>
      <c r="D49" s="96"/>
      <c r="E49" s="61"/>
      <c r="F49" s="96"/>
      <c r="H49" s="61"/>
      <c r="I49" s="61"/>
    </row>
    <row r="50" spans="1:9" hidden="1">
      <c r="A50" s="6" t="s">
        <v>483</v>
      </c>
      <c r="B50" s="61" t="s">
        <v>36</v>
      </c>
      <c r="C50" s="61"/>
      <c r="D50" s="96"/>
      <c r="E50" s="61"/>
      <c r="F50" s="96"/>
      <c r="H50" s="61"/>
      <c r="I50" s="61"/>
    </row>
    <row r="51" spans="1:9" hidden="1">
      <c r="A51" s="6" t="s">
        <v>492</v>
      </c>
      <c r="B51" s="61" t="s">
        <v>36</v>
      </c>
      <c r="C51" s="61"/>
      <c r="D51" s="96"/>
      <c r="E51" s="61"/>
      <c r="F51" s="96"/>
      <c r="H51" s="61"/>
      <c r="I51" s="61"/>
    </row>
    <row r="52" spans="1:9" hidden="1">
      <c r="A52" s="6" t="s">
        <v>495</v>
      </c>
      <c r="B52" s="61" t="s">
        <v>36</v>
      </c>
      <c r="C52" s="61"/>
      <c r="D52" s="96"/>
      <c r="E52" s="61"/>
      <c r="F52" s="96"/>
      <c r="H52" s="61"/>
      <c r="I52" s="61"/>
    </row>
    <row r="53" spans="1:9" hidden="1">
      <c r="A53" s="6" t="s">
        <v>504</v>
      </c>
      <c r="B53" s="61" t="s">
        <v>1235</v>
      </c>
      <c r="C53" s="61"/>
      <c r="D53" s="96"/>
      <c r="E53" s="61"/>
      <c r="F53" s="96"/>
      <c r="H53" s="61"/>
      <c r="I53" s="61"/>
    </row>
    <row r="54" spans="1:9">
      <c r="A54" s="6" t="s">
        <v>510</v>
      </c>
      <c r="B54" s="61" t="s">
        <v>1236</v>
      </c>
      <c r="C54" s="61" t="s">
        <v>1220</v>
      </c>
      <c r="D54" s="96" t="s">
        <v>57</v>
      </c>
      <c r="E54" s="61" t="s">
        <v>424</v>
      </c>
      <c r="F54" s="96" t="s">
        <v>57</v>
      </c>
      <c r="H54" s="61"/>
      <c r="I54" s="61"/>
    </row>
    <row r="55" spans="1:9">
      <c r="A55" s="6" t="s">
        <v>512</v>
      </c>
      <c r="B55" s="61" t="s">
        <v>1237</v>
      </c>
      <c r="C55" s="61" t="s">
        <v>1238</v>
      </c>
      <c r="D55" s="96" t="s">
        <v>57</v>
      </c>
      <c r="E55" s="61" t="s">
        <v>1239</v>
      </c>
      <c r="F55" s="96" t="s">
        <v>57</v>
      </c>
      <c r="H55" s="61"/>
      <c r="I55" s="61"/>
    </row>
    <row r="56" spans="1:9" hidden="1">
      <c r="A56" s="6" t="s">
        <v>517</v>
      </c>
      <c r="B56" s="61" t="s">
        <v>36</v>
      </c>
      <c r="C56" s="61"/>
      <c r="D56" s="96"/>
      <c r="E56" s="61"/>
      <c r="F56" s="96"/>
      <c r="H56" s="61"/>
      <c r="I56" s="61"/>
    </row>
    <row r="57" spans="1:9">
      <c r="A57" s="6" t="s">
        <v>520</v>
      </c>
      <c r="B57" s="61" t="s">
        <v>1240</v>
      </c>
      <c r="C57" s="61" t="s">
        <v>1241</v>
      </c>
      <c r="D57" s="96" t="s">
        <v>57</v>
      </c>
      <c r="E57" s="61" t="s">
        <v>105</v>
      </c>
      <c r="F57" s="96" t="s">
        <v>57</v>
      </c>
      <c r="H57" s="61"/>
      <c r="I57" s="61"/>
    </row>
    <row r="58" spans="1:9" hidden="1">
      <c r="A58" s="6" t="s">
        <v>522</v>
      </c>
      <c r="B58" s="61" t="s">
        <v>36</v>
      </c>
      <c r="C58" s="61"/>
      <c r="D58" s="96"/>
      <c r="E58" s="61"/>
      <c r="F58" s="96"/>
      <c r="H58" s="61"/>
      <c r="I58" s="61"/>
    </row>
    <row r="59" spans="1:9" hidden="1">
      <c r="A59" s="6" t="s">
        <v>525</v>
      </c>
      <c r="B59" s="61" t="s">
        <v>1242</v>
      </c>
      <c r="C59" s="61"/>
      <c r="D59" s="96"/>
      <c r="E59" s="61"/>
      <c r="F59" s="96"/>
      <c r="H59" s="61"/>
      <c r="I59" s="61"/>
    </row>
    <row r="60" spans="1:9">
      <c r="A60" s="6" t="s">
        <v>528</v>
      </c>
      <c r="B60" s="61" t="s">
        <v>1243</v>
      </c>
      <c r="C60" s="61" t="s">
        <v>1244</v>
      </c>
      <c r="D60" s="96" t="s">
        <v>57</v>
      </c>
      <c r="E60" s="61" t="s">
        <v>105</v>
      </c>
      <c r="F60" s="96" t="s">
        <v>57</v>
      </c>
      <c r="H60" s="61"/>
      <c r="I60" s="61"/>
    </row>
    <row r="61" spans="1:9" hidden="1">
      <c r="A61" s="6" t="s">
        <v>531</v>
      </c>
      <c r="B61" s="61" t="s">
        <v>1245</v>
      </c>
      <c r="C61" s="61"/>
      <c r="D61" s="96"/>
      <c r="E61" s="61"/>
      <c r="F61" s="96"/>
      <c r="H61" s="61"/>
      <c r="I61" s="61"/>
    </row>
    <row r="62" spans="1:9" hidden="1">
      <c r="A62" s="6" t="s">
        <v>533</v>
      </c>
      <c r="B62" s="61" t="s">
        <v>36</v>
      </c>
      <c r="C62" s="61"/>
      <c r="D62" s="96"/>
      <c r="E62" s="61"/>
      <c r="F62" s="96"/>
      <c r="H62" s="61"/>
      <c r="I62" s="61"/>
    </row>
    <row r="63" spans="1:9" hidden="1">
      <c r="A63" s="6" t="s">
        <v>536</v>
      </c>
      <c r="B63" s="61" t="s">
        <v>36</v>
      </c>
      <c r="C63" s="61"/>
      <c r="D63" s="96"/>
      <c r="E63" s="61"/>
      <c r="F63" s="96"/>
      <c r="H63" s="61"/>
      <c r="I63" s="61"/>
    </row>
    <row r="64" spans="1:9">
      <c r="A64" s="6" t="s">
        <v>539</v>
      </c>
      <c r="B64" s="61" t="s">
        <v>1246</v>
      </c>
      <c r="C64" s="61" t="s">
        <v>1247</v>
      </c>
      <c r="D64" s="96" t="s">
        <v>57</v>
      </c>
      <c r="E64" s="61" t="s">
        <v>105</v>
      </c>
      <c r="F64" s="96" t="s">
        <v>57</v>
      </c>
      <c r="H64" s="61"/>
      <c r="I64" s="61"/>
    </row>
    <row r="65" spans="1:9">
      <c r="A65" s="6" t="s">
        <v>541</v>
      </c>
      <c r="B65" s="61" t="s">
        <v>1248</v>
      </c>
      <c r="C65" s="61" t="s">
        <v>1249</v>
      </c>
      <c r="D65" s="96" t="s">
        <v>57</v>
      </c>
      <c r="E65" s="61" t="s">
        <v>105</v>
      </c>
      <c r="F65" s="96" t="s">
        <v>57</v>
      </c>
      <c r="H65" s="61"/>
      <c r="I65" s="61"/>
    </row>
    <row r="66" spans="1:9" hidden="1">
      <c r="A66" s="6" t="s">
        <v>544</v>
      </c>
      <c r="B66" s="61" t="s">
        <v>36</v>
      </c>
      <c r="C66" s="61"/>
      <c r="D66" s="96"/>
      <c r="E66" s="61"/>
      <c r="F66" s="96"/>
      <c r="H66" s="61"/>
      <c r="I66" s="61"/>
    </row>
    <row r="67" spans="1:9" hidden="1">
      <c r="A67" s="6" t="s">
        <v>547</v>
      </c>
      <c r="B67" s="61" t="s">
        <v>1250</v>
      </c>
      <c r="C67" s="61"/>
      <c r="D67" s="96"/>
      <c r="E67" s="61"/>
      <c r="F67" s="96"/>
      <c r="H67" s="61"/>
      <c r="I67" s="61"/>
    </row>
    <row r="68" spans="1:9">
      <c r="A68" s="6" t="s">
        <v>550</v>
      </c>
      <c r="B68" s="61" t="s">
        <v>1251</v>
      </c>
      <c r="C68" s="61" t="s">
        <v>1252</v>
      </c>
      <c r="D68" s="96" t="s">
        <v>57</v>
      </c>
      <c r="E68" s="61" t="s">
        <v>105</v>
      </c>
      <c r="F68" s="96" t="s">
        <v>57</v>
      </c>
      <c r="H68" s="61"/>
      <c r="I68" s="61"/>
    </row>
    <row r="69" spans="1:9">
      <c r="A69" s="6" t="s">
        <v>552</v>
      </c>
      <c r="B69" s="61" t="s">
        <v>1253</v>
      </c>
      <c r="C69" s="61" t="s">
        <v>1220</v>
      </c>
      <c r="D69" s="96" t="s">
        <v>57</v>
      </c>
      <c r="E69" s="61" t="s">
        <v>1208</v>
      </c>
      <c r="F69" s="96" t="s">
        <v>57</v>
      </c>
      <c r="H69" s="61"/>
      <c r="I69" s="61"/>
    </row>
    <row r="70" spans="1:9" hidden="1">
      <c r="A70" s="6" t="s">
        <v>554</v>
      </c>
      <c r="B70" s="61" t="s">
        <v>36</v>
      </c>
      <c r="C70" s="61"/>
      <c r="D70" s="96"/>
      <c r="E70" s="61"/>
      <c r="F70" s="96"/>
      <c r="H70" s="90"/>
      <c r="I70" s="90"/>
    </row>
    <row r="71" spans="1:9" hidden="1">
      <c r="A71" s="6" t="s">
        <v>555</v>
      </c>
      <c r="B71" s="61" t="s">
        <v>36</v>
      </c>
      <c r="C71" s="61"/>
      <c r="D71" s="96"/>
      <c r="E71" s="61"/>
      <c r="F71" s="96"/>
      <c r="H71" s="61"/>
      <c r="I71" s="61"/>
    </row>
    <row r="72" spans="1:9" hidden="1">
      <c r="A72" s="6" t="s">
        <v>558</v>
      </c>
      <c r="B72" s="61" t="s">
        <v>36</v>
      </c>
      <c r="C72" s="61"/>
      <c r="D72" s="96"/>
      <c r="E72" s="61"/>
      <c r="F72" s="96"/>
      <c r="H72" s="61"/>
      <c r="I72" s="61"/>
    </row>
    <row r="73" spans="1:9">
      <c r="A73" s="6" t="s">
        <v>561</v>
      </c>
      <c r="B73" s="61" t="s">
        <v>1254</v>
      </c>
      <c r="C73" s="61" t="s">
        <v>1216</v>
      </c>
      <c r="D73" s="96" t="s">
        <v>57</v>
      </c>
      <c r="E73" s="61" t="s">
        <v>105</v>
      </c>
      <c r="F73" s="96" t="s">
        <v>57</v>
      </c>
      <c r="H73" s="61"/>
      <c r="I73" s="61"/>
    </row>
    <row r="74" spans="1:9">
      <c r="A74" s="6" t="s">
        <v>563</v>
      </c>
      <c r="B74" s="61" t="s">
        <v>1255</v>
      </c>
      <c r="C74" s="61" t="s">
        <v>1256</v>
      </c>
      <c r="D74" s="96" t="s">
        <v>57</v>
      </c>
      <c r="E74" s="61" t="s">
        <v>105</v>
      </c>
      <c r="F74" s="96" t="s">
        <v>57</v>
      </c>
      <c r="H74" s="61"/>
      <c r="I74" s="61"/>
    </row>
    <row r="75" spans="1:9">
      <c r="A75" s="6" t="s">
        <v>566</v>
      </c>
      <c r="B75" s="61" t="s">
        <v>1257</v>
      </c>
      <c r="C75" s="61" t="s">
        <v>1258</v>
      </c>
      <c r="D75" s="96" t="s">
        <v>57</v>
      </c>
      <c r="E75" s="61" t="s">
        <v>105</v>
      </c>
      <c r="F75" s="96" t="s">
        <v>57</v>
      </c>
      <c r="H75" s="61"/>
      <c r="I75" s="61"/>
    </row>
    <row r="76" spans="1:9">
      <c r="A76" s="6" t="s">
        <v>570</v>
      </c>
      <c r="B76" s="61" t="s">
        <v>1259</v>
      </c>
      <c r="C76" s="61" t="s">
        <v>105</v>
      </c>
      <c r="D76" s="96" t="s">
        <v>57</v>
      </c>
      <c r="E76" s="61" t="s">
        <v>1239</v>
      </c>
      <c r="F76" s="96" t="s">
        <v>57</v>
      </c>
      <c r="H76" s="61"/>
      <c r="I76" s="61"/>
    </row>
    <row r="77" spans="1:9" hidden="1">
      <c r="A77" s="6" t="s">
        <v>573</v>
      </c>
      <c r="B77" s="61" t="s">
        <v>36</v>
      </c>
      <c r="C77" s="61"/>
      <c r="D77" s="96"/>
      <c r="E77" s="61"/>
      <c r="F77" s="96"/>
      <c r="H77" s="61"/>
      <c r="I77" s="61"/>
    </row>
    <row r="78" spans="1:9" hidden="1">
      <c r="A78" s="6" t="s">
        <v>579</v>
      </c>
      <c r="B78" s="61" t="s">
        <v>1260</v>
      </c>
      <c r="C78" s="61"/>
      <c r="D78" s="96"/>
      <c r="E78" s="61"/>
      <c r="F78" s="96"/>
      <c r="H78" s="61"/>
      <c r="I78" s="61"/>
    </row>
    <row r="79" spans="1:9" hidden="1">
      <c r="A79" s="6" t="s">
        <v>584</v>
      </c>
      <c r="B79" s="61" t="s">
        <v>36</v>
      </c>
      <c r="C79" s="61"/>
      <c r="D79" s="96"/>
      <c r="E79" s="61"/>
      <c r="F79" s="96"/>
      <c r="H79" s="61"/>
      <c r="I79" s="61"/>
    </row>
    <row r="80" spans="1:9" hidden="1">
      <c r="A80" s="6" t="s">
        <v>587</v>
      </c>
      <c r="B80" s="61" t="s">
        <v>1261</v>
      </c>
      <c r="C80" s="61"/>
      <c r="D80" s="96"/>
      <c r="E80" s="61"/>
      <c r="F80" s="96"/>
      <c r="H80" s="61"/>
      <c r="I80" s="61"/>
    </row>
    <row r="81" spans="1:9">
      <c r="A81" s="6" t="s">
        <v>590</v>
      </c>
      <c r="B81" s="61" t="s">
        <v>1262</v>
      </c>
      <c r="C81" s="61" t="s">
        <v>1263</v>
      </c>
      <c r="D81" s="96" t="s">
        <v>57</v>
      </c>
      <c r="E81" s="61" t="s">
        <v>105</v>
      </c>
      <c r="F81" s="96" t="s">
        <v>57</v>
      </c>
      <c r="H81" s="61"/>
      <c r="I81" s="61"/>
    </row>
    <row r="82" spans="1:9" hidden="1">
      <c r="A82" s="6" t="s">
        <v>592</v>
      </c>
      <c r="B82" s="61" t="s">
        <v>36</v>
      </c>
      <c r="C82" s="61"/>
      <c r="D82" s="96"/>
      <c r="E82" s="61"/>
      <c r="F82" s="96"/>
      <c r="H82" s="61"/>
      <c r="I82" s="61"/>
    </row>
    <row r="83" spans="1:9" hidden="1">
      <c r="A83" s="6" t="s">
        <v>598</v>
      </c>
      <c r="B83" s="61" t="s">
        <v>1264</v>
      </c>
      <c r="C83" s="61"/>
      <c r="D83" s="96"/>
      <c r="E83" s="61"/>
      <c r="F83" s="96"/>
      <c r="H83" s="61"/>
      <c r="I83" s="61"/>
    </row>
    <row r="84" spans="1:9">
      <c r="A84" s="6" t="s">
        <v>600</v>
      </c>
      <c r="B84" s="61" t="s">
        <v>1265</v>
      </c>
      <c r="C84" s="61" t="s">
        <v>1266</v>
      </c>
      <c r="D84" s="96" t="s">
        <v>57</v>
      </c>
      <c r="E84" s="61" t="s">
        <v>1267</v>
      </c>
      <c r="F84" s="96" t="s">
        <v>57</v>
      </c>
      <c r="H84" s="61"/>
      <c r="I84" s="61"/>
    </row>
    <row r="85" spans="1:9" hidden="1">
      <c r="A85" s="6" t="s">
        <v>602</v>
      </c>
      <c r="B85" s="61" t="s">
        <v>1268</v>
      </c>
      <c r="C85" s="61"/>
      <c r="D85" s="96"/>
      <c r="E85" s="61"/>
      <c r="F85" s="96"/>
      <c r="H85" s="61"/>
      <c r="I85" s="61"/>
    </row>
    <row r="86" spans="1:9">
      <c r="A86" s="6" t="s">
        <v>604</v>
      </c>
      <c r="B86" s="61" t="s">
        <v>1269</v>
      </c>
      <c r="C86" s="61" t="s">
        <v>1270</v>
      </c>
      <c r="D86" s="96" t="s">
        <v>57</v>
      </c>
      <c r="E86" s="61" t="s">
        <v>1271</v>
      </c>
      <c r="F86" s="96" t="s">
        <v>57</v>
      </c>
      <c r="H86" s="61"/>
      <c r="I86" s="61"/>
    </row>
    <row r="87" spans="1:9" hidden="1">
      <c r="A87" s="6" t="s">
        <v>609</v>
      </c>
      <c r="B87" s="61" t="s">
        <v>36</v>
      </c>
      <c r="C87" s="61"/>
      <c r="D87" s="96"/>
      <c r="E87" s="61"/>
      <c r="F87" s="96"/>
      <c r="H87" s="61"/>
      <c r="I87" s="61"/>
    </row>
    <row r="88" spans="1:9">
      <c r="A88" s="6" t="s">
        <v>612</v>
      </c>
      <c r="B88" s="61" t="s">
        <v>1272</v>
      </c>
      <c r="C88" s="61" t="s">
        <v>1273</v>
      </c>
      <c r="D88" s="96" t="s">
        <v>57</v>
      </c>
      <c r="E88" s="61" t="s">
        <v>105</v>
      </c>
      <c r="F88" s="96" t="s">
        <v>57</v>
      </c>
      <c r="H88" s="61"/>
      <c r="I88" s="61"/>
    </row>
    <row r="89" spans="1:9" hidden="1">
      <c r="A89" s="6" t="s">
        <v>615</v>
      </c>
      <c r="B89" s="61" t="s">
        <v>1274</v>
      </c>
      <c r="C89" s="61"/>
      <c r="D89" s="96"/>
      <c r="E89" s="61"/>
      <c r="F89" s="96"/>
      <c r="H89" s="61"/>
      <c r="I89" s="61"/>
    </row>
    <row r="90" spans="1:9">
      <c r="A90" s="6" t="s">
        <v>618</v>
      </c>
      <c r="B90" s="61" t="s">
        <v>1275</v>
      </c>
      <c r="C90" s="61" t="s">
        <v>1276</v>
      </c>
      <c r="D90" s="96" t="s">
        <v>57</v>
      </c>
      <c r="E90" s="61" t="s">
        <v>105</v>
      </c>
      <c r="F90" s="96" t="s">
        <v>57</v>
      </c>
      <c r="H90" s="61"/>
      <c r="I90" s="61"/>
    </row>
    <row r="91" spans="1:9" hidden="1">
      <c r="A91" s="6" t="s">
        <v>620</v>
      </c>
      <c r="B91" s="61" t="s">
        <v>1277</v>
      </c>
      <c r="C91" s="61"/>
      <c r="D91" s="96"/>
      <c r="E91" s="61"/>
      <c r="F91" s="96"/>
      <c r="H91" s="61"/>
      <c r="I91" s="61"/>
    </row>
    <row r="92" spans="1:9" hidden="1">
      <c r="A92" s="6" t="s">
        <v>623</v>
      </c>
      <c r="B92" s="61" t="s">
        <v>1278</v>
      </c>
      <c r="C92" s="61"/>
      <c r="D92" s="96"/>
      <c r="E92" s="61"/>
      <c r="F92" s="96"/>
      <c r="H92" s="61"/>
      <c r="I92" s="61"/>
    </row>
    <row r="93" spans="1:9" hidden="1">
      <c r="A93" s="84" t="s">
        <v>629</v>
      </c>
      <c r="B93" s="61" t="s">
        <v>36</v>
      </c>
      <c r="C93" s="61"/>
      <c r="D93" s="96"/>
      <c r="E93" s="61"/>
      <c r="F93" s="96"/>
      <c r="H93" s="61"/>
      <c r="I93" s="61"/>
    </row>
    <row r="94" spans="1:9">
      <c r="A94" s="6" t="s">
        <v>632</v>
      </c>
      <c r="B94" s="61" t="s">
        <v>1279</v>
      </c>
      <c r="C94" s="61" t="s">
        <v>1280</v>
      </c>
      <c r="D94" s="96" t="s">
        <v>57</v>
      </c>
      <c r="E94" s="61" t="s">
        <v>1239</v>
      </c>
      <c r="F94" s="96" t="s">
        <v>57</v>
      </c>
      <c r="H94" s="61"/>
      <c r="I94" s="61"/>
    </row>
    <row r="95" spans="1:9">
      <c r="A95" s="6" t="s">
        <v>633</v>
      </c>
      <c r="B95" s="61" t="s">
        <v>1281</v>
      </c>
      <c r="C95" s="61" t="s">
        <v>1282</v>
      </c>
      <c r="D95" s="96" t="s">
        <v>57</v>
      </c>
      <c r="E95" s="61" t="s">
        <v>105</v>
      </c>
      <c r="F95" s="96" t="s">
        <v>57</v>
      </c>
      <c r="H95" s="61"/>
      <c r="I95" s="61"/>
    </row>
    <row r="96" spans="1:9" hidden="1">
      <c r="A96" s="6" t="s">
        <v>636</v>
      </c>
      <c r="B96" s="61" t="s">
        <v>36</v>
      </c>
      <c r="C96" s="61"/>
      <c r="D96" s="96"/>
      <c r="E96" s="61"/>
      <c r="F96" s="96"/>
      <c r="H96" s="61"/>
      <c r="I96" s="61"/>
    </row>
    <row r="97" spans="1:9">
      <c r="A97" s="6" t="s">
        <v>639</v>
      </c>
      <c r="B97" s="61" t="s">
        <v>1283</v>
      </c>
      <c r="C97" s="61" t="s">
        <v>1284</v>
      </c>
      <c r="D97" s="96" t="s">
        <v>57</v>
      </c>
      <c r="E97" s="61" t="s">
        <v>105</v>
      </c>
      <c r="F97" s="96" t="s">
        <v>57</v>
      </c>
      <c r="H97" s="61"/>
      <c r="I97" s="61"/>
    </row>
    <row r="98" spans="1:9">
      <c r="A98" s="6" t="s">
        <v>640</v>
      </c>
      <c r="B98" s="61" t="s">
        <v>1285</v>
      </c>
      <c r="C98" s="61" t="s">
        <v>1286</v>
      </c>
      <c r="D98" s="96" t="s">
        <v>57</v>
      </c>
      <c r="E98" s="61" t="s">
        <v>105</v>
      </c>
      <c r="F98" s="96" t="s">
        <v>57</v>
      </c>
      <c r="H98" s="61"/>
      <c r="I98" s="61"/>
    </row>
    <row r="99" spans="1:9">
      <c r="A99" s="6" t="s">
        <v>642</v>
      </c>
      <c r="B99" s="61" t="s">
        <v>1287</v>
      </c>
      <c r="C99" s="61" t="s">
        <v>1288</v>
      </c>
      <c r="D99" s="96" t="s">
        <v>57</v>
      </c>
      <c r="E99" s="61" t="s">
        <v>424</v>
      </c>
      <c r="F99" s="96" t="s">
        <v>57</v>
      </c>
      <c r="H99" s="61"/>
      <c r="I99" s="61"/>
    </row>
    <row r="100" spans="1:9" hidden="1">
      <c r="A100" s="6" t="s">
        <v>647</v>
      </c>
      <c r="B100" s="61" t="s">
        <v>1289</v>
      </c>
      <c r="C100" s="61"/>
      <c r="D100" s="96"/>
      <c r="E100" s="61"/>
      <c r="F100" s="96"/>
      <c r="H100" s="61"/>
      <c r="I100" s="61"/>
    </row>
    <row r="101" spans="1:9" hidden="1">
      <c r="A101" s="6" t="s">
        <v>650</v>
      </c>
      <c r="B101" s="61" t="s">
        <v>36</v>
      </c>
      <c r="C101" s="61"/>
      <c r="D101" s="96"/>
      <c r="E101" s="61"/>
      <c r="F101" s="96"/>
      <c r="H101" s="61"/>
      <c r="I101" s="61"/>
    </row>
    <row r="102" spans="1:9">
      <c r="A102" s="6" t="s">
        <v>655</v>
      </c>
      <c r="B102" s="61" t="s">
        <v>1290</v>
      </c>
      <c r="C102" s="61" t="s">
        <v>1291</v>
      </c>
      <c r="D102" s="96" t="s">
        <v>57</v>
      </c>
      <c r="E102" s="61" t="s">
        <v>1292</v>
      </c>
      <c r="F102" s="96" t="s">
        <v>57</v>
      </c>
      <c r="H102" s="61"/>
      <c r="I102" s="61"/>
    </row>
    <row r="103" spans="1:9" hidden="1">
      <c r="A103" s="6" t="s">
        <v>657</v>
      </c>
      <c r="B103" s="61" t="s">
        <v>36</v>
      </c>
      <c r="C103" s="61"/>
      <c r="D103" s="96"/>
      <c r="E103" s="61"/>
      <c r="F103" s="96"/>
      <c r="H103" s="61"/>
      <c r="I103" s="61"/>
    </row>
    <row r="104" spans="1:9" hidden="1">
      <c r="A104" s="6" t="s">
        <v>662</v>
      </c>
      <c r="B104" s="61" t="s">
        <v>1293</v>
      </c>
      <c r="C104" s="61"/>
      <c r="D104" s="96"/>
      <c r="E104" s="61"/>
      <c r="F104" s="96"/>
      <c r="H104" s="61"/>
      <c r="I104" s="61"/>
    </row>
    <row r="105" spans="1:9">
      <c r="A105" s="6" t="s">
        <v>666</v>
      </c>
      <c r="B105" s="61" t="s">
        <v>1294</v>
      </c>
      <c r="C105" s="61" t="s">
        <v>1286</v>
      </c>
      <c r="D105" s="96" t="s">
        <v>57</v>
      </c>
      <c r="E105" s="61" t="s">
        <v>105</v>
      </c>
      <c r="F105" s="96" t="s">
        <v>57</v>
      </c>
      <c r="H105" s="61"/>
      <c r="I105" s="61"/>
    </row>
    <row r="106" spans="1:9">
      <c r="A106" s="83" t="s">
        <v>668</v>
      </c>
      <c r="B106" s="61" t="s">
        <v>1295</v>
      </c>
      <c r="C106" s="61" t="s">
        <v>1296</v>
      </c>
      <c r="D106" s="96" t="s">
        <v>57</v>
      </c>
      <c r="E106" s="87"/>
      <c r="F106" s="96" t="s">
        <v>57</v>
      </c>
      <c r="H106" s="61"/>
      <c r="I106" s="61"/>
    </row>
    <row r="107" spans="1:9" hidden="1">
      <c r="A107" s="6" t="s">
        <v>53</v>
      </c>
      <c r="B107" s="61" t="s">
        <v>1297</v>
      </c>
      <c r="C107" s="61"/>
      <c r="D107" s="96"/>
      <c r="E107" s="61"/>
      <c r="F107" s="96"/>
      <c r="H107" s="61"/>
      <c r="I107" s="61"/>
    </row>
    <row r="108" spans="1:9">
      <c r="A108" s="6" t="s">
        <v>65</v>
      </c>
      <c r="B108" s="61" t="s">
        <v>1298</v>
      </c>
      <c r="C108" s="61" t="s">
        <v>1299</v>
      </c>
      <c r="D108" s="96" t="s">
        <v>57</v>
      </c>
      <c r="E108" s="61" t="s">
        <v>255</v>
      </c>
      <c r="F108" s="96" t="s">
        <v>57</v>
      </c>
      <c r="H108" s="61"/>
      <c r="I108" s="61"/>
    </row>
    <row r="109" spans="1:9" hidden="1">
      <c r="A109" s="6" t="s">
        <v>69</v>
      </c>
      <c r="B109" s="61" t="s">
        <v>36</v>
      </c>
      <c r="C109" s="61"/>
      <c r="D109" s="96"/>
      <c r="E109" s="61"/>
      <c r="F109" s="96"/>
      <c r="H109" s="61"/>
      <c r="I109" s="61"/>
    </row>
    <row r="110" spans="1:9">
      <c r="A110" s="6" t="s">
        <v>74</v>
      </c>
      <c r="B110" s="61" t="s">
        <v>1300</v>
      </c>
      <c r="C110" s="61" t="s">
        <v>1216</v>
      </c>
      <c r="D110" s="96" t="s">
        <v>57</v>
      </c>
      <c r="E110" s="61"/>
      <c r="F110" s="96" t="s">
        <v>57</v>
      </c>
      <c r="H110" s="61"/>
      <c r="I110" s="61"/>
    </row>
    <row r="111" spans="1:9">
      <c r="A111" s="6" t="s">
        <v>80</v>
      </c>
      <c r="B111" s="61" t="s">
        <v>1301</v>
      </c>
      <c r="C111" s="61" t="s">
        <v>1302</v>
      </c>
      <c r="D111" s="96" t="s">
        <v>57</v>
      </c>
      <c r="E111" s="61" t="s">
        <v>105</v>
      </c>
      <c r="F111" s="96" t="s">
        <v>57</v>
      </c>
      <c r="H111" s="61"/>
      <c r="I111" s="61"/>
    </row>
    <row r="112" spans="1:9">
      <c r="A112" s="6" t="s">
        <v>83</v>
      </c>
      <c r="B112" s="61" t="s">
        <v>1303</v>
      </c>
      <c r="C112" s="61" t="s">
        <v>1304</v>
      </c>
      <c r="D112" s="96" t="s">
        <v>57</v>
      </c>
      <c r="E112" s="61" t="s">
        <v>58</v>
      </c>
      <c r="F112" s="96" t="s">
        <v>57</v>
      </c>
      <c r="H112" s="61"/>
      <c r="I112" s="61"/>
    </row>
    <row r="113" spans="1:9" hidden="1">
      <c r="A113" s="6" t="s">
        <v>90</v>
      </c>
      <c r="B113" s="61" t="s">
        <v>36</v>
      </c>
      <c r="C113" s="61"/>
      <c r="D113" s="96"/>
      <c r="E113" s="61"/>
      <c r="F113" s="96"/>
      <c r="H113" s="61"/>
      <c r="I113" s="61"/>
    </row>
    <row r="114" spans="1:9">
      <c r="A114" s="6" t="s">
        <v>94</v>
      </c>
      <c r="B114" s="61" t="s">
        <v>1305</v>
      </c>
      <c r="C114" s="61" t="s">
        <v>1306</v>
      </c>
      <c r="D114" s="96" t="s">
        <v>57</v>
      </c>
      <c r="E114" s="61" t="s">
        <v>700</v>
      </c>
      <c r="F114" s="96" t="s">
        <v>57</v>
      </c>
      <c r="H114" s="61"/>
      <c r="I114" s="61"/>
    </row>
    <row r="115" spans="1:9">
      <c r="A115" s="6" t="s">
        <v>98</v>
      </c>
      <c r="B115" s="61" t="s">
        <v>1307</v>
      </c>
      <c r="C115" s="61" t="s">
        <v>1256</v>
      </c>
      <c r="D115" s="96" t="s">
        <v>57</v>
      </c>
      <c r="E115" s="61" t="s">
        <v>105</v>
      </c>
      <c r="F115" s="96" t="s">
        <v>57</v>
      </c>
      <c r="H115" s="61"/>
      <c r="I115" s="61"/>
    </row>
    <row r="116" spans="1:9">
      <c r="A116" s="6" t="s">
        <v>106</v>
      </c>
      <c r="B116" s="61" t="s">
        <v>1308</v>
      </c>
      <c r="C116" s="61" t="s">
        <v>1309</v>
      </c>
      <c r="D116" s="96" t="s">
        <v>57</v>
      </c>
      <c r="E116" s="61" t="s">
        <v>105</v>
      </c>
      <c r="F116" s="96" t="s">
        <v>57</v>
      </c>
      <c r="H116" s="61"/>
      <c r="I116" s="61"/>
    </row>
    <row r="117" spans="1:9" hidden="1">
      <c r="A117" s="6" t="s">
        <v>110</v>
      </c>
      <c r="B117" s="61" t="s">
        <v>1310</v>
      </c>
      <c r="C117" s="61"/>
      <c r="D117" s="96"/>
      <c r="E117" s="61"/>
      <c r="F117" s="96"/>
      <c r="H117" s="61"/>
      <c r="I117" s="61"/>
    </row>
    <row r="118" spans="1:9" hidden="1">
      <c r="A118" s="6" t="s">
        <v>114</v>
      </c>
      <c r="B118" s="61" t="s">
        <v>1311</v>
      </c>
      <c r="C118" s="61"/>
      <c r="D118" s="96"/>
      <c r="E118" s="61"/>
      <c r="F118" s="96"/>
      <c r="H118" s="61"/>
      <c r="I118" s="61"/>
    </row>
    <row r="119" spans="1:9">
      <c r="A119" s="6" t="s">
        <v>120</v>
      </c>
      <c r="B119" s="61" t="s">
        <v>1312</v>
      </c>
      <c r="C119" s="61" t="s">
        <v>105</v>
      </c>
      <c r="D119" s="96" t="s">
        <v>57</v>
      </c>
      <c r="E119" s="61" t="s">
        <v>105</v>
      </c>
      <c r="F119" s="96" t="s">
        <v>57</v>
      </c>
      <c r="H119" s="61"/>
      <c r="I119" s="61"/>
    </row>
    <row r="120" spans="1:9">
      <c r="A120" s="6" t="s">
        <v>122</v>
      </c>
      <c r="B120" s="61" t="s">
        <v>1313</v>
      </c>
      <c r="C120" s="61" t="s">
        <v>1314</v>
      </c>
      <c r="D120" s="96" t="s">
        <v>57</v>
      </c>
      <c r="E120" s="61" t="s">
        <v>424</v>
      </c>
      <c r="F120" s="96" t="s">
        <v>57</v>
      </c>
      <c r="H120" s="61"/>
      <c r="I120" s="61"/>
    </row>
    <row r="121" spans="1:9">
      <c r="A121" s="6" t="s">
        <v>125</v>
      </c>
      <c r="B121" s="61" t="s">
        <v>1315</v>
      </c>
      <c r="C121" s="61" t="s">
        <v>1284</v>
      </c>
      <c r="D121" s="96" t="s">
        <v>57</v>
      </c>
      <c r="E121" s="61" t="s">
        <v>424</v>
      </c>
      <c r="F121" s="96" t="s">
        <v>57</v>
      </c>
      <c r="H121" s="61"/>
      <c r="I121" s="61"/>
    </row>
    <row r="122" spans="1:9">
      <c r="A122" s="6" t="s">
        <v>127</v>
      </c>
      <c r="B122" s="61" t="s">
        <v>1316</v>
      </c>
      <c r="C122" s="61" t="s">
        <v>1220</v>
      </c>
      <c r="D122" s="96" t="s">
        <v>57</v>
      </c>
      <c r="E122" s="61" t="s">
        <v>424</v>
      </c>
      <c r="F122" s="96" t="s">
        <v>57</v>
      </c>
      <c r="H122" s="61"/>
      <c r="I122" s="61"/>
    </row>
    <row r="123" spans="1:9">
      <c r="A123" s="6" t="s">
        <v>135</v>
      </c>
      <c r="B123" s="61" t="s">
        <v>1317</v>
      </c>
      <c r="C123" s="61" t="s">
        <v>1207</v>
      </c>
      <c r="D123" s="96" t="s">
        <v>57</v>
      </c>
      <c r="E123" s="61" t="s">
        <v>105</v>
      </c>
      <c r="F123" s="96" t="s">
        <v>57</v>
      </c>
      <c r="H123" s="61"/>
      <c r="I123" s="61"/>
    </row>
    <row r="124" spans="1:9" hidden="1">
      <c r="A124" s="6" t="s">
        <v>138</v>
      </c>
      <c r="B124" s="61" t="s">
        <v>36</v>
      </c>
      <c r="C124" s="61"/>
      <c r="D124" s="96"/>
      <c r="E124" s="61"/>
      <c r="F124" s="96"/>
      <c r="H124" s="61"/>
      <c r="I124" s="61"/>
    </row>
    <row r="125" spans="1:9">
      <c r="A125" s="6" t="s">
        <v>143</v>
      </c>
      <c r="B125" s="61" t="s">
        <v>1318</v>
      </c>
      <c r="C125" s="61" t="s">
        <v>1286</v>
      </c>
      <c r="D125" s="96" t="s">
        <v>57</v>
      </c>
      <c r="E125" s="61" t="s">
        <v>105</v>
      </c>
      <c r="F125" s="96" t="s">
        <v>57</v>
      </c>
      <c r="H125" s="61"/>
      <c r="I125" s="61"/>
    </row>
    <row r="126" spans="1:9" hidden="1">
      <c r="A126" s="6" t="s">
        <v>145</v>
      </c>
      <c r="B126" s="61" t="s">
        <v>1319</v>
      </c>
      <c r="C126" s="61"/>
      <c r="D126" s="96"/>
      <c r="E126" s="61"/>
      <c r="F126" s="96"/>
      <c r="H126" s="61"/>
      <c r="I126" s="61"/>
    </row>
    <row r="127" spans="1:9">
      <c r="A127" s="6" t="s">
        <v>147</v>
      </c>
      <c r="B127" s="61" t="s">
        <v>1320</v>
      </c>
      <c r="C127" s="61" t="s">
        <v>1286</v>
      </c>
      <c r="D127" s="96" t="s">
        <v>57</v>
      </c>
      <c r="E127" s="61" t="s">
        <v>105</v>
      </c>
      <c r="F127" s="96" t="s">
        <v>57</v>
      </c>
      <c r="H127" s="61"/>
      <c r="I127" s="61"/>
    </row>
    <row r="128" spans="1:9">
      <c r="A128" s="6" t="s">
        <v>154</v>
      </c>
      <c r="B128" s="61" t="s">
        <v>1321</v>
      </c>
      <c r="C128" s="61" t="s">
        <v>1216</v>
      </c>
      <c r="D128" s="96" t="s">
        <v>57</v>
      </c>
      <c r="E128" s="61" t="s">
        <v>424</v>
      </c>
      <c r="F128" s="96" t="s">
        <v>57</v>
      </c>
    </row>
    <row r="129" spans="1:6">
      <c r="A129" s="6" t="s">
        <v>161</v>
      </c>
      <c r="B129" s="61" t="s">
        <v>1322</v>
      </c>
      <c r="C129" s="61" t="s">
        <v>1323</v>
      </c>
      <c r="D129" s="96" t="s">
        <v>57</v>
      </c>
      <c r="E129" s="61" t="s">
        <v>255</v>
      </c>
      <c r="F129" s="96" t="s">
        <v>57</v>
      </c>
    </row>
    <row r="130" spans="1:6">
      <c r="A130" s="6" t="s">
        <v>170</v>
      </c>
      <c r="B130" s="61" t="s">
        <v>1324</v>
      </c>
      <c r="C130" s="61" t="s">
        <v>1247</v>
      </c>
      <c r="D130" s="96" t="s">
        <v>57</v>
      </c>
      <c r="E130" s="61" t="s">
        <v>105</v>
      </c>
      <c r="F130" s="96" t="s">
        <v>57</v>
      </c>
    </row>
    <row r="131" spans="1:6">
      <c r="A131" s="6" t="s">
        <v>176</v>
      </c>
      <c r="B131" s="61" t="s">
        <v>1325</v>
      </c>
      <c r="C131" s="61" t="s">
        <v>1286</v>
      </c>
      <c r="D131" s="96" t="s">
        <v>57</v>
      </c>
      <c r="E131" s="61" t="s">
        <v>105</v>
      </c>
      <c r="F131" s="96" t="s">
        <v>57</v>
      </c>
    </row>
    <row r="132" spans="1:6">
      <c r="A132" s="6" t="s">
        <v>178</v>
      </c>
      <c r="B132" s="61" t="s">
        <v>1326</v>
      </c>
      <c r="C132" s="61" t="s">
        <v>1327</v>
      </c>
      <c r="D132" s="96" t="s">
        <v>57</v>
      </c>
      <c r="E132" s="61" t="s">
        <v>116</v>
      </c>
      <c r="F132" s="96" t="s">
        <v>57</v>
      </c>
    </row>
    <row r="133" spans="1:6" hidden="1">
      <c r="A133" s="6" t="s">
        <v>184</v>
      </c>
      <c r="B133" s="61" t="s">
        <v>36</v>
      </c>
      <c r="C133" s="61"/>
      <c r="D133" s="96"/>
      <c r="E133" s="61"/>
      <c r="F133" s="96"/>
    </row>
    <row r="134" spans="1:6" hidden="1">
      <c r="A134" s="6" t="s">
        <v>187</v>
      </c>
      <c r="B134" s="61" t="s">
        <v>1328</v>
      </c>
      <c r="C134" s="61"/>
      <c r="D134" s="96"/>
      <c r="E134" s="61"/>
      <c r="F134" s="96"/>
    </row>
    <row r="135" spans="1:6">
      <c r="A135" s="6" t="s">
        <v>192</v>
      </c>
      <c r="B135" s="61" t="s">
        <v>1329</v>
      </c>
      <c r="C135" s="61" t="s">
        <v>1330</v>
      </c>
      <c r="D135" s="96" t="s">
        <v>57</v>
      </c>
      <c r="E135" s="61" t="s">
        <v>105</v>
      </c>
      <c r="F135" s="96" t="s">
        <v>57</v>
      </c>
    </row>
    <row r="136" spans="1:6">
      <c r="A136" s="6" t="s">
        <v>195</v>
      </c>
      <c r="B136" s="61" t="s">
        <v>1331</v>
      </c>
      <c r="C136" s="61" t="s">
        <v>1332</v>
      </c>
      <c r="D136" s="96" t="s">
        <v>57</v>
      </c>
      <c r="E136" s="61" t="s">
        <v>1208</v>
      </c>
      <c r="F136" s="96" t="s">
        <v>57</v>
      </c>
    </row>
    <row r="137" spans="1:6" hidden="1">
      <c r="A137" s="6" t="s">
        <v>200</v>
      </c>
      <c r="B137" s="61" t="s">
        <v>1328</v>
      </c>
      <c r="C137" s="61"/>
      <c r="D137" s="96"/>
      <c r="E137" s="61"/>
      <c r="F137" s="96"/>
    </row>
    <row r="138" spans="1:6">
      <c r="A138" s="6" t="s">
        <v>204</v>
      </c>
      <c r="B138" s="61" t="s">
        <v>1333</v>
      </c>
      <c r="C138" s="61" t="s">
        <v>1334</v>
      </c>
      <c r="D138" s="96" t="s">
        <v>57</v>
      </c>
      <c r="E138" s="61" t="s">
        <v>255</v>
      </c>
      <c r="F138" s="96" t="s">
        <v>57</v>
      </c>
    </row>
    <row r="139" spans="1:6" hidden="1">
      <c r="A139" s="6" t="s">
        <v>206</v>
      </c>
      <c r="B139" s="61" t="s">
        <v>1335</v>
      </c>
      <c r="C139" s="61"/>
      <c r="D139" s="96"/>
      <c r="E139" s="61"/>
      <c r="F139" s="96"/>
    </row>
    <row r="140" spans="1:6" hidden="1">
      <c r="A140" s="6" t="s">
        <v>209</v>
      </c>
      <c r="B140" s="61" t="s">
        <v>1336</v>
      </c>
      <c r="C140" s="61"/>
      <c r="D140" s="96"/>
      <c r="E140" s="61"/>
      <c r="F140" s="96"/>
    </row>
    <row r="141" spans="1:6">
      <c r="A141" s="6" t="s">
        <v>213</v>
      </c>
      <c r="B141" s="61" t="s">
        <v>1337</v>
      </c>
      <c r="C141" s="61" t="s">
        <v>1338</v>
      </c>
      <c r="D141" s="96" t="s">
        <v>57</v>
      </c>
      <c r="E141" s="61" t="s">
        <v>105</v>
      </c>
      <c r="F141" s="96" t="s">
        <v>57</v>
      </c>
    </row>
    <row r="142" spans="1:6">
      <c r="A142" s="6" t="s">
        <v>215</v>
      </c>
      <c r="B142" s="61" t="s">
        <v>1339</v>
      </c>
      <c r="C142" s="61" t="s">
        <v>1258</v>
      </c>
      <c r="D142" s="96" t="s">
        <v>57</v>
      </c>
      <c r="E142" s="61" t="s">
        <v>105</v>
      </c>
      <c r="F142" s="96" t="s">
        <v>57</v>
      </c>
    </row>
    <row r="143" spans="1:6">
      <c r="A143" s="6" t="s">
        <v>217</v>
      </c>
      <c r="B143" s="61" t="s">
        <v>1340</v>
      </c>
      <c r="C143" s="61" t="s">
        <v>1341</v>
      </c>
      <c r="D143" s="96" t="s">
        <v>57</v>
      </c>
      <c r="E143" s="61" t="s">
        <v>105</v>
      </c>
      <c r="F143" s="96" t="s">
        <v>57</v>
      </c>
    </row>
    <row r="144" spans="1:6">
      <c r="A144" s="6" t="s">
        <v>219</v>
      </c>
      <c r="B144" s="61" t="s">
        <v>1342</v>
      </c>
      <c r="C144" s="61" t="s">
        <v>1258</v>
      </c>
      <c r="D144" s="96" t="s">
        <v>57</v>
      </c>
      <c r="E144" s="61" t="s">
        <v>105</v>
      </c>
      <c r="F144" s="96" t="s">
        <v>57</v>
      </c>
    </row>
    <row r="145" spans="1:6">
      <c r="A145" s="6" t="s">
        <v>221</v>
      </c>
      <c r="B145" s="61" t="s">
        <v>1343</v>
      </c>
      <c r="C145" s="61" t="s">
        <v>1256</v>
      </c>
      <c r="D145" s="96" t="s">
        <v>57</v>
      </c>
      <c r="E145" s="61" t="s">
        <v>105</v>
      </c>
      <c r="F145" s="96" t="s">
        <v>57</v>
      </c>
    </row>
    <row r="146" spans="1:6">
      <c r="A146" s="6" t="s">
        <v>229</v>
      </c>
      <c r="B146" s="61" t="s">
        <v>1344</v>
      </c>
      <c r="C146" s="61" t="s">
        <v>1345</v>
      </c>
      <c r="D146" s="96" t="s">
        <v>57</v>
      </c>
      <c r="E146" s="61" t="s">
        <v>1346</v>
      </c>
      <c r="F146" s="96" t="s">
        <v>57</v>
      </c>
    </row>
    <row r="147" spans="1:6" hidden="1">
      <c r="A147" s="6" t="s">
        <v>233</v>
      </c>
      <c r="B147" s="61" t="s">
        <v>1347</v>
      </c>
      <c r="C147" s="61"/>
      <c r="D147" s="96"/>
      <c r="E147" s="61"/>
      <c r="F147" s="96"/>
    </row>
    <row r="148" spans="1:6">
      <c r="A148" s="6" t="s">
        <v>236</v>
      </c>
      <c r="B148" s="61" t="s">
        <v>1348</v>
      </c>
      <c r="C148" s="61" t="s">
        <v>1198</v>
      </c>
      <c r="D148" s="96" t="s">
        <v>57</v>
      </c>
      <c r="E148" s="61" t="s">
        <v>105</v>
      </c>
      <c r="F148" s="96" t="s">
        <v>57</v>
      </c>
    </row>
    <row r="149" spans="1:6">
      <c r="A149" s="6" t="s">
        <v>238</v>
      </c>
      <c r="B149" s="61" t="s">
        <v>1349</v>
      </c>
      <c r="C149" s="61" t="s">
        <v>1220</v>
      </c>
      <c r="D149" s="96" t="s">
        <v>57</v>
      </c>
      <c r="E149" s="61" t="s">
        <v>105</v>
      </c>
      <c r="F149" s="96" t="s">
        <v>57</v>
      </c>
    </row>
    <row r="150" spans="1:6">
      <c r="A150" s="6" t="s">
        <v>241</v>
      </c>
      <c r="B150" s="61" t="s">
        <v>1350</v>
      </c>
      <c r="C150" s="61" t="s">
        <v>1351</v>
      </c>
      <c r="D150" s="96" t="s">
        <v>57</v>
      </c>
      <c r="E150" s="61" t="s">
        <v>700</v>
      </c>
      <c r="F150" s="96" t="s">
        <v>57</v>
      </c>
    </row>
    <row r="151" spans="1:6" hidden="1">
      <c r="A151" s="6" t="s">
        <v>242</v>
      </c>
      <c r="B151" s="61" t="s">
        <v>1352</v>
      </c>
      <c r="C151" s="61"/>
      <c r="D151" s="96"/>
      <c r="E151" s="61"/>
      <c r="F151" s="96"/>
    </row>
    <row r="152" spans="1:6">
      <c r="A152" s="6" t="s">
        <v>244</v>
      </c>
      <c r="B152" s="61" t="s">
        <v>1353</v>
      </c>
      <c r="C152" s="61" t="s">
        <v>1284</v>
      </c>
      <c r="D152" s="96" t="s">
        <v>57</v>
      </c>
      <c r="E152" s="61" t="s">
        <v>424</v>
      </c>
      <c r="F152" s="96" t="s">
        <v>57</v>
      </c>
    </row>
    <row r="153" spans="1:6" hidden="1">
      <c r="A153" s="6" t="s">
        <v>250</v>
      </c>
      <c r="B153" s="61" t="s">
        <v>1354</v>
      </c>
      <c r="C153" s="61"/>
      <c r="D153" s="96"/>
      <c r="E153" s="61"/>
      <c r="F153" s="96"/>
    </row>
    <row r="154" spans="1:6">
      <c r="A154" s="6" t="s">
        <v>257</v>
      </c>
      <c r="B154" s="61" t="s">
        <v>1355</v>
      </c>
      <c r="C154" s="61" t="s">
        <v>1356</v>
      </c>
      <c r="D154" s="96" t="s">
        <v>57</v>
      </c>
      <c r="E154" s="61" t="s">
        <v>105</v>
      </c>
      <c r="F154" s="96" t="s">
        <v>57</v>
      </c>
    </row>
    <row r="155" spans="1:6" hidden="1">
      <c r="A155" s="6" t="s">
        <v>263</v>
      </c>
      <c r="B155" s="61" t="s">
        <v>1357</v>
      </c>
      <c r="C155" s="61"/>
      <c r="D155" s="96"/>
      <c r="E155" s="61"/>
      <c r="F155" s="96"/>
    </row>
    <row r="156" spans="1:6" hidden="1">
      <c r="A156" s="6" t="s">
        <v>267</v>
      </c>
      <c r="B156" s="61" t="s">
        <v>1358</v>
      </c>
      <c r="C156" s="61"/>
      <c r="D156" s="96"/>
      <c r="E156" s="61"/>
      <c r="F156" s="96"/>
    </row>
    <row r="157" spans="1:6" hidden="1">
      <c r="A157" s="6" t="s">
        <v>269</v>
      </c>
      <c r="B157" s="61" t="s">
        <v>1359</v>
      </c>
      <c r="C157" s="61"/>
      <c r="D157" s="96"/>
      <c r="E157" s="61"/>
      <c r="F157" s="96"/>
    </row>
    <row r="158" spans="1:6" hidden="1">
      <c r="A158" s="6" t="s">
        <v>272</v>
      </c>
      <c r="B158" s="61" t="s">
        <v>36</v>
      </c>
      <c r="C158" s="61"/>
      <c r="D158" s="96"/>
      <c r="E158" s="61"/>
      <c r="F158" s="96"/>
    </row>
    <row r="159" spans="1:6">
      <c r="A159" s="6" t="s">
        <v>275</v>
      </c>
      <c r="B159" s="61" t="s">
        <v>1360</v>
      </c>
      <c r="C159" s="61" t="s">
        <v>1361</v>
      </c>
      <c r="D159" s="96" t="s">
        <v>57</v>
      </c>
      <c r="E159" s="61" t="s">
        <v>105</v>
      </c>
      <c r="F159" s="96" t="s">
        <v>57</v>
      </c>
    </row>
    <row r="160" spans="1:6" hidden="1">
      <c r="A160" s="6" t="s">
        <v>278</v>
      </c>
      <c r="B160" s="61" t="s">
        <v>36</v>
      </c>
      <c r="C160" s="61"/>
      <c r="D160" s="96"/>
      <c r="E160" s="61"/>
      <c r="F160" s="96"/>
    </row>
    <row r="161" spans="1:6" hidden="1">
      <c r="A161" s="6" t="s">
        <v>280</v>
      </c>
      <c r="B161" s="61" t="s">
        <v>1362</v>
      </c>
      <c r="C161" s="61"/>
      <c r="D161" s="96"/>
      <c r="E161" s="61"/>
      <c r="F161" s="96"/>
    </row>
    <row r="162" spans="1:6">
      <c r="A162" s="6" t="s">
        <v>284</v>
      </c>
      <c r="B162" s="61" t="s">
        <v>1363</v>
      </c>
      <c r="C162" s="61" t="s">
        <v>1258</v>
      </c>
      <c r="D162" s="96" t="s">
        <v>57</v>
      </c>
      <c r="E162" s="61" t="s">
        <v>105</v>
      </c>
      <c r="F162" s="96" t="s">
        <v>57</v>
      </c>
    </row>
    <row r="163" spans="1:6">
      <c r="A163" s="6" t="s">
        <v>286</v>
      </c>
      <c r="B163" s="61" t="s">
        <v>1364</v>
      </c>
      <c r="C163" s="61" t="s">
        <v>1247</v>
      </c>
      <c r="D163" s="96" t="s">
        <v>57</v>
      </c>
      <c r="E163" s="61" t="s">
        <v>105</v>
      </c>
      <c r="F163" s="96" t="s">
        <v>57</v>
      </c>
    </row>
    <row r="164" spans="1:6" hidden="1">
      <c r="A164" s="6" t="s">
        <v>287</v>
      </c>
      <c r="B164" s="61" t="s">
        <v>1365</v>
      </c>
      <c r="C164" s="61"/>
      <c r="D164" s="96"/>
      <c r="E164" s="61"/>
      <c r="F164" s="96"/>
    </row>
    <row r="165" spans="1:6" hidden="1">
      <c r="A165" s="6" t="s">
        <v>290</v>
      </c>
      <c r="B165" s="61" t="s">
        <v>36</v>
      </c>
      <c r="C165" s="61"/>
      <c r="D165" s="96"/>
      <c r="E165" s="61"/>
      <c r="F165" s="96"/>
    </row>
    <row r="166" spans="1:6">
      <c r="A166" s="6" t="s">
        <v>292</v>
      </c>
      <c r="B166" s="61" t="s">
        <v>1366</v>
      </c>
      <c r="C166" s="61" t="s">
        <v>1284</v>
      </c>
      <c r="D166" s="96" t="s">
        <v>57</v>
      </c>
      <c r="E166" s="61" t="s">
        <v>424</v>
      </c>
      <c r="F166" s="96" t="s">
        <v>57</v>
      </c>
    </row>
    <row r="167" spans="1:6" hidden="1">
      <c r="A167" s="6" t="s">
        <v>294</v>
      </c>
      <c r="B167" s="61" t="s">
        <v>36</v>
      </c>
      <c r="C167" s="61"/>
      <c r="D167" s="96"/>
      <c r="E167" s="61"/>
      <c r="F167" s="96"/>
    </row>
    <row r="168" spans="1:6">
      <c r="A168" s="83" t="s">
        <v>298</v>
      </c>
      <c r="B168" s="61" t="s">
        <v>1367</v>
      </c>
      <c r="C168" s="61" t="s">
        <v>1286</v>
      </c>
      <c r="D168" s="96" t="s">
        <v>57</v>
      </c>
      <c r="E168" s="61" t="s">
        <v>1239</v>
      </c>
      <c r="F168" s="96" t="s">
        <v>57</v>
      </c>
    </row>
    <row r="169" spans="1:6" hidden="1">
      <c r="A169" s="91" t="s">
        <v>956</v>
      </c>
      <c r="B169" s="61" t="s">
        <v>36</v>
      </c>
      <c r="C169" s="61"/>
      <c r="D169" s="96"/>
      <c r="E169" s="61"/>
      <c r="F169" s="96"/>
    </row>
    <row r="170" spans="1:6">
      <c r="A170" s="92" t="s">
        <v>958</v>
      </c>
      <c r="B170" s="61" t="s">
        <v>1368</v>
      </c>
      <c r="C170" s="61" t="s">
        <v>1369</v>
      </c>
      <c r="D170" s="96" t="s">
        <v>57</v>
      </c>
      <c r="E170" s="61" t="s">
        <v>1216</v>
      </c>
      <c r="F170" s="96" t="s">
        <v>57</v>
      </c>
    </row>
    <row r="171" spans="1:6" hidden="1">
      <c r="A171" s="90" t="s">
        <v>961</v>
      </c>
      <c r="B171" s="61" t="s">
        <v>36</v>
      </c>
      <c r="C171" s="61"/>
      <c r="D171" s="96"/>
      <c r="E171" s="61"/>
      <c r="F171" s="96"/>
    </row>
    <row r="172" spans="1:6" hidden="1">
      <c r="A172" s="90" t="s">
        <v>965</v>
      </c>
      <c r="B172" s="61" t="s">
        <v>1370</v>
      </c>
      <c r="C172" s="61"/>
      <c r="D172" s="96"/>
      <c r="E172" s="61"/>
      <c r="F172" s="96"/>
    </row>
    <row r="173" spans="1:6" hidden="1">
      <c r="A173" s="90" t="s">
        <v>968</v>
      </c>
      <c r="B173" s="61" t="s">
        <v>1371</v>
      </c>
      <c r="C173" s="61"/>
      <c r="D173" s="96"/>
      <c r="E173" s="61"/>
      <c r="F173" s="96"/>
    </row>
    <row r="174" spans="1:6">
      <c r="A174" s="90" t="s">
        <v>972</v>
      </c>
      <c r="B174" s="61" t="s">
        <v>1372</v>
      </c>
      <c r="C174" s="61" t="s">
        <v>1373</v>
      </c>
      <c r="D174" s="96" t="s">
        <v>57</v>
      </c>
      <c r="E174" s="61" t="s">
        <v>424</v>
      </c>
      <c r="F174" s="96" t="s">
        <v>57</v>
      </c>
    </row>
    <row r="175" spans="1:6" hidden="1">
      <c r="A175" s="90" t="s">
        <v>977</v>
      </c>
      <c r="B175" s="61" t="s">
        <v>1374</v>
      </c>
      <c r="C175" s="61"/>
      <c r="D175" s="96"/>
      <c r="E175" s="61"/>
      <c r="F175" s="96"/>
    </row>
    <row r="176" spans="1:6">
      <c r="A176" s="90" t="s">
        <v>984</v>
      </c>
      <c r="B176" s="61" t="s">
        <v>1375</v>
      </c>
      <c r="C176" s="61" t="s">
        <v>1376</v>
      </c>
      <c r="D176" s="96" t="s">
        <v>57</v>
      </c>
      <c r="E176" s="61" t="s">
        <v>1377</v>
      </c>
      <c r="F176" s="96" t="s">
        <v>57</v>
      </c>
    </row>
    <row r="177" spans="1:6" hidden="1">
      <c r="A177" s="90" t="s">
        <v>986</v>
      </c>
      <c r="B177" s="61" t="s">
        <v>36</v>
      </c>
      <c r="C177" s="61"/>
      <c r="D177" s="96"/>
      <c r="E177" s="61"/>
      <c r="F177" s="96"/>
    </row>
    <row r="178" spans="1:6" hidden="1">
      <c r="A178" s="90" t="s">
        <v>988</v>
      </c>
      <c r="B178" s="61" t="s">
        <v>1378</v>
      </c>
      <c r="C178" s="61"/>
      <c r="D178" s="96"/>
      <c r="E178" s="61"/>
      <c r="F178" s="96"/>
    </row>
    <row r="179" spans="1:6">
      <c r="A179" s="90" t="s">
        <v>989</v>
      </c>
      <c r="B179" s="61" t="s">
        <v>1379</v>
      </c>
      <c r="C179" s="61" t="s">
        <v>1380</v>
      </c>
      <c r="D179" s="96" t="s">
        <v>57</v>
      </c>
      <c r="E179" s="61" t="s">
        <v>1381</v>
      </c>
      <c r="F179" s="96" t="s">
        <v>57</v>
      </c>
    </row>
    <row r="180" spans="1:6" hidden="1">
      <c r="A180" s="90" t="s">
        <v>991</v>
      </c>
      <c r="B180" s="61" t="s">
        <v>36</v>
      </c>
      <c r="C180" s="61"/>
      <c r="D180" s="96"/>
      <c r="E180" s="61"/>
      <c r="F180" s="96"/>
    </row>
    <row r="181" spans="1:6">
      <c r="A181" s="90" t="s">
        <v>993</v>
      </c>
      <c r="B181" s="61" t="s">
        <v>1382</v>
      </c>
      <c r="C181" s="61" t="s">
        <v>1216</v>
      </c>
      <c r="D181" s="96" t="s">
        <v>57</v>
      </c>
      <c r="E181" s="61" t="s">
        <v>1216</v>
      </c>
      <c r="F181" s="96" t="s">
        <v>57</v>
      </c>
    </row>
    <row r="182" spans="1:6">
      <c r="A182" s="90" t="s">
        <v>996</v>
      </c>
      <c r="B182" s="61" t="s">
        <v>1383</v>
      </c>
      <c r="C182" s="61" t="s">
        <v>1239</v>
      </c>
      <c r="D182" s="96" t="s">
        <v>57</v>
      </c>
      <c r="E182" s="61" t="s">
        <v>105</v>
      </c>
      <c r="F182" s="96" t="s">
        <v>57</v>
      </c>
    </row>
    <row r="183" spans="1:6" hidden="1">
      <c r="A183" s="90" t="s">
        <v>999</v>
      </c>
      <c r="B183" s="61" t="s">
        <v>36</v>
      </c>
      <c r="C183" s="61"/>
      <c r="D183" s="96"/>
      <c r="E183" s="61"/>
      <c r="F183" s="96"/>
    </row>
    <row r="184" spans="1:6">
      <c r="A184" s="90" t="s">
        <v>1001</v>
      </c>
      <c r="B184" s="61" t="s">
        <v>1384</v>
      </c>
      <c r="C184" s="61" t="s">
        <v>1216</v>
      </c>
      <c r="D184" s="96" t="s">
        <v>57</v>
      </c>
      <c r="E184" s="61" t="s">
        <v>424</v>
      </c>
      <c r="F184" s="96" t="s">
        <v>57</v>
      </c>
    </row>
    <row r="185" spans="1:6">
      <c r="A185" s="90" t="s">
        <v>1008</v>
      </c>
      <c r="B185" s="61" t="s">
        <v>1385</v>
      </c>
      <c r="C185" s="61" t="s">
        <v>424</v>
      </c>
      <c r="D185" s="96" t="s">
        <v>57</v>
      </c>
      <c r="E185" s="61" t="s">
        <v>105</v>
      </c>
      <c r="F185" s="96" t="s">
        <v>57</v>
      </c>
    </row>
    <row r="186" spans="1:6" hidden="1">
      <c r="A186" s="90" t="s">
        <v>1010</v>
      </c>
      <c r="B186" s="61" t="s">
        <v>36</v>
      </c>
      <c r="C186" s="61"/>
      <c r="D186" s="96"/>
      <c r="E186" s="61"/>
      <c r="F186" s="96"/>
    </row>
    <row r="187" spans="1:6">
      <c r="A187" s="90" t="s">
        <v>1012</v>
      </c>
      <c r="B187" s="61" t="s">
        <v>1386</v>
      </c>
      <c r="C187" s="61" t="s">
        <v>1216</v>
      </c>
      <c r="D187" s="96" t="s">
        <v>57</v>
      </c>
      <c r="E187" s="61" t="s">
        <v>105</v>
      </c>
      <c r="F187" s="96" t="s">
        <v>57</v>
      </c>
    </row>
    <row r="188" spans="1:6" hidden="1">
      <c r="A188" s="90" t="s">
        <v>1016</v>
      </c>
      <c r="B188" s="61" t="s">
        <v>36</v>
      </c>
      <c r="C188" s="61"/>
      <c r="D188" s="96"/>
      <c r="E188" s="61"/>
      <c r="F188" s="96"/>
    </row>
    <row r="189" spans="1:6">
      <c r="A189" s="90" t="s">
        <v>1020</v>
      </c>
      <c r="B189" s="61" t="s">
        <v>1387</v>
      </c>
      <c r="C189" s="61" t="s">
        <v>105</v>
      </c>
      <c r="D189" s="96" t="s">
        <v>57</v>
      </c>
      <c r="E189" s="61" t="s">
        <v>105</v>
      </c>
      <c r="F189" s="96" t="s">
        <v>57</v>
      </c>
    </row>
    <row r="190" spans="1:6" hidden="1">
      <c r="A190" s="90" t="s">
        <v>1022</v>
      </c>
      <c r="B190" s="61" t="s">
        <v>1388</v>
      </c>
      <c r="C190" s="61"/>
      <c r="D190" s="96"/>
      <c r="E190" s="61"/>
      <c r="F190" s="96"/>
    </row>
    <row r="191" spans="1:6">
      <c r="A191" s="90" t="s">
        <v>1024</v>
      </c>
      <c r="B191" s="61" t="s">
        <v>1389</v>
      </c>
      <c r="C191" s="61" t="s">
        <v>105</v>
      </c>
      <c r="D191" s="96" t="s">
        <v>57</v>
      </c>
      <c r="E191" s="61" t="s">
        <v>105</v>
      </c>
      <c r="F191" s="96" t="s">
        <v>57</v>
      </c>
    </row>
    <row r="192" spans="1:6" hidden="1">
      <c r="A192" s="90" t="s">
        <v>1025</v>
      </c>
      <c r="B192" s="61" t="s">
        <v>1390</v>
      </c>
      <c r="C192" s="61"/>
      <c r="D192" s="96"/>
      <c r="E192" s="61"/>
      <c r="F192" s="96"/>
    </row>
    <row r="193" spans="1:6" hidden="1">
      <c r="A193" s="90" t="s">
        <v>1032</v>
      </c>
      <c r="B193" s="61" t="s">
        <v>1391</v>
      </c>
      <c r="C193" s="61"/>
      <c r="D193" s="96"/>
      <c r="E193" s="61"/>
      <c r="F193" s="96"/>
    </row>
    <row r="194" spans="1:6">
      <c r="A194" s="90" t="s">
        <v>1034</v>
      </c>
      <c r="B194" s="61" t="s">
        <v>1392</v>
      </c>
      <c r="C194" s="61" t="s">
        <v>105</v>
      </c>
      <c r="D194" s="96" t="s">
        <v>57</v>
      </c>
      <c r="E194" s="61" t="s">
        <v>105</v>
      </c>
      <c r="F194" s="96" t="s">
        <v>57</v>
      </c>
    </row>
    <row r="195" spans="1:6" hidden="1">
      <c r="A195" s="90" t="s">
        <v>1039</v>
      </c>
      <c r="B195" s="61" t="s">
        <v>1393</v>
      </c>
      <c r="C195" s="61"/>
      <c r="D195" s="96"/>
      <c r="E195" s="61"/>
      <c r="F195" s="96"/>
    </row>
    <row r="196" spans="1:6">
      <c r="A196" s="90" t="s">
        <v>1049</v>
      </c>
      <c r="B196" s="61" t="s">
        <v>1394</v>
      </c>
      <c r="C196" s="61" t="s">
        <v>105</v>
      </c>
      <c r="D196" s="96" t="s">
        <v>57</v>
      </c>
      <c r="E196" s="61" t="s">
        <v>105</v>
      </c>
      <c r="F196" s="96" t="s">
        <v>57</v>
      </c>
    </row>
    <row r="197" spans="1:6">
      <c r="A197" s="90" t="s">
        <v>1051</v>
      </c>
      <c r="B197" s="61" t="s">
        <v>1395</v>
      </c>
      <c r="C197" s="61" t="s">
        <v>1216</v>
      </c>
      <c r="D197" s="96" t="s">
        <v>57</v>
      </c>
      <c r="E197" s="61" t="s">
        <v>1239</v>
      </c>
      <c r="F197" s="96" t="s">
        <v>57</v>
      </c>
    </row>
    <row r="198" spans="1:6" hidden="1">
      <c r="A198" s="90" t="s">
        <v>1053</v>
      </c>
      <c r="B198" s="61" t="s">
        <v>1396</v>
      </c>
      <c r="C198" s="61"/>
      <c r="D198" s="96"/>
      <c r="E198" s="61"/>
      <c r="F198" s="96"/>
    </row>
    <row r="199" spans="1:6" hidden="1">
      <c r="A199" s="90" t="s">
        <v>1054</v>
      </c>
      <c r="B199" s="61" t="s">
        <v>1397</v>
      </c>
      <c r="C199" s="61"/>
      <c r="D199" s="96"/>
      <c r="E199" s="61"/>
      <c r="F199" s="96"/>
    </row>
    <row r="200" spans="1:6" hidden="1">
      <c r="A200" s="90" t="s">
        <v>1057</v>
      </c>
      <c r="B200" s="61" t="s">
        <v>1398</v>
      </c>
      <c r="C200" s="61"/>
      <c r="D200" s="96"/>
      <c r="E200" s="61"/>
      <c r="F200" s="96"/>
    </row>
    <row r="201" spans="1:6">
      <c r="A201" s="90" t="s">
        <v>1058</v>
      </c>
      <c r="B201" s="61" t="s">
        <v>1399</v>
      </c>
      <c r="C201" s="61" t="s">
        <v>105</v>
      </c>
      <c r="D201" s="96" t="s">
        <v>57</v>
      </c>
      <c r="E201" s="61" t="s">
        <v>105</v>
      </c>
      <c r="F201" s="96" t="s">
        <v>57</v>
      </c>
    </row>
    <row r="202" spans="1:6">
      <c r="A202" s="90" t="s">
        <v>1059</v>
      </c>
      <c r="B202" s="61" t="s">
        <v>1400</v>
      </c>
      <c r="C202" s="61" t="s">
        <v>105</v>
      </c>
      <c r="D202" s="96" t="s">
        <v>57</v>
      </c>
      <c r="E202" s="61" t="s">
        <v>105</v>
      </c>
      <c r="F202" s="96" t="s">
        <v>57</v>
      </c>
    </row>
    <row r="203" spans="1:6" hidden="1">
      <c r="A203" s="90" t="s">
        <v>1062</v>
      </c>
      <c r="B203" s="61" t="s">
        <v>1401</v>
      </c>
      <c r="C203" s="61"/>
      <c r="D203" s="96"/>
      <c r="E203" s="61"/>
      <c r="F203" s="96"/>
    </row>
    <row r="204" spans="1:6" hidden="1">
      <c r="A204" s="90" t="s">
        <v>1066</v>
      </c>
      <c r="B204" s="61" t="s">
        <v>1402</v>
      </c>
      <c r="C204" s="61"/>
      <c r="D204" s="96"/>
      <c r="E204" s="61"/>
      <c r="F204" s="96"/>
    </row>
    <row r="205" spans="1:6">
      <c r="A205" s="90" t="s">
        <v>1069</v>
      </c>
      <c r="B205" s="61" t="s">
        <v>1403</v>
      </c>
      <c r="C205" s="61" t="s">
        <v>105</v>
      </c>
      <c r="D205" s="96" t="s">
        <v>57</v>
      </c>
      <c r="E205" s="61" t="s">
        <v>105</v>
      </c>
      <c r="F205" s="96" t="s">
        <v>57</v>
      </c>
    </row>
    <row r="206" spans="1:6" hidden="1">
      <c r="A206" s="90" t="s">
        <v>1071</v>
      </c>
      <c r="B206" s="61" t="s">
        <v>36</v>
      </c>
      <c r="C206" s="61"/>
      <c r="D206" s="96"/>
      <c r="E206" s="61"/>
      <c r="F206" s="96"/>
    </row>
    <row r="207" spans="1:6" hidden="1">
      <c r="A207" s="90" t="s">
        <v>1074</v>
      </c>
      <c r="B207" s="61" t="s">
        <v>1404</v>
      </c>
      <c r="C207" s="61"/>
      <c r="D207" s="96"/>
      <c r="E207" s="61"/>
      <c r="F207" s="96"/>
    </row>
    <row r="208" spans="1:6">
      <c r="A208" s="90" t="s">
        <v>1076</v>
      </c>
      <c r="B208" s="90" t="s">
        <v>1405</v>
      </c>
      <c r="C208" s="61" t="s">
        <v>1406</v>
      </c>
      <c r="D208" s="96" t="s">
        <v>57</v>
      </c>
      <c r="E208" s="61" t="s">
        <v>1407</v>
      </c>
      <c r="F208" s="96" t="s">
        <v>57</v>
      </c>
    </row>
    <row r="209" spans="1:6">
      <c r="A209" s="90" t="s">
        <v>1081</v>
      </c>
      <c r="B209" s="61" t="s">
        <v>1408</v>
      </c>
      <c r="C209" s="61" t="s">
        <v>1216</v>
      </c>
      <c r="D209" s="96" t="s">
        <v>57</v>
      </c>
      <c r="E209" s="61" t="s">
        <v>1369</v>
      </c>
      <c r="F209" s="96" t="s">
        <v>57</v>
      </c>
    </row>
    <row r="210" spans="1:6" hidden="1">
      <c r="A210" s="90" t="s">
        <v>1083</v>
      </c>
      <c r="B210" s="61" t="s">
        <v>36</v>
      </c>
      <c r="C210" s="61"/>
      <c r="D210" s="96"/>
      <c r="E210" s="61"/>
      <c r="F210" s="96"/>
    </row>
    <row r="211" spans="1:6" hidden="1">
      <c r="A211" s="90" t="s">
        <v>1086</v>
      </c>
      <c r="B211" s="61" t="s">
        <v>1409</v>
      </c>
      <c r="C211" s="61"/>
      <c r="D211" s="96"/>
      <c r="E211" s="61"/>
      <c r="F211" s="96"/>
    </row>
    <row r="212" spans="1:6" hidden="1">
      <c r="A212" s="90" t="s">
        <v>1087</v>
      </c>
      <c r="B212" s="61" t="s">
        <v>36</v>
      </c>
      <c r="C212" s="61"/>
      <c r="D212" s="96"/>
      <c r="E212" s="61"/>
      <c r="F212" s="96"/>
    </row>
    <row r="213" spans="1:6">
      <c r="A213" s="90" t="s">
        <v>1089</v>
      </c>
      <c r="B213" s="61" t="s">
        <v>1410</v>
      </c>
      <c r="C213" s="61" t="s">
        <v>1411</v>
      </c>
      <c r="D213" s="96" t="s">
        <v>57</v>
      </c>
      <c r="E213" s="61" t="s">
        <v>1216</v>
      </c>
      <c r="F213" s="96" t="s">
        <v>57</v>
      </c>
    </row>
    <row r="214" spans="1:6">
      <c r="A214" s="90" t="s">
        <v>1091</v>
      </c>
      <c r="B214" s="61" t="s">
        <v>1412</v>
      </c>
      <c r="C214" s="61" t="s">
        <v>105</v>
      </c>
      <c r="D214" s="96" t="s">
        <v>57</v>
      </c>
      <c r="E214" s="61" t="s">
        <v>105</v>
      </c>
      <c r="F214" s="96" t="s">
        <v>57</v>
      </c>
    </row>
    <row r="215" spans="1:6" hidden="1">
      <c r="A215" s="90" t="s">
        <v>1092</v>
      </c>
      <c r="B215" s="61" t="s">
        <v>1413</v>
      </c>
      <c r="C215" s="61"/>
      <c r="D215" s="96"/>
      <c r="E215" s="61"/>
      <c r="F215" s="96"/>
    </row>
    <row r="216" spans="1:6" hidden="1">
      <c r="A216" s="90" t="s">
        <v>1094</v>
      </c>
      <c r="B216" s="61" t="s">
        <v>36</v>
      </c>
      <c r="C216" s="61"/>
      <c r="D216" s="96"/>
      <c r="E216" s="61"/>
      <c r="F216" s="96"/>
    </row>
    <row r="217" spans="1:6" hidden="1">
      <c r="A217" s="90" t="s">
        <v>1096</v>
      </c>
      <c r="B217" s="61" t="s">
        <v>1414</v>
      </c>
      <c r="C217" s="61"/>
      <c r="D217" s="96"/>
      <c r="E217" s="61"/>
      <c r="F217" s="96"/>
    </row>
    <row r="218" spans="1:6">
      <c r="A218" s="90" t="s">
        <v>1098</v>
      </c>
      <c r="B218" s="61" t="s">
        <v>1415</v>
      </c>
      <c r="C218" s="61" t="s">
        <v>105</v>
      </c>
      <c r="D218" s="96" t="s">
        <v>57</v>
      </c>
      <c r="E218" s="61" t="s">
        <v>105</v>
      </c>
      <c r="F218" s="96" t="s">
        <v>57</v>
      </c>
    </row>
    <row r="219" spans="1:6" hidden="1">
      <c r="A219" s="90" t="s">
        <v>1100</v>
      </c>
      <c r="B219" s="61" t="s">
        <v>36</v>
      </c>
      <c r="C219" s="61"/>
      <c r="D219" s="96"/>
      <c r="E219" s="61"/>
      <c r="F219" s="96"/>
    </row>
    <row r="220" spans="1:6">
      <c r="A220" s="90" t="s">
        <v>1102</v>
      </c>
      <c r="B220" s="61" t="s">
        <v>1416</v>
      </c>
      <c r="C220" s="61" t="s">
        <v>1216</v>
      </c>
      <c r="D220" s="96" t="s">
        <v>57</v>
      </c>
      <c r="E220" s="61" t="s">
        <v>1407</v>
      </c>
      <c r="F220" s="96" t="s">
        <v>57</v>
      </c>
    </row>
    <row r="221" spans="1:6" hidden="1">
      <c r="A221" s="90" t="s">
        <v>1103</v>
      </c>
      <c r="B221" s="61" t="s">
        <v>1417</v>
      </c>
      <c r="C221" s="61"/>
      <c r="D221" s="96"/>
      <c r="E221" s="61"/>
      <c r="F221" s="96"/>
    </row>
    <row r="222" spans="1:6">
      <c r="A222" s="90" t="s">
        <v>1105</v>
      </c>
      <c r="B222" s="61" t="s">
        <v>1418</v>
      </c>
      <c r="C222" s="61" t="s">
        <v>1419</v>
      </c>
      <c r="D222" s="96" t="s">
        <v>57</v>
      </c>
      <c r="E222" s="61" t="s">
        <v>1420</v>
      </c>
      <c r="F222" s="96" t="s">
        <v>57</v>
      </c>
    </row>
    <row r="223" spans="1:6" hidden="1">
      <c r="A223" s="90" t="s">
        <v>1108</v>
      </c>
      <c r="B223" s="61" t="s">
        <v>1421</v>
      </c>
      <c r="C223" s="61"/>
      <c r="D223" s="96"/>
      <c r="E223" s="61"/>
      <c r="F223" s="96"/>
    </row>
    <row r="224" spans="1:6" hidden="1">
      <c r="A224" s="90" t="s">
        <v>1110</v>
      </c>
      <c r="B224" s="61" t="s">
        <v>36</v>
      </c>
      <c r="C224" s="61"/>
      <c r="D224" s="96"/>
      <c r="E224" s="61"/>
      <c r="F224" s="96"/>
    </row>
    <row r="225" spans="1:6" hidden="1">
      <c r="A225" s="90" t="s">
        <v>1115</v>
      </c>
      <c r="B225" s="61" t="s">
        <v>1422</v>
      </c>
      <c r="C225" s="61"/>
      <c r="D225" s="96"/>
      <c r="E225" s="61"/>
      <c r="F225" s="96"/>
    </row>
    <row r="226" spans="1:6" hidden="1">
      <c r="A226" s="90" t="s">
        <v>1118</v>
      </c>
      <c r="B226" s="61" t="s">
        <v>36</v>
      </c>
      <c r="C226" s="61"/>
      <c r="D226" s="96"/>
      <c r="E226" s="61"/>
      <c r="F226" s="96"/>
    </row>
    <row r="227" spans="1:6" hidden="1">
      <c r="A227" s="90" t="s">
        <v>1120</v>
      </c>
      <c r="B227" s="61" t="s">
        <v>36</v>
      </c>
      <c r="C227" s="61"/>
      <c r="D227" s="96"/>
      <c r="E227" s="61"/>
      <c r="F227" s="96"/>
    </row>
    <row r="228" spans="1:6" hidden="1">
      <c r="A228" s="90" t="s">
        <v>1125</v>
      </c>
      <c r="B228" s="61" t="s">
        <v>1423</v>
      </c>
      <c r="C228" s="61"/>
      <c r="D228" s="96"/>
      <c r="E228" s="61"/>
      <c r="F228" s="96"/>
    </row>
    <row r="229" spans="1:6" hidden="1">
      <c r="A229" s="90" t="s">
        <v>1129</v>
      </c>
      <c r="B229" s="61" t="s">
        <v>36</v>
      </c>
      <c r="C229" s="61"/>
      <c r="D229" s="96"/>
      <c r="E229" s="61"/>
      <c r="F229" s="96"/>
    </row>
    <row r="230" spans="1:6" hidden="1">
      <c r="A230" s="90" t="s">
        <v>1131</v>
      </c>
      <c r="B230" s="61" t="s">
        <v>36</v>
      </c>
      <c r="C230" s="61"/>
      <c r="D230" s="96"/>
      <c r="E230" s="61"/>
      <c r="F230" s="96"/>
    </row>
    <row r="231" spans="1:6">
      <c r="A231" s="90" t="s">
        <v>1133</v>
      </c>
      <c r="B231" s="61" t="s">
        <v>1424</v>
      </c>
      <c r="C231" s="61" t="s">
        <v>1369</v>
      </c>
      <c r="D231" s="96" t="s">
        <v>57</v>
      </c>
      <c r="E231" s="61" t="s">
        <v>1425</v>
      </c>
      <c r="F231" s="96" t="s">
        <v>57</v>
      </c>
    </row>
    <row r="232" spans="1:6" hidden="1">
      <c r="A232" s="90" t="s">
        <v>1136</v>
      </c>
      <c r="B232" s="61" t="s">
        <v>1426</v>
      </c>
      <c r="C232" s="61"/>
      <c r="D232" s="96"/>
      <c r="E232" s="61"/>
      <c r="F232" s="96"/>
    </row>
    <row r="233" spans="1:6" hidden="1">
      <c r="A233" s="90" t="s">
        <v>1140</v>
      </c>
      <c r="B233" s="61" t="s">
        <v>36</v>
      </c>
      <c r="C233" s="61"/>
      <c r="D233" s="96"/>
      <c r="E233" s="61"/>
      <c r="F233" s="96"/>
    </row>
    <row r="234" spans="1:6" hidden="1">
      <c r="A234" s="90" t="s">
        <v>1142</v>
      </c>
      <c r="B234" s="61" t="s">
        <v>1427</v>
      </c>
      <c r="C234" s="61"/>
      <c r="D234" s="96"/>
      <c r="E234" s="61"/>
      <c r="F234" s="96"/>
    </row>
    <row r="235" spans="1:6" hidden="1">
      <c r="A235" s="90" t="s">
        <v>1144</v>
      </c>
      <c r="B235" s="61" t="s">
        <v>36</v>
      </c>
      <c r="C235" s="61"/>
      <c r="D235" s="96"/>
      <c r="E235" s="61"/>
      <c r="F235" s="96"/>
    </row>
    <row r="236" spans="1:6">
      <c r="A236" s="90" t="s">
        <v>1147</v>
      </c>
      <c r="B236" s="61" t="s">
        <v>1428</v>
      </c>
      <c r="C236" s="61" t="s">
        <v>105</v>
      </c>
      <c r="D236" s="96" t="s">
        <v>57</v>
      </c>
      <c r="E236" s="61" t="s">
        <v>1239</v>
      </c>
      <c r="F236" s="96" t="s">
        <v>57</v>
      </c>
    </row>
    <row r="237" spans="1:6">
      <c r="A237" s="90" t="s">
        <v>1149</v>
      </c>
      <c r="B237" s="61" t="s">
        <v>1429</v>
      </c>
      <c r="C237" s="61" t="s">
        <v>1216</v>
      </c>
      <c r="D237" s="96" t="s">
        <v>57</v>
      </c>
      <c r="E237" s="61" t="s">
        <v>1369</v>
      </c>
      <c r="F237" s="96" t="s">
        <v>57</v>
      </c>
    </row>
    <row r="238" spans="1:6">
      <c r="A238" s="90" t="s">
        <v>1152</v>
      </c>
      <c r="B238" s="61" t="s">
        <v>1430</v>
      </c>
      <c r="C238" s="61" t="s">
        <v>105</v>
      </c>
      <c r="D238" s="96" t="s">
        <v>57</v>
      </c>
      <c r="E238" s="61" t="s">
        <v>105</v>
      </c>
      <c r="F238" s="96" t="s">
        <v>57</v>
      </c>
    </row>
    <row r="239" spans="1:6" hidden="1">
      <c r="A239" s="90" t="s">
        <v>1156</v>
      </c>
      <c r="B239" s="61" t="s">
        <v>36</v>
      </c>
      <c r="C239" s="61"/>
      <c r="D239" s="96"/>
      <c r="E239" s="61"/>
      <c r="F239" s="96"/>
    </row>
    <row r="240" spans="1:6">
      <c r="A240" s="90" t="s">
        <v>1159</v>
      </c>
      <c r="B240" s="61" t="s">
        <v>1431</v>
      </c>
      <c r="C240" s="61" t="s">
        <v>1216</v>
      </c>
      <c r="D240" s="96" t="s">
        <v>57</v>
      </c>
      <c r="E240" s="61" t="s">
        <v>105</v>
      </c>
      <c r="F240" s="96" t="s">
        <v>57</v>
      </c>
    </row>
    <row r="241" spans="1:6">
      <c r="A241" s="93" t="s">
        <v>1161</v>
      </c>
      <c r="B241" s="61" t="s">
        <v>1432</v>
      </c>
      <c r="C241" s="61" t="s">
        <v>1216</v>
      </c>
      <c r="D241" s="96" t="s">
        <v>57</v>
      </c>
      <c r="E241" s="61" t="s">
        <v>105</v>
      </c>
      <c r="F241" s="96" t="s">
        <v>57</v>
      </c>
    </row>
    <row r="242" spans="1:6" hidden="1">
      <c r="A242" s="90" t="s">
        <v>703</v>
      </c>
      <c r="B242" s="61" t="s">
        <v>36</v>
      </c>
      <c r="C242" s="61"/>
      <c r="D242" s="96"/>
      <c r="E242" s="61"/>
      <c r="F242" s="96"/>
    </row>
    <row r="243" spans="1:6" hidden="1">
      <c r="A243" s="90" t="s">
        <v>707</v>
      </c>
      <c r="B243" s="61" t="s">
        <v>36</v>
      </c>
      <c r="C243" s="61"/>
      <c r="D243" s="96"/>
      <c r="E243" s="61"/>
      <c r="F243" s="96"/>
    </row>
    <row r="244" spans="1:6" hidden="1">
      <c r="A244" s="90" t="s">
        <v>709</v>
      </c>
      <c r="B244" s="61" t="s">
        <v>1433</v>
      </c>
      <c r="C244" s="61"/>
      <c r="D244" s="96"/>
      <c r="E244" s="61"/>
      <c r="F244" s="96"/>
    </row>
    <row r="245" spans="1:6" hidden="1">
      <c r="A245" s="90" t="s">
        <v>713</v>
      </c>
      <c r="B245" s="61" t="s">
        <v>36</v>
      </c>
      <c r="C245" s="61"/>
      <c r="D245" s="96"/>
      <c r="E245" s="61"/>
      <c r="F245" s="96"/>
    </row>
    <row r="246" spans="1:6" hidden="1">
      <c r="A246" s="90" t="s">
        <v>723</v>
      </c>
      <c r="B246" s="61" t="s">
        <v>1434</v>
      </c>
      <c r="C246" s="61"/>
      <c r="D246" s="96"/>
      <c r="E246" s="61"/>
      <c r="F246" s="96"/>
    </row>
    <row r="247" spans="1:6" hidden="1">
      <c r="A247" s="90" t="s">
        <v>727</v>
      </c>
      <c r="B247" s="61" t="s">
        <v>1435</v>
      </c>
      <c r="C247" s="61"/>
      <c r="D247" s="96"/>
      <c r="E247" s="61"/>
      <c r="F247" s="96"/>
    </row>
    <row r="248" spans="1:6" hidden="1">
      <c r="A248" s="90" t="s">
        <v>734</v>
      </c>
      <c r="B248" s="61" t="s">
        <v>36</v>
      </c>
      <c r="C248" s="61"/>
      <c r="D248" s="96"/>
      <c r="E248" s="61"/>
      <c r="F248" s="96"/>
    </row>
    <row r="249" spans="1:6" hidden="1">
      <c r="A249" s="90" t="s">
        <v>737</v>
      </c>
      <c r="B249" s="61" t="s">
        <v>36</v>
      </c>
      <c r="C249" s="61"/>
      <c r="D249" s="96"/>
      <c r="E249" s="61"/>
      <c r="F249" s="96"/>
    </row>
    <row r="250" spans="1:6" hidden="1">
      <c r="A250" s="90" t="s">
        <v>739</v>
      </c>
      <c r="B250" s="61" t="s">
        <v>1436</v>
      </c>
      <c r="C250" s="61"/>
      <c r="D250" s="96"/>
      <c r="E250" s="61"/>
      <c r="F250" s="96"/>
    </row>
    <row r="251" spans="1:6">
      <c r="A251" s="90" t="s">
        <v>742</v>
      </c>
      <c r="B251" s="61" t="s">
        <v>1437</v>
      </c>
      <c r="C251" s="61" t="s">
        <v>105</v>
      </c>
      <c r="D251" s="96" t="s">
        <v>57</v>
      </c>
      <c r="E251" s="61" t="s">
        <v>105</v>
      </c>
      <c r="F251" s="96" t="s">
        <v>57</v>
      </c>
    </row>
    <row r="252" spans="1:6">
      <c r="A252" s="90" t="s">
        <v>744</v>
      </c>
      <c r="B252" s="61" t="s">
        <v>1438</v>
      </c>
      <c r="C252" s="61" t="s">
        <v>1239</v>
      </c>
      <c r="D252" s="96" t="s">
        <v>57</v>
      </c>
      <c r="E252" s="61" t="s">
        <v>105</v>
      </c>
      <c r="F252" s="96" t="s">
        <v>57</v>
      </c>
    </row>
    <row r="253" spans="1:6" hidden="1">
      <c r="A253" s="90" t="s">
        <v>756</v>
      </c>
      <c r="B253" s="61" t="s">
        <v>36</v>
      </c>
      <c r="C253" s="61"/>
      <c r="D253" s="96"/>
      <c r="E253" s="61"/>
      <c r="F253" s="96"/>
    </row>
    <row r="254" spans="1:6">
      <c r="A254" s="90" t="s">
        <v>762</v>
      </c>
      <c r="B254" s="61" t="s">
        <v>1439</v>
      </c>
      <c r="C254" s="61" t="s">
        <v>1239</v>
      </c>
      <c r="D254" s="96" t="s">
        <v>57</v>
      </c>
      <c r="E254" s="61" t="s">
        <v>105</v>
      </c>
      <c r="F254" s="96" t="s">
        <v>57</v>
      </c>
    </row>
    <row r="255" spans="1:6" hidden="1">
      <c r="A255" s="90" t="s">
        <v>766</v>
      </c>
      <c r="B255" s="61" t="s">
        <v>36</v>
      </c>
      <c r="C255" s="61"/>
      <c r="D255" s="96"/>
      <c r="E255" s="61"/>
      <c r="F255" s="96"/>
    </row>
    <row r="256" spans="1:6" hidden="1">
      <c r="A256" s="90" t="s">
        <v>770</v>
      </c>
      <c r="B256" s="61" t="s">
        <v>1440</v>
      </c>
      <c r="C256" s="61"/>
      <c r="D256" s="96"/>
      <c r="E256" s="61"/>
      <c r="F256" s="96"/>
    </row>
    <row r="257" spans="1:6" hidden="1">
      <c r="A257" s="90" t="s">
        <v>773</v>
      </c>
      <c r="B257" s="61" t="s">
        <v>36</v>
      </c>
      <c r="C257" s="61"/>
      <c r="D257" s="96"/>
      <c r="E257" s="61"/>
      <c r="F257" s="96"/>
    </row>
    <row r="258" spans="1:6" hidden="1">
      <c r="A258" s="90" t="s">
        <v>777</v>
      </c>
      <c r="B258" s="61" t="s">
        <v>36</v>
      </c>
      <c r="C258" s="61"/>
      <c r="D258" s="96"/>
      <c r="E258" s="61"/>
      <c r="F258" s="96"/>
    </row>
    <row r="259" spans="1:6">
      <c r="A259" s="90" t="s">
        <v>784</v>
      </c>
      <c r="B259" s="61" t="s">
        <v>1441</v>
      </c>
      <c r="C259" s="61" t="s">
        <v>1380</v>
      </c>
      <c r="D259" s="96" t="s">
        <v>57</v>
      </c>
      <c r="E259" s="61" t="s">
        <v>58</v>
      </c>
      <c r="F259" s="96" t="s">
        <v>57</v>
      </c>
    </row>
    <row r="260" spans="1:6" hidden="1">
      <c r="A260" s="90" t="s">
        <v>788</v>
      </c>
      <c r="B260" s="61" t="s">
        <v>1442</v>
      </c>
      <c r="C260" s="61"/>
      <c r="D260" s="96"/>
      <c r="E260" s="61"/>
      <c r="F260" s="96"/>
    </row>
    <row r="261" spans="1:6" hidden="1">
      <c r="A261" s="90" t="s">
        <v>791</v>
      </c>
      <c r="B261" s="61" t="s">
        <v>36</v>
      </c>
      <c r="C261" s="61"/>
      <c r="D261" s="96"/>
      <c r="E261" s="61"/>
      <c r="F261" s="96"/>
    </row>
    <row r="262" spans="1:6" hidden="1">
      <c r="A262" s="90" t="s">
        <v>801</v>
      </c>
      <c r="B262" s="61" t="s">
        <v>1443</v>
      </c>
      <c r="C262" s="61"/>
      <c r="D262" s="96"/>
      <c r="E262" s="61"/>
      <c r="F262" s="96"/>
    </row>
    <row r="263" spans="1:6">
      <c r="A263" s="90" t="s">
        <v>806</v>
      </c>
      <c r="B263" s="61" t="s">
        <v>1444</v>
      </c>
      <c r="C263" s="61" t="s">
        <v>1216</v>
      </c>
      <c r="D263" s="96" t="s">
        <v>57</v>
      </c>
      <c r="E263" s="61" t="s">
        <v>1216</v>
      </c>
      <c r="F263" s="96" t="s">
        <v>57</v>
      </c>
    </row>
    <row r="264" spans="1:6" hidden="1">
      <c r="A264" s="90" t="s">
        <v>808</v>
      </c>
      <c r="B264" s="61" t="s">
        <v>1445</v>
      </c>
      <c r="C264" s="61"/>
      <c r="D264" s="96"/>
      <c r="E264" s="61"/>
      <c r="F264" s="96"/>
    </row>
    <row r="265" spans="1:6" hidden="1">
      <c r="A265" s="90" t="s">
        <v>810</v>
      </c>
      <c r="B265" s="61" t="s">
        <v>36</v>
      </c>
      <c r="C265" s="61"/>
      <c r="D265" s="96"/>
      <c r="E265" s="61"/>
      <c r="F265" s="96"/>
    </row>
    <row r="266" spans="1:6" hidden="1">
      <c r="A266" s="90" t="s">
        <v>813</v>
      </c>
      <c r="B266" s="61" t="s">
        <v>36</v>
      </c>
      <c r="C266" s="61"/>
      <c r="D266" s="96"/>
      <c r="E266" s="61"/>
      <c r="F266" s="96"/>
    </row>
    <row r="267" spans="1:6" hidden="1">
      <c r="A267" s="90" t="s">
        <v>817</v>
      </c>
      <c r="B267" s="61" t="s">
        <v>1446</v>
      </c>
      <c r="C267" s="61"/>
      <c r="D267" s="96"/>
      <c r="E267" s="61"/>
      <c r="F267" s="96"/>
    </row>
    <row r="268" spans="1:6">
      <c r="A268" s="90" t="s">
        <v>820</v>
      </c>
      <c r="B268" s="61" t="s">
        <v>1447</v>
      </c>
      <c r="C268" s="61" t="s">
        <v>1216</v>
      </c>
      <c r="D268" s="96" t="s">
        <v>57</v>
      </c>
      <c r="E268" s="61" t="s">
        <v>1216</v>
      </c>
      <c r="F268" s="96" t="s">
        <v>57</v>
      </c>
    </row>
    <row r="269" spans="1:6" hidden="1">
      <c r="A269" s="90" t="s">
        <v>824</v>
      </c>
      <c r="B269" s="61" t="s">
        <v>1448</v>
      </c>
      <c r="C269" s="61"/>
      <c r="D269" s="96"/>
      <c r="E269" s="61"/>
      <c r="F269" s="96"/>
    </row>
    <row r="270" spans="1:6" hidden="1">
      <c r="A270" s="90" t="s">
        <v>826</v>
      </c>
      <c r="B270" s="61" t="s">
        <v>36</v>
      </c>
      <c r="C270" s="61"/>
      <c r="D270" s="96"/>
      <c r="E270" s="61"/>
      <c r="F270" s="96"/>
    </row>
    <row r="271" spans="1:6" hidden="1">
      <c r="A271" s="90" t="s">
        <v>829</v>
      </c>
      <c r="B271" s="61" t="s">
        <v>36</v>
      </c>
      <c r="C271" s="61"/>
      <c r="D271" s="96"/>
      <c r="E271" s="61"/>
      <c r="F271" s="96"/>
    </row>
    <row r="272" spans="1:6" hidden="1">
      <c r="A272" s="90" t="s">
        <v>834</v>
      </c>
      <c r="B272" s="61" t="s">
        <v>1449</v>
      </c>
      <c r="C272" s="61"/>
      <c r="D272" s="96"/>
      <c r="E272" s="61"/>
      <c r="F272" s="96"/>
    </row>
    <row r="273" spans="1:6" hidden="1">
      <c r="A273" s="90" t="s">
        <v>836</v>
      </c>
      <c r="B273" s="61" t="s">
        <v>36</v>
      </c>
      <c r="C273" s="61"/>
      <c r="D273" s="96"/>
      <c r="E273" s="61"/>
      <c r="F273" s="96"/>
    </row>
    <row r="274" spans="1:6" hidden="1">
      <c r="A274" s="90" t="s">
        <v>838</v>
      </c>
      <c r="B274" s="61" t="s">
        <v>36</v>
      </c>
      <c r="C274" s="61"/>
      <c r="D274" s="96"/>
      <c r="E274" s="61"/>
      <c r="F274" s="96"/>
    </row>
    <row r="275" spans="1:6">
      <c r="A275" s="90" t="s">
        <v>843</v>
      </c>
      <c r="B275" s="61" t="s">
        <v>1450</v>
      </c>
      <c r="C275" s="61" t="s">
        <v>1216</v>
      </c>
      <c r="D275" s="96" t="s">
        <v>57</v>
      </c>
      <c r="E275" s="61" t="s">
        <v>424</v>
      </c>
      <c r="F275" s="96" t="s">
        <v>57</v>
      </c>
    </row>
    <row r="276" spans="1:6">
      <c r="A276" s="90" t="s">
        <v>847</v>
      </c>
      <c r="B276" s="61" t="s">
        <v>1451</v>
      </c>
      <c r="C276" s="61" t="s">
        <v>1216</v>
      </c>
      <c r="D276" s="96" t="s">
        <v>57</v>
      </c>
      <c r="E276" s="61" t="s">
        <v>1216</v>
      </c>
      <c r="F276" s="96" t="s">
        <v>57</v>
      </c>
    </row>
    <row r="277" spans="1:6">
      <c r="A277" s="90" t="s">
        <v>849</v>
      </c>
      <c r="B277" s="61" t="s">
        <v>1452</v>
      </c>
      <c r="C277" s="61" t="s">
        <v>1216</v>
      </c>
      <c r="D277" s="96" t="s">
        <v>57</v>
      </c>
      <c r="E277" s="61" t="s">
        <v>1216</v>
      </c>
      <c r="F277" s="96" t="s">
        <v>57</v>
      </c>
    </row>
    <row r="278" spans="1:6">
      <c r="A278" s="90" t="s">
        <v>853</v>
      </c>
      <c r="B278" s="61" t="s">
        <v>1453</v>
      </c>
      <c r="C278" s="61" t="s">
        <v>1380</v>
      </c>
      <c r="D278" s="96" t="s">
        <v>57</v>
      </c>
      <c r="E278" s="61" t="s">
        <v>1381</v>
      </c>
      <c r="F278" s="96" t="s">
        <v>57</v>
      </c>
    </row>
    <row r="279" spans="1:6">
      <c r="A279" s="90" t="s">
        <v>855</v>
      </c>
      <c r="B279" s="61" t="s">
        <v>1454</v>
      </c>
      <c r="C279" s="61" t="s">
        <v>1216</v>
      </c>
      <c r="D279" s="96" t="s">
        <v>57</v>
      </c>
      <c r="E279" s="61" t="s">
        <v>424</v>
      </c>
      <c r="F279" s="96" t="s">
        <v>57</v>
      </c>
    </row>
    <row r="280" spans="1:6" hidden="1">
      <c r="A280" s="90" t="s">
        <v>859</v>
      </c>
      <c r="B280" s="61" t="s">
        <v>36</v>
      </c>
      <c r="C280" s="61"/>
      <c r="D280" s="96"/>
      <c r="E280" s="61"/>
      <c r="F280" s="96"/>
    </row>
    <row r="281" spans="1:6" hidden="1">
      <c r="A281" s="90" t="s">
        <v>861</v>
      </c>
      <c r="B281" s="61" t="s">
        <v>1455</v>
      </c>
      <c r="C281" s="61"/>
      <c r="D281" s="96"/>
      <c r="E281" s="61"/>
      <c r="F281" s="96"/>
    </row>
    <row r="282" spans="1:6">
      <c r="A282" s="90" t="s">
        <v>865</v>
      </c>
      <c r="B282" s="61" t="s">
        <v>1456</v>
      </c>
      <c r="C282" s="61" t="s">
        <v>105</v>
      </c>
      <c r="D282" s="96" t="s">
        <v>57</v>
      </c>
      <c r="E282" s="61" t="s">
        <v>105</v>
      </c>
      <c r="F282" s="96" t="s">
        <v>57</v>
      </c>
    </row>
    <row r="283" spans="1:6">
      <c r="A283" s="90" t="s">
        <v>867</v>
      </c>
      <c r="B283" s="61" t="s">
        <v>1457</v>
      </c>
      <c r="C283" s="61" t="s">
        <v>105</v>
      </c>
      <c r="D283" s="96" t="s">
        <v>57</v>
      </c>
      <c r="E283" s="61" t="s">
        <v>105</v>
      </c>
      <c r="F283" s="96" t="s">
        <v>57</v>
      </c>
    </row>
    <row r="284" spans="1:6">
      <c r="A284" s="90" t="s">
        <v>870</v>
      </c>
      <c r="B284" s="61" t="s">
        <v>1458</v>
      </c>
      <c r="C284" s="61" t="s">
        <v>1459</v>
      </c>
      <c r="D284" s="96" t="s">
        <v>57</v>
      </c>
      <c r="E284" s="61" t="s">
        <v>1376</v>
      </c>
      <c r="F284" s="96" t="s">
        <v>57</v>
      </c>
    </row>
    <row r="285" spans="1:6" hidden="1">
      <c r="A285" s="90" t="s">
        <v>872</v>
      </c>
      <c r="B285" s="61" t="s">
        <v>1460</v>
      </c>
      <c r="C285" s="61"/>
      <c r="D285" s="96"/>
      <c r="E285" s="61"/>
      <c r="F285" s="96"/>
    </row>
    <row r="286" spans="1:6">
      <c r="A286" s="90" t="s">
        <v>877</v>
      </c>
      <c r="B286" s="61" t="s">
        <v>1461</v>
      </c>
      <c r="C286" s="61" t="s">
        <v>1216</v>
      </c>
      <c r="D286" s="96" t="s">
        <v>57</v>
      </c>
      <c r="E286" s="61" t="s">
        <v>1216</v>
      </c>
      <c r="F286" s="96" t="s">
        <v>57</v>
      </c>
    </row>
    <row r="287" spans="1:6">
      <c r="A287" s="90" t="s">
        <v>880</v>
      </c>
      <c r="B287" s="61" t="s">
        <v>1462</v>
      </c>
      <c r="C287" s="61" t="s">
        <v>1216</v>
      </c>
      <c r="D287" s="96" t="s">
        <v>57</v>
      </c>
      <c r="E287" s="61" t="s">
        <v>1216</v>
      </c>
      <c r="F287" s="96" t="s">
        <v>57</v>
      </c>
    </row>
    <row r="288" spans="1:6" hidden="1">
      <c r="A288" s="90" t="s">
        <v>886</v>
      </c>
      <c r="B288" s="61" t="s">
        <v>36</v>
      </c>
      <c r="C288" s="61"/>
      <c r="D288" s="96"/>
      <c r="E288" s="61"/>
      <c r="F288" s="96"/>
    </row>
    <row r="289" spans="1:6" hidden="1">
      <c r="A289" s="90" t="s">
        <v>889</v>
      </c>
      <c r="B289" s="61" t="s">
        <v>36</v>
      </c>
      <c r="C289" s="61"/>
      <c r="D289" s="96"/>
      <c r="E289" s="61"/>
      <c r="F289" s="96"/>
    </row>
    <row r="290" spans="1:6" hidden="1">
      <c r="A290" s="90" t="s">
        <v>894</v>
      </c>
      <c r="B290" s="61" t="s">
        <v>36</v>
      </c>
      <c r="C290" s="61"/>
      <c r="D290" s="96"/>
      <c r="E290" s="61"/>
      <c r="F290" s="96"/>
    </row>
    <row r="291" spans="1:6" hidden="1">
      <c r="A291" s="90" t="s">
        <v>896</v>
      </c>
      <c r="B291" s="61" t="s">
        <v>1463</v>
      </c>
      <c r="C291" s="61"/>
      <c r="D291" s="96"/>
      <c r="E291" s="61"/>
      <c r="F291" s="96"/>
    </row>
    <row r="292" spans="1:6" hidden="1">
      <c r="A292" s="90" t="s">
        <v>899</v>
      </c>
      <c r="B292" s="61" t="s">
        <v>36</v>
      </c>
      <c r="C292" s="61"/>
      <c r="D292" s="96"/>
      <c r="E292" s="61"/>
      <c r="F292" s="96"/>
    </row>
    <row r="293" spans="1:6" hidden="1">
      <c r="A293" s="90" t="s">
        <v>902</v>
      </c>
      <c r="B293" s="61" t="s">
        <v>1464</v>
      </c>
      <c r="C293" s="61"/>
      <c r="D293" s="96"/>
      <c r="E293" s="61"/>
      <c r="F293" s="96"/>
    </row>
    <row r="294" spans="1:6" hidden="1">
      <c r="A294" s="90" t="s">
        <v>905</v>
      </c>
      <c r="B294" s="61" t="s">
        <v>36</v>
      </c>
      <c r="C294" s="61"/>
      <c r="D294" s="96"/>
      <c r="E294" s="61"/>
      <c r="F294" s="96"/>
    </row>
    <row r="295" spans="1:6" hidden="1">
      <c r="A295" s="90" t="s">
        <v>911</v>
      </c>
      <c r="B295" s="61" t="s">
        <v>1465</v>
      </c>
      <c r="C295" s="61"/>
      <c r="D295" s="96"/>
      <c r="E295" s="61"/>
      <c r="F295" s="96"/>
    </row>
    <row r="296" spans="1:6" hidden="1">
      <c r="A296" s="90" t="s">
        <v>914</v>
      </c>
      <c r="B296" s="61" t="s">
        <v>36</v>
      </c>
      <c r="C296" s="61"/>
      <c r="D296" s="96"/>
      <c r="E296" s="61"/>
      <c r="F296" s="96"/>
    </row>
    <row r="297" spans="1:6" hidden="1">
      <c r="A297" s="90" t="s">
        <v>924</v>
      </c>
      <c r="B297" s="61" t="s">
        <v>36</v>
      </c>
      <c r="C297" s="61"/>
      <c r="D297" s="96"/>
      <c r="E297" s="61"/>
      <c r="F297" s="96"/>
    </row>
    <row r="298" spans="1:6" hidden="1">
      <c r="A298" s="90" t="s">
        <v>931</v>
      </c>
      <c r="B298" s="61" t="s">
        <v>36</v>
      </c>
      <c r="C298" s="61"/>
      <c r="D298" s="96"/>
      <c r="E298" s="61"/>
      <c r="F298" s="96"/>
    </row>
    <row r="299" spans="1:6" hidden="1">
      <c r="A299" s="90" t="s">
        <v>934</v>
      </c>
      <c r="B299" s="61" t="s">
        <v>1466</v>
      </c>
      <c r="C299" s="61"/>
      <c r="D299" s="96"/>
      <c r="E299" s="61"/>
      <c r="F299" s="96"/>
    </row>
    <row r="300" spans="1:6" hidden="1">
      <c r="A300" s="90" t="s">
        <v>937</v>
      </c>
      <c r="B300" s="61" t="s">
        <v>36</v>
      </c>
      <c r="C300" s="61"/>
      <c r="D300" s="96"/>
      <c r="E300" s="61"/>
      <c r="F300" s="96"/>
    </row>
    <row r="301" spans="1:6" hidden="1">
      <c r="A301" s="90" t="s">
        <v>938</v>
      </c>
      <c r="B301" s="61" t="s">
        <v>1467</v>
      </c>
      <c r="C301" s="61"/>
      <c r="D301" s="96"/>
      <c r="E301" s="61"/>
      <c r="F301" s="96"/>
    </row>
    <row r="302" spans="1:6" hidden="1">
      <c r="A302" s="90" t="s">
        <v>940</v>
      </c>
      <c r="B302" s="61" t="s">
        <v>36</v>
      </c>
      <c r="C302" s="61"/>
      <c r="D302" s="96"/>
      <c r="E302" s="61"/>
      <c r="F302" s="96"/>
    </row>
    <row r="303" spans="1:6">
      <c r="A303" s="90" t="s">
        <v>943</v>
      </c>
      <c r="B303" s="61" t="s">
        <v>1468</v>
      </c>
      <c r="C303" s="61" t="s">
        <v>1216</v>
      </c>
      <c r="D303" s="96" t="s">
        <v>57</v>
      </c>
      <c r="E303" s="61" t="s">
        <v>424</v>
      </c>
      <c r="F303" s="96" t="s">
        <v>57</v>
      </c>
    </row>
    <row r="304" spans="1:6">
      <c r="A304" s="90" t="s">
        <v>945</v>
      </c>
      <c r="B304" s="61" t="s">
        <v>1469</v>
      </c>
      <c r="C304" s="61" t="s">
        <v>105</v>
      </c>
      <c r="D304" s="96" t="s">
        <v>57</v>
      </c>
      <c r="E304" s="61" t="s">
        <v>105</v>
      </c>
      <c r="F304" s="96" t="s">
        <v>57</v>
      </c>
    </row>
    <row r="305" spans="3:5" hidden="1">
      <c r="C305" s="61"/>
      <c r="D305" s="96"/>
      <c r="E305" s="61"/>
    </row>
  </sheetData>
  <autoFilter ref="A1:I305" xr:uid="{E520C323-7639-4C7C-9EEC-F7C5224C21C4}">
    <filterColumn colId="3">
      <filters>
        <filter val="Y"/>
      </filters>
    </filterColumn>
  </autoFilter>
  <conditionalFormatting sqref="A107:A115">
    <cfRule type="duplicateValues" dxfId="17" priority="16"/>
  </conditionalFormatting>
  <conditionalFormatting sqref="A116:A118">
    <cfRule type="duplicateValues" dxfId="16" priority="15"/>
  </conditionalFormatting>
  <conditionalFormatting sqref="A119:A122">
    <cfRule type="duplicateValues" dxfId="15" priority="14"/>
  </conditionalFormatting>
  <conditionalFormatting sqref="A123:A129">
    <cfRule type="duplicateValues" dxfId="14" priority="13"/>
  </conditionalFormatting>
  <conditionalFormatting sqref="A130:A132">
    <cfRule type="duplicateValues" dxfId="13" priority="12"/>
  </conditionalFormatting>
  <conditionalFormatting sqref="A133:A136">
    <cfRule type="duplicateValues" dxfId="12" priority="11"/>
  </conditionalFormatting>
  <conditionalFormatting sqref="A137">
    <cfRule type="duplicateValues" dxfId="11" priority="10"/>
  </conditionalFormatting>
  <conditionalFormatting sqref="A138:A145">
    <cfRule type="duplicateValues" dxfId="10" priority="9"/>
  </conditionalFormatting>
  <conditionalFormatting sqref="A146:A154">
    <cfRule type="duplicateValues" dxfId="9" priority="8"/>
  </conditionalFormatting>
  <conditionalFormatting sqref="A155:A167">
    <cfRule type="duplicateValues" dxfId="8" priority="7"/>
  </conditionalFormatting>
  <conditionalFormatting sqref="A168">
    <cfRule type="duplicateValues" dxfId="7" priority="6"/>
  </conditionalFormatting>
  <conditionalFormatting sqref="A169:A241">
    <cfRule type="duplicateValues" dxfId="6" priority="5"/>
  </conditionalFormatting>
  <conditionalFormatting sqref="A242:A304">
    <cfRule type="duplicateValues" dxfId="5" priority="18"/>
  </conditionalFormatting>
  <conditionalFormatting sqref="B208">
    <cfRule type="duplicateValues" dxfId="4" priority="3"/>
  </conditionalFormatting>
  <conditionalFormatting sqref="I70">
    <cfRule type="duplicateValues" dxfId="3" priority="2"/>
  </conditionalFormatting>
  <conditionalFormatting sqref="H70">
    <cfRule type="duplicateValues" dxfId="2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DE9B1-4999-4B43-86A1-47073F40463A}">
  <sheetPr codeName="Sheet2"/>
  <dimension ref="A1:AS108"/>
  <sheetViews>
    <sheetView zoomScale="90" zoomScaleNormal="90" workbookViewId="0">
      <pane xSplit="3" ySplit="1" topLeftCell="F11" activePane="bottomRight" state="frozen"/>
      <selection pane="bottomRight" activeCell="F11" sqref="F11"/>
      <selection pane="bottomLeft"/>
      <selection pane="topRight"/>
    </sheetView>
  </sheetViews>
  <sheetFormatPr defaultColWidth="11" defaultRowHeight="15" customHeight="1"/>
  <cols>
    <col min="1" max="3" width="11" style="6"/>
    <col min="4" max="4" width="16.25" style="6" customWidth="1"/>
    <col min="5" max="5" width="17.25" style="6" bestFit="1" customWidth="1"/>
    <col min="6" max="6" width="13.375" style="6" customWidth="1"/>
    <col min="7" max="7" width="11" style="6"/>
    <col min="8" max="8" width="14.25" style="6" customWidth="1"/>
    <col min="9" max="9" width="16" style="6" bestFit="1" customWidth="1"/>
    <col min="10" max="10" width="14.5" style="6" customWidth="1"/>
    <col min="11" max="13" width="17.875" style="6" customWidth="1"/>
    <col min="14" max="14" width="37.125" style="6" bestFit="1" customWidth="1"/>
    <col min="15" max="15" width="10.125" style="6" customWidth="1"/>
    <col min="16" max="16" width="23.25" style="6" customWidth="1"/>
    <col min="17" max="17" width="11.75" style="6" customWidth="1"/>
    <col min="18" max="18" width="10.25" style="6" customWidth="1"/>
    <col min="19" max="19" width="10.375" style="6" customWidth="1"/>
    <col min="20" max="20" width="12.375" style="6" customWidth="1"/>
    <col min="21" max="21" width="9.5" style="6" customWidth="1"/>
    <col min="22" max="22" width="11.25" style="6" customWidth="1"/>
    <col min="23" max="23" width="12.375" style="6" customWidth="1"/>
    <col min="24" max="24" width="11.875" style="6" customWidth="1"/>
    <col min="25" max="25" width="11.25" style="6" customWidth="1"/>
    <col min="26" max="26" width="10.75" style="6" customWidth="1"/>
    <col min="27" max="27" width="14.25" style="6" customWidth="1"/>
    <col min="28" max="28" width="12.375" style="6" customWidth="1"/>
    <col min="29" max="29" width="15.875" style="6" customWidth="1"/>
    <col min="30" max="30" width="16.125" style="6" customWidth="1"/>
    <col min="31" max="31" width="20.375" style="6" customWidth="1"/>
    <col min="32" max="32" width="10.125" style="6" customWidth="1"/>
    <col min="33" max="33" width="20.375" style="6" bestFit="1" customWidth="1"/>
    <col min="34" max="34" width="17.875" style="6" customWidth="1"/>
    <col min="35" max="35" width="22.75" style="6" bestFit="1" customWidth="1"/>
    <col min="36" max="36" width="54.75" style="6" bestFit="1" customWidth="1"/>
    <col min="37" max="40" width="9.625" style="6" customWidth="1"/>
    <col min="41" max="41" width="11" style="6"/>
    <col min="42" max="42" width="13" style="6" bestFit="1" customWidth="1"/>
    <col min="43" max="43" width="11" style="6"/>
    <col min="44" max="44" width="9.25" style="6" bestFit="1" customWidth="1"/>
    <col min="45" max="45" width="17.75" style="6" bestFit="1" customWidth="1"/>
    <col min="46" max="16384" width="11" style="6"/>
  </cols>
  <sheetData>
    <row r="1" spans="1:45" s="60" customFormat="1" ht="31.5" customHeight="1">
      <c r="A1" s="50" t="s">
        <v>7</v>
      </c>
      <c r="B1" s="50" t="s">
        <v>8</v>
      </c>
      <c r="C1" s="50" t="s">
        <v>1470</v>
      </c>
      <c r="D1" s="51" t="s">
        <v>1470</v>
      </c>
      <c r="E1" s="51" t="s">
        <v>12</v>
      </c>
      <c r="F1" s="51" t="s">
        <v>13</v>
      </c>
      <c r="G1" s="57" t="s">
        <v>14</v>
      </c>
      <c r="H1" s="52" t="s">
        <v>1471</v>
      </c>
      <c r="I1" s="52" t="s">
        <v>1472</v>
      </c>
      <c r="J1" s="52" t="s">
        <v>1473</v>
      </c>
      <c r="K1" s="53" t="s">
        <v>18</v>
      </c>
      <c r="L1" s="53" t="s">
        <v>19</v>
      </c>
      <c r="M1" s="53" t="s">
        <v>20</v>
      </c>
      <c r="N1" s="58" t="s">
        <v>21</v>
      </c>
      <c r="O1" s="59" t="s">
        <v>22</v>
      </c>
      <c r="P1" s="59" t="s">
        <v>23</v>
      </c>
      <c r="Q1" s="59" t="s">
        <v>24</v>
      </c>
      <c r="R1" s="59" t="s">
        <v>25</v>
      </c>
      <c r="S1" s="59" t="s">
        <v>26</v>
      </c>
      <c r="T1" s="59" t="s">
        <v>27</v>
      </c>
      <c r="U1" s="59" t="s">
        <v>28</v>
      </c>
      <c r="V1" s="59" t="s">
        <v>29</v>
      </c>
      <c r="W1" s="59" t="s">
        <v>30</v>
      </c>
      <c r="X1" s="59" t="s">
        <v>31</v>
      </c>
      <c r="Y1" s="59" t="s">
        <v>32</v>
      </c>
      <c r="Z1" s="59" t="s">
        <v>33</v>
      </c>
      <c r="AA1" s="59" t="s">
        <v>34</v>
      </c>
      <c r="AB1" s="59" t="s">
        <v>35</v>
      </c>
      <c r="AC1" s="59" t="s">
        <v>36</v>
      </c>
      <c r="AD1" s="59" t="s">
        <v>37</v>
      </c>
      <c r="AE1" s="59" t="s">
        <v>1470</v>
      </c>
      <c r="AF1" s="54" t="s">
        <v>39</v>
      </c>
      <c r="AG1" s="54" t="s">
        <v>40</v>
      </c>
      <c r="AH1" s="54" t="s">
        <v>41</v>
      </c>
      <c r="AI1" s="54" t="s">
        <v>1470</v>
      </c>
      <c r="AJ1" s="55" t="s">
        <v>1474</v>
      </c>
      <c r="AK1" s="55" t="s">
        <v>1474</v>
      </c>
      <c r="AL1" s="55" t="s">
        <v>1475</v>
      </c>
      <c r="AM1" s="55" t="s">
        <v>1475</v>
      </c>
      <c r="AN1" s="55" t="s">
        <v>34</v>
      </c>
      <c r="AO1" s="55" t="s">
        <v>48</v>
      </c>
      <c r="AP1" s="55" t="s">
        <v>49</v>
      </c>
      <c r="AQ1" s="55" t="s">
        <v>1470</v>
      </c>
      <c r="AR1" s="56" t="s">
        <v>51</v>
      </c>
      <c r="AS1" s="56" t="s">
        <v>52</v>
      </c>
    </row>
    <row r="2" spans="1:45" ht="15" customHeight="1">
      <c r="A2" s="7"/>
      <c r="B2" s="7"/>
      <c r="C2" s="7"/>
      <c r="D2" s="7"/>
      <c r="E2" s="8"/>
      <c r="F2" s="7"/>
      <c r="N2" s="61"/>
      <c r="O2" s="67"/>
    </row>
    <row r="3" spans="1:45" ht="15" customHeight="1">
      <c r="A3" s="7"/>
      <c r="B3" s="7"/>
      <c r="C3" s="7"/>
      <c r="D3" s="7"/>
      <c r="E3" s="8"/>
      <c r="F3" s="7"/>
      <c r="N3" s="61"/>
      <c r="O3" s="67"/>
    </row>
    <row r="4" spans="1:45" ht="15" customHeight="1">
      <c r="A4" s="7"/>
      <c r="B4" s="7"/>
      <c r="C4" s="7"/>
      <c r="D4" s="7"/>
      <c r="E4" s="8"/>
      <c r="F4" s="7"/>
      <c r="N4" s="61"/>
      <c r="O4" s="67"/>
    </row>
    <row r="5" spans="1:45" ht="15" customHeight="1">
      <c r="A5" s="7"/>
      <c r="B5" s="7"/>
      <c r="C5" s="7"/>
      <c r="D5" s="7"/>
      <c r="E5" s="8"/>
      <c r="F5" s="7"/>
      <c r="N5" s="61"/>
      <c r="O5" s="67"/>
    </row>
    <row r="6" spans="1:45" ht="15" customHeight="1">
      <c r="A6" s="7"/>
      <c r="B6" s="7"/>
      <c r="C6" s="7"/>
      <c r="D6" s="7"/>
      <c r="E6" s="8"/>
      <c r="F6" s="7"/>
      <c r="O6" s="67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</row>
    <row r="7" spans="1:45" ht="15" customHeight="1">
      <c r="A7" s="7"/>
      <c r="B7" s="7"/>
      <c r="C7" s="7"/>
      <c r="D7" s="7"/>
      <c r="E7" s="8"/>
      <c r="F7" s="7"/>
      <c r="O7" s="67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</row>
    <row r="8" spans="1:45" ht="15" customHeight="1">
      <c r="A8" s="7"/>
      <c r="B8" s="7"/>
      <c r="C8" s="7"/>
      <c r="D8" s="7"/>
      <c r="E8" s="8"/>
      <c r="F8" s="7"/>
      <c r="O8" s="67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M8"/>
    </row>
    <row r="9" spans="1:45" ht="15" customHeight="1">
      <c r="A9" s="7"/>
      <c r="B9" s="7"/>
      <c r="C9" s="7"/>
      <c r="D9" s="7"/>
      <c r="E9" s="8"/>
      <c r="F9" s="7"/>
      <c r="O9" s="67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M9"/>
    </row>
    <row r="10" spans="1:45" ht="15" customHeight="1">
      <c r="A10" s="7"/>
      <c r="B10" s="7"/>
      <c r="C10" s="7"/>
      <c r="D10" s="7"/>
      <c r="E10" s="8"/>
      <c r="F10" s="7"/>
      <c r="O10" s="67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M10"/>
    </row>
    <row r="11" spans="1:45" ht="15" customHeight="1">
      <c r="A11" s="7"/>
      <c r="B11" s="7"/>
      <c r="C11" s="7"/>
      <c r="D11" s="7"/>
      <c r="E11" s="8"/>
      <c r="F11" s="7"/>
      <c r="O11" s="67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</row>
    <row r="12" spans="1:45" ht="15" customHeight="1">
      <c r="A12" s="7"/>
      <c r="B12" s="7"/>
      <c r="C12" s="7"/>
      <c r="D12" s="7"/>
      <c r="E12" s="8"/>
      <c r="F12" s="7"/>
      <c r="O12" s="67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</row>
    <row r="13" spans="1:45" ht="15" customHeight="1">
      <c r="A13" s="7"/>
      <c r="B13" s="7"/>
      <c r="C13" s="7"/>
      <c r="D13" s="7"/>
      <c r="E13" s="8"/>
      <c r="F13" s="7"/>
      <c r="O13" s="67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</row>
    <row r="14" spans="1:45" ht="15" customHeight="1">
      <c r="A14" s="7"/>
      <c r="B14" s="7"/>
      <c r="C14" s="7"/>
      <c r="D14" s="7"/>
      <c r="E14" s="8"/>
      <c r="F14" s="7"/>
      <c r="O14" s="67"/>
      <c r="P14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</row>
    <row r="15" spans="1:45" ht="15" customHeight="1">
      <c r="A15" s="7"/>
      <c r="B15" s="7"/>
      <c r="C15" s="7"/>
      <c r="D15" s="7"/>
      <c r="E15" s="8"/>
      <c r="F15" s="7"/>
      <c r="O15" s="67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</row>
    <row r="16" spans="1:45" ht="15" customHeight="1">
      <c r="A16" s="7"/>
      <c r="B16" s="7"/>
      <c r="C16" s="7"/>
      <c r="D16" s="7"/>
      <c r="E16" s="8"/>
      <c r="F16" s="7"/>
      <c r="O16" s="67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</row>
    <row r="17" spans="1:29" ht="15" customHeight="1">
      <c r="A17" s="7"/>
      <c r="B17" s="7"/>
      <c r="C17" s="7"/>
      <c r="D17" s="7"/>
      <c r="E17" s="8"/>
      <c r="F17" s="7"/>
      <c r="N17" s="68"/>
      <c r="O17" s="67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</row>
    <row r="18" spans="1:29" ht="15" customHeight="1">
      <c r="A18" s="7"/>
      <c r="B18" s="7"/>
      <c r="E18" s="8"/>
      <c r="N18" s="62"/>
      <c r="O18" s="67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</row>
    <row r="19" spans="1:29" ht="15" customHeight="1">
      <c r="A19" s="7"/>
      <c r="B19" s="7"/>
      <c r="E19" s="8"/>
      <c r="O19" s="67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</row>
    <row r="20" spans="1:29" ht="15" customHeight="1">
      <c r="A20" s="7"/>
      <c r="B20" s="7"/>
      <c r="E20" s="8"/>
      <c r="N20" s="68"/>
      <c r="O20" s="67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</row>
    <row r="21" spans="1:29" ht="15" customHeight="1">
      <c r="A21" s="7"/>
      <c r="B21" s="7"/>
      <c r="E21" s="8"/>
      <c r="N21" s="68"/>
      <c r="O21" s="67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</row>
    <row r="22" spans="1:29" ht="15" customHeight="1">
      <c r="A22" s="7"/>
      <c r="B22" s="7"/>
      <c r="E22" s="8"/>
      <c r="O22" s="67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</row>
    <row r="23" spans="1:29" ht="15" customHeight="1">
      <c r="A23" s="7"/>
      <c r="B23" s="7"/>
      <c r="E23" s="8"/>
      <c r="O23" s="67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</row>
    <row r="24" spans="1:29" ht="15" customHeight="1">
      <c r="A24" s="7"/>
      <c r="B24" s="7"/>
      <c r="E24" s="8"/>
      <c r="O24" s="67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</row>
    <row r="25" spans="1:29" ht="15" customHeight="1">
      <c r="A25" s="7"/>
      <c r="B25" s="7"/>
      <c r="E25" s="8"/>
      <c r="O25" s="67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</row>
    <row r="26" spans="1:29" ht="15" customHeight="1">
      <c r="A26" s="7"/>
      <c r="B26" s="7"/>
      <c r="E26" s="8"/>
      <c r="N26" s="61"/>
      <c r="O26" s="67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</row>
    <row r="27" spans="1:29" ht="15" customHeight="1">
      <c r="A27" s="7"/>
      <c r="B27" s="7"/>
      <c r="E27" s="8"/>
      <c r="O27" s="67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</row>
    <row r="28" spans="1:29" ht="15" customHeight="1">
      <c r="A28" s="7"/>
      <c r="B28" s="7"/>
      <c r="E28" s="8"/>
      <c r="O28" s="67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</row>
    <row r="29" spans="1:29" ht="15" customHeight="1">
      <c r="A29" s="7"/>
      <c r="B29" s="7"/>
      <c r="E29" s="8"/>
      <c r="O29" s="67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</row>
    <row r="30" spans="1:29" ht="15" customHeight="1">
      <c r="A30" s="7"/>
      <c r="B30" s="7"/>
      <c r="E30" s="8"/>
      <c r="O30" s="67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</row>
    <row r="31" spans="1:29" ht="15" customHeight="1">
      <c r="A31" s="7"/>
      <c r="B31" s="7"/>
      <c r="E31" s="8"/>
      <c r="O31" s="67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</row>
    <row r="32" spans="1:29" ht="15" customHeight="1">
      <c r="A32" s="7"/>
      <c r="B32" s="7"/>
      <c r="E32" s="8"/>
      <c r="O32" s="67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</row>
    <row r="33" spans="1:45" ht="15" customHeight="1">
      <c r="A33" s="7"/>
      <c r="B33" s="7"/>
      <c r="E33" s="8"/>
      <c r="O33" s="67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</row>
    <row r="34" spans="1:45" ht="15" customHeight="1">
      <c r="A34" s="7"/>
      <c r="B34" s="7"/>
      <c r="E34" s="8"/>
      <c r="O34" s="67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</row>
    <row r="35" spans="1:45" ht="15" customHeight="1">
      <c r="A35" s="7"/>
      <c r="B35" s="7"/>
      <c r="E35" s="8"/>
      <c r="O35" s="67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</row>
    <row r="36" spans="1:45" ht="15" customHeight="1">
      <c r="A36" s="7"/>
      <c r="B36" s="7"/>
      <c r="E36" s="8"/>
      <c r="O36" s="67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</row>
    <row r="37" spans="1:45" ht="15" customHeight="1">
      <c r="A37" s="7"/>
      <c r="B37" s="7"/>
      <c r="E37" s="8"/>
      <c r="H37" s="63"/>
      <c r="I37" s="63"/>
      <c r="L37" s="63"/>
      <c r="M37" s="63"/>
      <c r="O37" s="64"/>
      <c r="P37" s="63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2"/>
      <c r="AC37" s="65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</row>
    <row r="38" spans="1:45" ht="15" customHeight="1">
      <c r="A38" s="7"/>
      <c r="B38" s="7"/>
      <c r="E38" s="8"/>
      <c r="H38" s="63"/>
      <c r="I38" s="63"/>
      <c r="L38" s="63"/>
      <c r="M38" s="63"/>
      <c r="N38" s="62"/>
      <c r="O38" s="64"/>
      <c r="P38" s="63"/>
      <c r="Q38" s="65"/>
      <c r="R38" s="65"/>
      <c r="S38" s="65"/>
      <c r="T38" s="65"/>
      <c r="U38" s="65"/>
      <c r="V38" s="62"/>
      <c r="W38" s="65"/>
      <c r="X38" s="65"/>
      <c r="Y38" s="65"/>
      <c r="Z38" s="65"/>
      <c r="AA38" s="65"/>
      <c r="AB38" s="62"/>
      <c r="AC38" s="62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</row>
    <row r="39" spans="1:45" ht="15" customHeight="1">
      <c r="A39" s="7"/>
      <c r="B39" s="7"/>
      <c r="E39" s="8"/>
      <c r="H39" s="63"/>
      <c r="I39" s="63"/>
      <c r="L39" s="63"/>
      <c r="M39" s="63"/>
      <c r="O39" s="64"/>
      <c r="P39" s="63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2"/>
      <c r="AC39" s="65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</row>
    <row r="40" spans="1:45" ht="15" customHeight="1">
      <c r="A40" s="7"/>
      <c r="B40" s="7"/>
      <c r="E40" s="8"/>
      <c r="H40" s="63"/>
      <c r="J40" s="63"/>
      <c r="L40" s="63"/>
      <c r="M40" s="63"/>
      <c r="O40" s="64"/>
      <c r="P40" s="63"/>
      <c r="Q40" s="65"/>
      <c r="R40" s="65"/>
      <c r="S40" s="65"/>
      <c r="T40" s="65"/>
      <c r="U40" s="65"/>
      <c r="V40" s="62"/>
      <c r="W40" s="62"/>
      <c r="X40" s="62"/>
      <c r="Y40" s="62"/>
      <c r="Z40" s="62"/>
      <c r="AA40" s="65"/>
      <c r="AB40" s="62"/>
      <c r="AC40" s="62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</row>
    <row r="41" spans="1:45" ht="15" customHeight="1">
      <c r="A41" s="7"/>
      <c r="B41" s="7"/>
      <c r="E41" s="8"/>
      <c r="H41" s="63"/>
      <c r="I41" s="63"/>
      <c r="L41" s="63"/>
      <c r="M41" s="63"/>
      <c r="O41" s="64"/>
      <c r="P41" s="63"/>
      <c r="Q41" s="65"/>
      <c r="R41" s="65"/>
      <c r="S41" s="65"/>
      <c r="T41" s="65"/>
      <c r="U41" s="65"/>
      <c r="V41" s="62"/>
      <c r="W41" s="62"/>
      <c r="X41" s="62"/>
      <c r="Y41" s="62"/>
      <c r="Z41" s="62"/>
      <c r="AA41" s="62"/>
      <c r="AB41" s="62"/>
      <c r="AC41" s="62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</row>
    <row r="42" spans="1:45" ht="15" customHeight="1">
      <c r="A42" s="7"/>
      <c r="B42" s="7"/>
      <c r="E42" s="8"/>
      <c r="H42" s="63"/>
      <c r="I42" s="63"/>
      <c r="L42" s="63"/>
      <c r="M42" s="63"/>
      <c r="O42" s="64"/>
      <c r="P42" s="63"/>
      <c r="Q42" s="65"/>
      <c r="R42" s="65"/>
      <c r="S42" s="65"/>
      <c r="T42" s="65"/>
      <c r="U42" s="65"/>
      <c r="V42" s="62"/>
      <c r="W42" s="62"/>
      <c r="X42" s="62"/>
      <c r="Y42" s="62"/>
      <c r="Z42" s="62"/>
      <c r="AA42" s="62"/>
      <c r="AB42" s="62"/>
      <c r="AC42" s="62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</row>
    <row r="43" spans="1:45" ht="15" customHeight="1">
      <c r="A43" s="7"/>
      <c r="B43" s="7"/>
      <c r="E43" s="8"/>
      <c r="H43" s="63"/>
      <c r="I43" s="63"/>
      <c r="L43" s="63"/>
      <c r="M43" s="63"/>
      <c r="O43" s="64"/>
      <c r="P43" s="63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2"/>
      <c r="AC43" s="65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</row>
    <row r="44" spans="1:45" ht="15" customHeight="1">
      <c r="A44" s="7"/>
      <c r="B44" s="7"/>
      <c r="E44" s="8"/>
      <c r="H44" s="63"/>
      <c r="J44" s="63"/>
      <c r="L44" s="63"/>
      <c r="M44" s="63"/>
      <c r="O44" s="64"/>
      <c r="P44" s="63"/>
      <c r="Q44" s="65"/>
      <c r="R44" s="65"/>
      <c r="S44" s="65"/>
      <c r="T44" s="65"/>
      <c r="U44" s="65"/>
      <c r="V44" s="62"/>
      <c r="W44" s="62"/>
      <c r="X44" s="62"/>
      <c r="Y44" s="62"/>
      <c r="Z44" s="62"/>
      <c r="AA44" s="62"/>
      <c r="AB44" s="62"/>
      <c r="AC44" s="62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</row>
    <row r="45" spans="1:45" ht="15" customHeight="1">
      <c r="A45" s="7"/>
      <c r="B45" s="7"/>
      <c r="E45" s="8"/>
      <c r="H45" s="63"/>
      <c r="J45" s="63"/>
      <c r="L45" s="63"/>
      <c r="M45" s="63"/>
      <c r="O45" s="64"/>
      <c r="P45" s="63"/>
      <c r="Q45" s="65"/>
      <c r="R45" s="65"/>
      <c r="S45" s="65"/>
      <c r="T45" s="65"/>
      <c r="U45" s="65"/>
      <c r="V45" s="62"/>
      <c r="W45" s="62"/>
      <c r="X45" s="62"/>
      <c r="Y45" s="62"/>
      <c r="Z45" s="62"/>
      <c r="AA45" s="62"/>
      <c r="AB45" s="62"/>
      <c r="AC45" s="62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</row>
    <row r="46" spans="1:45" ht="15" customHeight="1">
      <c r="A46" s="7"/>
      <c r="B46" s="7"/>
      <c r="E46" s="8"/>
      <c r="H46" s="63"/>
      <c r="J46" s="63"/>
      <c r="K46" s="63"/>
      <c r="L46" s="63"/>
      <c r="M46" s="63"/>
      <c r="N46" s="63"/>
      <c r="O46" s="64"/>
      <c r="Q46" s="65"/>
      <c r="R46" s="65"/>
      <c r="S46" s="65"/>
      <c r="T46" s="65"/>
      <c r="U46" s="65"/>
      <c r="V46" s="62"/>
      <c r="W46" s="62"/>
      <c r="X46" s="62"/>
      <c r="Y46" s="62"/>
      <c r="Z46" s="62"/>
      <c r="AA46" s="62"/>
      <c r="AB46" s="62"/>
      <c r="AC46" s="62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</row>
    <row r="47" spans="1:45" ht="15" customHeight="1">
      <c r="A47" s="7"/>
      <c r="B47" s="7"/>
      <c r="E47" s="8"/>
      <c r="H47" s="63"/>
      <c r="I47" s="63"/>
      <c r="K47" s="63"/>
      <c r="L47" s="63"/>
      <c r="M47" s="63"/>
      <c r="N47" s="63"/>
      <c r="O47" s="64"/>
      <c r="Q47" s="65"/>
      <c r="R47" s="65"/>
      <c r="S47" s="65"/>
      <c r="T47" s="65"/>
      <c r="U47" s="65"/>
      <c r="V47" s="62"/>
      <c r="W47" s="62"/>
      <c r="X47" s="62"/>
      <c r="Y47" s="62"/>
      <c r="Z47" s="62"/>
      <c r="AA47" s="62"/>
      <c r="AB47" s="62"/>
      <c r="AC47" s="62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</row>
    <row r="48" spans="1:45" ht="15" customHeight="1">
      <c r="A48" s="7"/>
      <c r="B48" s="7"/>
      <c r="E48" s="8"/>
      <c r="H48" s="63"/>
      <c r="J48" s="63"/>
      <c r="L48" s="63"/>
      <c r="M48" s="63"/>
      <c r="O48" s="64"/>
      <c r="P48" s="63"/>
      <c r="Q48" s="65"/>
      <c r="R48" s="65"/>
      <c r="S48" s="65"/>
      <c r="T48" s="65"/>
      <c r="U48" s="65"/>
      <c r="V48" s="62"/>
      <c r="W48" s="62"/>
      <c r="X48" s="62"/>
      <c r="Y48" s="62"/>
      <c r="Z48" s="62"/>
      <c r="AA48" s="62"/>
      <c r="AB48" s="62"/>
      <c r="AC48" s="62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</row>
    <row r="49" spans="1:45" ht="15" customHeight="1">
      <c r="A49" s="7"/>
      <c r="B49" s="7"/>
      <c r="E49" s="8"/>
      <c r="H49" s="63"/>
      <c r="I49" s="63"/>
      <c r="L49" s="63"/>
      <c r="M49" s="63"/>
      <c r="N49" s="63"/>
      <c r="O49" s="64"/>
      <c r="Q49" s="65"/>
      <c r="R49" s="65"/>
      <c r="S49" s="65"/>
      <c r="T49" s="65"/>
      <c r="U49" s="65"/>
      <c r="V49" s="62"/>
      <c r="W49" s="62"/>
      <c r="X49" s="62"/>
      <c r="Y49" s="62"/>
      <c r="Z49" s="62"/>
      <c r="AA49" s="62"/>
      <c r="AB49" s="62"/>
      <c r="AC49" s="62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</row>
    <row r="50" spans="1:45" ht="15" customHeight="1">
      <c r="A50" s="7"/>
      <c r="B50" s="7"/>
      <c r="E50" s="8"/>
      <c r="H50" s="63"/>
      <c r="I50" s="63"/>
      <c r="L50" s="63"/>
      <c r="M50" s="63"/>
      <c r="O50" s="64"/>
      <c r="P50" s="63"/>
      <c r="Q50" s="65"/>
      <c r="R50" s="65"/>
      <c r="S50" s="65"/>
      <c r="T50" s="65"/>
      <c r="U50" s="65"/>
      <c r="V50" s="62"/>
      <c r="W50" s="62"/>
      <c r="X50" s="62"/>
      <c r="Y50" s="62"/>
      <c r="Z50" s="62"/>
      <c r="AA50" s="62"/>
      <c r="AB50" s="62"/>
      <c r="AC50" s="62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</row>
    <row r="51" spans="1:45" ht="15" customHeight="1">
      <c r="A51" s="7"/>
      <c r="B51" s="7"/>
      <c r="E51" s="8"/>
      <c r="H51" s="63"/>
      <c r="I51" s="63"/>
      <c r="L51" s="63"/>
      <c r="M51" s="63"/>
      <c r="O51" s="64"/>
      <c r="P51" s="63"/>
      <c r="Q51" s="65"/>
      <c r="R51" s="65"/>
      <c r="S51" s="65"/>
      <c r="T51" s="65"/>
      <c r="U51" s="65"/>
      <c r="V51" s="62"/>
      <c r="W51" s="62"/>
      <c r="X51" s="62"/>
      <c r="Y51" s="62"/>
      <c r="Z51" s="62"/>
      <c r="AA51" s="62"/>
      <c r="AB51" s="62"/>
      <c r="AC51" s="62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</row>
    <row r="52" spans="1:45" ht="15" customHeight="1">
      <c r="A52" s="7"/>
      <c r="B52" s="7"/>
      <c r="E52" s="8"/>
      <c r="H52" s="63"/>
      <c r="I52" s="63"/>
      <c r="L52" s="63"/>
      <c r="M52" s="63"/>
      <c r="O52" s="64"/>
      <c r="P52" s="63"/>
      <c r="Q52" s="65"/>
      <c r="R52" s="65"/>
      <c r="S52" s="65"/>
      <c r="T52" s="65"/>
      <c r="U52" s="65"/>
      <c r="V52" s="62"/>
      <c r="W52" s="62"/>
      <c r="X52" s="62"/>
      <c r="Y52" s="62"/>
      <c r="Z52" s="62"/>
      <c r="AA52" s="62"/>
      <c r="AB52" s="62"/>
      <c r="AC52" s="62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</row>
    <row r="53" spans="1:45" ht="15" customHeight="1">
      <c r="A53" s="7"/>
      <c r="B53" s="7"/>
      <c r="E53" s="8"/>
      <c r="H53" s="63"/>
      <c r="I53" s="63"/>
      <c r="L53" s="63"/>
      <c r="M53" s="63"/>
      <c r="O53" s="64"/>
      <c r="P53" s="63"/>
      <c r="Q53" s="65"/>
      <c r="R53" s="65"/>
      <c r="S53" s="65"/>
      <c r="T53" s="65"/>
      <c r="U53" s="65"/>
      <c r="V53" s="62"/>
      <c r="W53" s="62"/>
      <c r="X53" s="62"/>
      <c r="Y53" s="62"/>
      <c r="Z53" s="62"/>
      <c r="AA53" s="62"/>
      <c r="AB53" s="62"/>
      <c r="AC53" s="62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</row>
    <row r="54" spans="1:45" ht="15" customHeight="1">
      <c r="A54" s="7"/>
      <c r="B54" s="7"/>
      <c r="E54" s="8"/>
      <c r="H54" s="63"/>
      <c r="I54" s="63"/>
      <c r="L54" s="63"/>
      <c r="M54" s="63"/>
      <c r="O54" s="64"/>
      <c r="P54" s="63"/>
      <c r="Q54" s="65"/>
      <c r="R54" s="65"/>
      <c r="S54" s="65"/>
      <c r="T54" s="65"/>
      <c r="U54" s="65"/>
      <c r="V54" s="62"/>
      <c r="W54" s="62"/>
      <c r="X54" s="62"/>
      <c r="Y54" s="62"/>
      <c r="Z54" s="62"/>
      <c r="AA54" s="62"/>
      <c r="AB54" s="62"/>
      <c r="AC54" s="62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</row>
    <row r="55" spans="1:45" ht="15" customHeight="1">
      <c r="A55" s="7"/>
      <c r="B55" s="7"/>
      <c r="E55" s="8"/>
      <c r="H55" s="63"/>
      <c r="I55" s="63"/>
      <c r="K55" s="63"/>
      <c r="L55" s="63"/>
      <c r="M55" s="63"/>
      <c r="O55" s="64"/>
      <c r="P55" s="63"/>
      <c r="Q55" s="65"/>
      <c r="R55" s="65"/>
      <c r="S55" s="65"/>
      <c r="T55" s="65"/>
      <c r="U55" s="65"/>
      <c r="V55" s="62"/>
      <c r="W55" s="62"/>
      <c r="X55" s="62"/>
      <c r="Y55" s="62"/>
      <c r="Z55" s="62"/>
      <c r="AA55" s="62"/>
      <c r="AB55" s="62"/>
      <c r="AC55" s="65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</row>
    <row r="56" spans="1:45" ht="15" customHeight="1">
      <c r="A56" s="7"/>
      <c r="B56" s="7"/>
      <c r="E56" s="8"/>
      <c r="H56" s="63"/>
      <c r="I56" s="63"/>
      <c r="K56" s="63"/>
      <c r="L56" s="63"/>
      <c r="M56" s="63"/>
      <c r="O56" s="64"/>
      <c r="P56" s="63"/>
      <c r="Q56" s="65"/>
      <c r="R56" s="65"/>
      <c r="S56" s="65"/>
      <c r="T56" s="65"/>
      <c r="U56" s="65"/>
      <c r="V56" s="62"/>
      <c r="W56" s="62"/>
      <c r="X56" s="62"/>
      <c r="Y56" s="62"/>
      <c r="Z56" s="62"/>
      <c r="AA56" s="62"/>
      <c r="AB56" s="62"/>
      <c r="AC56" s="62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</row>
    <row r="57" spans="1:45" ht="15" customHeight="1">
      <c r="A57" s="7"/>
      <c r="B57" s="7"/>
      <c r="E57" s="8"/>
      <c r="H57" s="63"/>
      <c r="J57" s="63"/>
      <c r="K57" s="63"/>
      <c r="L57" s="63"/>
      <c r="M57" s="63"/>
      <c r="O57" s="64"/>
      <c r="P57" s="63"/>
      <c r="Q57" s="65"/>
      <c r="R57" s="65"/>
      <c r="S57" s="65"/>
      <c r="T57" s="65"/>
      <c r="U57" s="65"/>
      <c r="V57" s="62"/>
      <c r="W57" s="62"/>
      <c r="X57" s="62"/>
      <c r="Y57" s="62"/>
      <c r="Z57" s="62"/>
      <c r="AA57" s="62"/>
      <c r="AB57" s="62"/>
      <c r="AC57" s="62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</row>
    <row r="58" spans="1:45" ht="15" customHeight="1">
      <c r="A58" s="7"/>
      <c r="B58" s="7"/>
      <c r="E58" s="8"/>
      <c r="H58" s="63"/>
      <c r="I58" s="63"/>
      <c r="K58" s="63"/>
      <c r="L58" s="63"/>
      <c r="M58" s="63"/>
      <c r="O58" s="64"/>
      <c r="P58" s="63"/>
      <c r="Q58" s="65"/>
      <c r="R58" s="65"/>
      <c r="S58" s="65"/>
      <c r="T58" s="65"/>
      <c r="U58" s="65"/>
      <c r="V58" s="62"/>
      <c r="W58" s="62"/>
      <c r="X58" s="62"/>
      <c r="Y58" s="62"/>
      <c r="Z58" s="62"/>
      <c r="AA58" s="62"/>
      <c r="AB58" s="62"/>
      <c r="AC58" s="62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</row>
    <row r="59" spans="1:45" ht="15" customHeight="1">
      <c r="A59" s="7"/>
      <c r="B59" s="7"/>
      <c r="E59" s="8"/>
      <c r="H59" s="63"/>
      <c r="I59" s="63"/>
      <c r="K59" s="63"/>
      <c r="L59" s="63"/>
      <c r="M59" s="63"/>
      <c r="O59" s="64"/>
      <c r="P59" s="63"/>
      <c r="Q59" s="65"/>
      <c r="R59" s="65"/>
      <c r="S59" s="65"/>
      <c r="T59" s="65"/>
      <c r="U59" s="65"/>
      <c r="V59" s="62"/>
      <c r="W59" s="62"/>
      <c r="X59" s="62"/>
      <c r="Y59" s="62"/>
      <c r="Z59" s="62"/>
      <c r="AA59" s="62"/>
      <c r="AB59" s="62"/>
      <c r="AC59" s="62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</row>
    <row r="60" spans="1:45" ht="15" customHeight="1">
      <c r="A60" s="7"/>
      <c r="B60" s="7"/>
      <c r="E60" s="8"/>
      <c r="H60" s="63"/>
      <c r="I60" s="63"/>
      <c r="K60" s="63"/>
      <c r="L60" s="63"/>
      <c r="M60" s="63"/>
      <c r="O60" s="64"/>
      <c r="P60" s="63"/>
      <c r="Q60" s="65"/>
      <c r="R60" s="65"/>
      <c r="S60" s="65"/>
      <c r="T60" s="65"/>
      <c r="U60" s="65"/>
      <c r="V60" s="62"/>
      <c r="W60" s="62"/>
      <c r="X60" s="62"/>
      <c r="Y60" s="62"/>
      <c r="Z60" s="62"/>
      <c r="AA60" s="62"/>
      <c r="AB60" s="62"/>
      <c r="AC60" s="62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</row>
    <row r="61" spans="1:45" ht="15" customHeight="1">
      <c r="A61" s="7"/>
      <c r="B61" s="7"/>
      <c r="E61" s="8"/>
      <c r="G61" s="63"/>
      <c r="H61" s="63"/>
      <c r="I61" s="63"/>
      <c r="K61" s="63"/>
      <c r="L61" s="63"/>
      <c r="M61" s="63"/>
      <c r="O61" s="64"/>
      <c r="P61" s="63"/>
      <c r="Q61" s="65"/>
      <c r="R61" s="65"/>
      <c r="S61" s="65"/>
      <c r="T61" s="65"/>
      <c r="U61" s="65"/>
      <c r="V61" s="62"/>
      <c r="W61" s="62"/>
      <c r="X61" s="62"/>
      <c r="Y61" s="62"/>
      <c r="Z61" s="62"/>
      <c r="AA61" s="62"/>
      <c r="AB61" s="62"/>
      <c r="AC61" s="62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</row>
    <row r="62" spans="1:45" ht="15" customHeight="1">
      <c r="A62" s="7"/>
      <c r="B62" s="7"/>
      <c r="E62" s="8"/>
      <c r="G62" s="63"/>
      <c r="I62" s="63"/>
      <c r="J62" s="63"/>
      <c r="K62" s="63"/>
      <c r="L62" s="63"/>
      <c r="M62" s="63"/>
      <c r="O62" s="64"/>
      <c r="P62" s="63"/>
      <c r="Q62" s="65"/>
      <c r="R62" s="65"/>
      <c r="S62" s="65"/>
      <c r="T62" s="65"/>
      <c r="U62" s="65"/>
      <c r="V62" s="62"/>
      <c r="W62" s="62"/>
      <c r="X62" s="62"/>
      <c r="Y62" s="62"/>
      <c r="Z62" s="62"/>
      <c r="AA62" s="62"/>
      <c r="AB62" s="62"/>
      <c r="AC62" s="62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</row>
    <row r="63" spans="1:45" ht="15" customHeight="1">
      <c r="A63" s="7"/>
      <c r="B63" s="7"/>
      <c r="E63" s="8"/>
      <c r="G63" s="63"/>
      <c r="H63" s="63"/>
      <c r="J63" s="63"/>
      <c r="K63" s="63"/>
      <c r="L63" s="63"/>
      <c r="M63" s="63"/>
      <c r="O63" s="64"/>
      <c r="P63" s="63"/>
      <c r="Q63" s="65"/>
      <c r="R63" s="65"/>
      <c r="S63" s="65"/>
      <c r="U63" s="65"/>
      <c r="V63" s="62"/>
      <c r="W63" s="62"/>
      <c r="X63" s="62"/>
      <c r="Y63" s="62"/>
      <c r="Z63" s="62"/>
      <c r="AA63" s="62"/>
      <c r="AB63" s="62"/>
      <c r="AC63" s="62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</row>
    <row r="64" spans="1:45" ht="15" customHeight="1">
      <c r="A64" s="7"/>
      <c r="B64" s="7"/>
      <c r="E64" s="8"/>
      <c r="G64" s="63"/>
      <c r="H64" s="63"/>
      <c r="J64" s="63"/>
      <c r="K64" s="63"/>
      <c r="L64" s="63"/>
      <c r="M64" s="63"/>
      <c r="O64" s="64"/>
      <c r="P64" s="63"/>
      <c r="Q64" s="65"/>
      <c r="R64" s="65"/>
      <c r="S64" s="65"/>
      <c r="T64" s="65"/>
      <c r="U64" s="65"/>
      <c r="V64" s="62"/>
      <c r="W64" s="62"/>
      <c r="X64" s="62"/>
      <c r="Y64" s="62"/>
      <c r="Z64" s="62"/>
      <c r="AA64" s="62"/>
      <c r="AB64" s="62"/>
      <c r="AC64" s="62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</row>
    <row r="65" spans="1:45" ht="15" customHeight="1">
      <c r="A65" s="7"/>
      <c r="B65" s="7"/>
      <c r="E65" s="8"/>
      <c r="G65" s="63"/>
      <c r="H65" s="63"/>
      <c r="I65" s="63"/>
      <c r="K65" s="63"/>
      <c r="L65" s="63"/>
      <c r="M65" s="63"/>
      <c r="O65" s="64"/>
      <c r="P65" s="63"/>
      <c r="Q65" s="65"/>
      <c r="R65" s="65"/>
      <c r="S65" s="65"/>
      <c r="T65" s="65"/>
      <c r="U65" s="65"/>
      <c r="V65" s="62"/>
      <c r="W65" s="62"/>
      <c r="X65" s="62"/>
      <c r="Y65" s="62"/>
      <c r="Z65" s="62"/>
      <c r="AA65" s="62"/>
      <c r="AB65" s="62"/>
      <c r="AC65" s="62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</row>
    <row r="66" spans="1:45" ht="15" customHeight="1">
      <c r="A66" s="7"/>
      <c r="B66" s="7"/>
      <c r="E66" s="8"/>
      <c r="G66" s="63"/>
      <c r="H66" s="63"/>
      <c r="J66" s="63"/>
      <c r="K66" s="63"/>
      <c r="L66" s="63"/>
      <c r="M66" s="63"/>
      <c r="O66" s="64"/>
      <c r="P66" s="63"/>
      <c r="Q66" s="65"/>
      <c r="R66" s="65"/>
      <c r="S66" s="65"/>
      <c r="T66" s="65"/>
      <c r="U66" s="65"/>
      <c r="V66" s="62"/>
      <c r="W66" s="62"/>
      <c r="X66" s="62"/>
      <c r="Y66" s="62"/>
      <c r="Z66" s="62"/>
      <c r="AA66" s="62"/>
      <c r="AB66" s="62"/>
      <c r="AC66" s="62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</row>
    <row r="67" spans="1:45" ht="15" customHeight="1">
      <c r="A67" s="7"/>
      <c r="B67" s="7"/>
      <c r="E67" s="8"/>
      <c r="G67" s="63"/>
      <c r="H67" s="63"/>
      <c r="I67" s="63"/>
      <c r="K67" s="63"/>
      <c r="L67" s="63"/>
      <c r="M67" s="63"/>
      <c r="O67" s="64"/>
      <c r="P67" s="63"/>
      <c r="Q67" s="65"/>
      <c r="R67" s="65"/>
      <c r="S67" s="65"/>
      <c r="T67" s="65"/>
      <c r="U67" s="65"/>
      <c r="V67" s="62"/>
      <c r="W67" s="62"/>
      <c r="X67" s="62"/>
      <c r="Y67" s="62"/>
      <c r="Z67" s="62"/>
      <c r="AA67" s="62"/>
      <c r="AB67" s="62"/>
      <c r="AC67" s="62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</row>
    <row r="68" spans="1:45" ht="15" customHeight="1">
      <c r="A68" s="7"/>
      <c r="B68" s="7"/>
      <c r="E68" s="8"/>
      <c r="G68" s="63"/>
      <c r="H68" s="63"/>
      <c r="J68" s="63"/>
      <c r="K68" s="63"/>
      <c r="L68" s="63"/>
      <c r="M68" s="63"/>
      <c r="O68" s="64"/>
      <c r="P68" s="63"/>
      <c r="Q68" s="65"/>
      <c r="R68" s="65"/>
      <c r="S68" s="65"/>
      <c r="T68" s="65"/>
      <c r="U68" s="65"/>
      <c r="V68" s="62"/>
      <c r="W68" s="62"/>
      <c r="X68" s="62"/>
      <c r="Y68" s="62"/>
      <c r="Z68" s="65"/>
      <c r="AA68" s="62"/>
      <c r="AB68" s="62"/>
      <c r="AC68" s="62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</row>
    <row r="69" spans="1:45" ht="15" customHeight="1">
      <c r="A69" s="7"/>
      <c r="B69" s="7"/>
      <c r="E69" s="8"/>
      <c r="G69" s="63"/>
      <c r="H69" s="63"/>
      <c r="J69" s="63"/>
      <c r="K69" s="63"/>
      <c r="L69" s="63"/>
      <c r="M69" s="63"/>
      <c r="O69" s="64"/>
      <c r="P69" s="63"/>
      <c r="Q69" s="65"/>
      <c r="R69" s="65"/>
      <c r="S69" s="65"/>
      <c r="T69" s="65"/>
      <c r="U69" s="65"/>
      <c r="V69" s="62"/>
      <c r="W69" s="62"/>
      <c r="X69" s="62"/>
      <c r="Y69" s="62"/>
      <c r="Z69" s="62"/>
      <c r="AA69" s="62"/>
      <c r="AB69" s="62"/>
      <c r="AC69" s="62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</row>
    <row r="70" spans="1:45" ht="15" customHeight="1">
      <c r="A70" s="7"/>
      <c r="B70" s="7"/>
      <c r="E70" s="8"/>
      <c r="G70" s="63"/>
      <c r="H70" s="63"/>
      <c r="J70" s="63"/>
      <c r="K70" s="63"/>
      <c r="L70" s="63"/>
      <c r="M70" s="63"/>
      <c r="O70" s="64"/>
      <c r="P70" s="63"/>
      <c r="Q70" s="65"/>
      <c r="R70" s="65"/>
      <c r="S70" s="65"/>
      <c r="T70" s="65"/>
      <c r="U70" s="65"/>
      <c r="V70" s="62"/>
      <c r="W70" s="62"/>
      <c r="X70" s="62"/>
      <c r="Y70" s="62"/>
      <c r="Z70" s="62"/>
      <c r="AA70" s="62"/>
      <c r="AB70" s="62"/>
      <c r="AC70" s="62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</row>
    <row r="71" spans="1:45" ht="15" customHeight="1">
      <c r="A71" s="7"/>
      <c r="B71" s="7"/>
      <c r="E71" s="8"/>
      <c r="G71" s="63"/>
      <c r="H71" s="63"/>
      <c r="I71" s="63"/>
      <c r="K71" s="63"/>
      <c r="L71" s="63"/>
      <c r="M71" s="63"/>
      <c r="O71" s="64"/>
      <c r="P71" s="63"/>
      <c r="Q71" s="65"/>
      <c r="R71" s="65"/>
      <c r="S71" s="65"/>
      <c r="T71" s="65"/>
      <c r="U71" s="65"/>
      <c r="V71" s="62"/>
      <c r="W71" s="62"/>
      <c r="X71" s="62"/>
      <c r="Y71" s="62"/>
      <c r="Z71" s="62"/>
      <c r="AA71" s="62"/>
      <c r="AB71" s="62"/>
      <c r="AC71" s="62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</row>
    <row r="72" spans="1:45" ht="15" customHeight="1">
      <c r="A72" s="7"/>
      <c r="B72" s="7"/>
      <c r="E72" s="8"/>
      <c r="G72" s="63"/>
      <c r="H72" s="63"/>
      <c r="J72" s="63"/>
      <c r="K72" s="63"/>
      <c r="L72" s="63"/>
      <c r="M72" s="63"/>
      <c r="O72" s="64"/>
      <c r="P72" s="63"/>
      <c r="Q72" s="65"/>
      <c r="R72" s="65"/>
      <c r="S72" s="65"/>
      <c r="T72" s="65"/>
      <c r="U72" s="65"/>
      <c r="V72" s="62"/>
      <c r="W72" s="62"/>
      <c r="X72" s="62"/>
      <c r="Y72" s="62"/>
      <c r="Z72" s="62"/>
      <c r="AA72" s="62"/>
      <c r="AB72" s="62"/>
      <c r="AC72" s="62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</row>
    <row r="73" spans="1:45" ht="15" customHeight="1">
      <c r="A73" s="7"/>
      <c r="B73" s="7"/>
      <c r="E73" s="8"/>
      <c r="G73" s="63"/>
      <c r="H73" s="63"/>
      <c r="I73" s="63"/>
      <c r="K73" s="63"/>
      <c r="L73" s="63"/>
      <c r="M73" s="63"/>
      <c r="O73" s="64"/>
      <c r="P73" s="63"/>
      <c r="Q73" s="65"/>
      <c r="R73" s="65"/>
      <c r="S73" s="65"/>
      <c r="T73" s="65"/>
      <c r="U73" s="65"/>
      <c r="V73" s="62"/>
      <c r="W73" s="62"/>
      <c r="X73" s="62"/>
      <c r="Y73" s="62"/>
      <c r="Z73" s="62"/>
      <c r="AA73" s="62"/>
      <c r="AB73" s="62"/>
      <c r="AC73" s="62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</row>
    <row r="74" spans="1:45" ht="15" customHeight="1">
      <c r="A74"/>
      <c r="B74" s="61"/>
      <c r="C74"/>
      <c r="D74"/>
      <c r="E74"/>
      <c r="F74"/>
      <c r="G74"/>
      <c r="H74"/>
      <c r="I74"/>
      <c r="J74"/>
      <c r="K74"/>
      <c r="L74"/>
      <c r="M74"/>
      <c r="N74" s="61"/>
      <c r="O74" s="66"/>
      <c r="P74"/>
      <c r="Q74"/>
      <c r="R74"/>
      <c r="S74"/>
      <c r="T74"/>
      <c r="U74"/>
      <c r="V74"/>
      <c r="W74"/>
      <c r="X74"/>
      <c r="Y74"/>
      <c r="Z74"/>
      <c r="AA74"/>
      <c r="AB74"/>
      <c r="AC74" s="61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</row>
    <row r="75" spans="1:45" ht="15" customHeight="1">
      <c r="A75" s="7"/>
      <c r="B75" s="7"/>
      <c r="C75" s="7"/>
      <c r="D75" s="7"/>
      <c r="E75" s="8"/>
      <c r="F75" s="7"/>
    </row>
    <row r="76" spans="1:45" ht="15" customHeight="1">
      <c r="A76" s="7"/>
      <c r="B76" s="7"/>
      <c r="C76" s="7"/>
      <c r="D76" s="7"/>
      <c r="E76" s="8"/>
      <c r="F76" s="7"/>
    </row>
    <row r="77" spans="1:45" ht="15" customHeight="1">
      <c r="A77" s="7"/>
      <c r="B77" s="7"/>
      <c r="C77" s="7"/>
      <c r="D77" s="7"/>
      <c r="E77" s="8"/>
      <c r="F77" s="7"/>
    </row>
    <row r="78" spans="1:45" ht="15" customHeight="1">
      <c r="A78" s="7"/>
      <c r="B78" s="7"/>
      <c r="C78" s="7"/>
      <c r="D78" s="7"/>
      <c r="E78" s="8"/>
      <c r="F78" s="7"/>
    </row>
    <row r="79" spans="1:45" ht="15" customHeight="1">
      <c r="A79" s="7"/>
      <c r="B79" s="7"/>
      <c r="C79" s="7"/>
      <c r="D79" s="7"/>
      <c r="E79" s="8"/>
      <c r="F79" s="7"/>
    </row>
    <row r="80" spans="1:45" ht="15" customHeight="1">
      <c r="A80" s="7"/>
      <c r="B80" s="7"/>
      <c r="C80" s="7"/>
      <c r="D80" s="7"/>
      <c r="E80" s="8"/>
      <c r="F80" s="7"/>
    </row>
    <row r="81" spans="1:6" ht="15" customHeight="1">
      <c r="A81" s="7"/>
      <c r="B81" s="7"/>
      <c r="C81" s="7"/>
      <c r="D81" s="7"/>
      <c r="E81" s="8"/>
      <c r="F81" s="7"/>
    </row>
    <row r="82" spans="1:6" ht="15" customHeight="1">
      <c r="A82" s="7"/>
      <c r="B82" s="7"/>
      <c r="C82" s="7"/>
      <c r="D82" s="7"/>
      <c r="E82" s="8"/>
      <c r="F82" s="7"/>
    </row>
    <row r="83" spans="1:6" ht="15" customHeight="1">
      <c r="A83" s="7"/>
      <c r="B83" s="7"/>
      <c r="C83" s="7"/>
      <c r="D83" s="7"/>
      <c r="E83" s="8"/>
      <c r="F83" s="7"/>
    </row>
    <row r="84" spans="1:6" ht="15" customHeight="1">
      <c r="A84" s="7"/>
      <c r="B84" s="7"/>
      <c r="C84" s="7"/>
      <c r="D84" s="7"/>
      <c r="E84" s="8"/>
      <c r="F84" s="7"/>
    </row>
    <row r="85" spans="1:6" ht="15" customHeight="1">
      <c r="A85" s="7"/>
      <c r="B85" s="7"/>
      <c r="C85" s="7"/>
      <c r="D85" s="7"/>
      <c r="E85" s="8"/>
      <c r="F85" s="7"/>
    </row>
    <row r="86" spans="1:6" ht="15" customHeight="1">
      <c r="A86" s="7"/>
      <c r="B86" s="7"/>
      <c r="C86" s="7"/>
      <c r="D86" s="7"/>
      <c r="E86" s="8"/>
      <c r="F86" s="7"/>
    </row>
    <row r="87" spans="1:6" ht="15" customHeight="1">
      <c r="A87" s="7"/>
      <c r="B87" s="7"/>
      <c r="C87" s="7"/>
      <c r="D87" s="7"/>
      <c r="E87" s="8"/>
      <c r="F87" s="7"/>
    </row>
    <row r="88" spans="1:6" ht="15" customHeight="1">
      <c r="A88" s="7"/>
      <c r="B88" s="7"/>
      <c r="C88" s="7"/>
      <c r="D88" s="7"/>
      <c r="E88" s="8"/>
      <c r="F88" s="7"/>
    </row>
    <row r="89" spans="1:6" ht="15" customHeight="1">
      <c r="A89" s="7"/>
      <c r="B89" s="7"/>
      <c r="C89" s="7"/>
      <c r="D89" s="7"/>
      <c r="E89" s="8"/>
      <c r="F89" s="7"/>
    </row>
    <row r="90" spans="1:6" ht="15" customHeight="1">
      <c r="E90" s="9"/>
    </row>
    <row r="91" spans="1:6" ht="15" customHeight="1">
      <c r="E91" s="9"/>
    </row>
    <row r="92" spans="1:6" ht="15" customHeight="1">
      <c r="E92" s="9"/>
    </row>
    <row r="93" spans="1:6" ht="15" customHeight="1">
      <c r="E93" s="9"/>
    </row>
    <row r="94" spans="1:6" ht="15" customHeight="1">
      <c r="E94" s="9"/>
    </row>
    <row r="95" spans="1:6" ht="15" customHeight="1">
      <c r="E95" s="9"/>
    </row>
    <row r="96" spans="1:6" ht="15" customHeight="1">
      <c r="E96" s="9"/>
    </row>
    <row r="97" spans="5:5" ht="15" customHeight="1">
      <c r="E97" s="9"/>
    </row>
    <row r="98" spans="5:5" ht="15" customHeight="1">
      <c r="E98" s="9"/>
    </row>
    <row r="99" spans="5:5" ht="15" customHeight="1">
      <c r="E99" s="9"/>
    </row>
    <row r="100" spans="5:5" ht="15" customHeight="1">
      <c r="E100" s="9"/>
    </row>
    <row r="101" spans="5:5" ht="15" customHeight="1">
      <c r="E101" s="9"/>
    </row>
    <row r="102" spans="5:5" ht="15" customHeight="1">
      <c r="E102" s="9"/>
    </row>
    <row r="103" spans="5:5" ht="15" customHeight="1">
      <c r="E103" s="9"/>
    </row>
    <row r="104" spans="5:5" ht="15" customHeight="1">
      <c r="E104" s="9"/>
    </row>
    <row r="105" spans="5:5" ht="15" customHeight="1">
      <c r="E105" s="9"/>
    </row>
    <row r="106" spans="5:5" ht="15" customHeight="1">
      <c r="E106" s="9"/>
    </row>
    <row r="107" spans="5:5" ht="15" customHeight="1">
      <c r="E107" s="9"/>
    </row>
    <row r="108" spans="5:5" ht="15" customHeight="1">
      <c r="E108" s="9"/>
    </row>
  </sheetData>
  <conditionalFormatting sqref="A2:A73">
    <cfRule type="duplicateValues" dxfId="1" priority="1"/>
  </conditionalFormatting>
  <conditionalFormatting sqref="A1:B1 A75:B1048576">
    <cfRule type="duplicateValues" dxfId="0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9926-5CC2-41A7-A269-CF9ADBFAE9C1}">
  <sheetPr codeName="Sheet4"/>
  <dimension ref="A1:A7"/>
  <sheetViews>
    <sheetView workbookViewId="0">
      <selection activeCell="A7" sqref="A7"/>
    </sheetView>
  </sheetViews>
  <sheetFormatPr defaultRowHeight="15.75"/>
  <sheetData>
    <row r="1" spans="1:1">
      <c r="A1" s="74" t="s">
        <v>1164</v>
      </c>
    </row>
    <row r="2" spans="1:1">
      <c r="A2" t="s">
        <v>1476</v>
      </c>
    </row>
    <row r="4" spans="1:1">
      <c r="A4" t="s">
        <v>1477</v>
      </c>
    </row>
    <row r="6" spans="1:1">
      <c r="A6" s="74" t="s">
        <v>1165</v>
      </c>
    </row>
    <row r="7" spans="1:1">
      <c r="A7" t="s">
        <v>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BENNETT, Nicholas (LEEDS TEACHING HOSPITALS NHS TRUST)</cp:lastModifiedBy>
  <cp:revision/>
  <dcterms:created xsi:type="dcterms:W3CDTF">2022-06-16T21:28:15Z</dcterms:created>
  <dcterms:modified xsi:type="dcterms:W3CDTF">2026-09-30T07:26:52Z</dcterms:modified>
  <cp:category/>
  <cp:contentStatus/>
</cp:coreProperties>
</file>