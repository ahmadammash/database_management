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leeds365-my.sharepoint.com/personal/medaamm_leeds_ac_uk/Documents/UOL Data Manager/database_management/data_files/leeds_data/test_conversion/Endometrial/Endometrial 1/"/>
    </mc:Choice>
  </mc:AlternateContent>
  <xr:revisionPtr revIDLastSave="1159" documentId="8_{3140DFD2-7C3F-451A-B46B-7BECFA569EE1}" xr6:coauthVersionLast="47" xr6:coauthVersionMax="47" xr10:uidLastSave="{41AC8397-FE7E-49A3-A2C7-68F3165E153E}"/>
  <bookViews>
    <workbookView xWindow="-110" yWindow="-110" windowWidth="38620" windowHeight="21820" xr2:uid="{00000000-000D-0000-FFFF-FFFF00000000}"/>
  </bookViews>
  <sheets>
    <sheet name="Follow up" sheetId="1" r:id="rId1"/>
    <sheet name="Calculations &amp; List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M5" i="1" l="1"/>
  <c r="GN5" i="1"/>
  <c r="GO5" i="1"/>
  <c r="GP5" i="1"/>
  <c r="GQ5" i="1"/>
  <c r="GR5" i="1"/>
  <c r="GS5" i="1"/>
  <c r="GT5" i="1"/>
  <c r="GU5" i="1"/>
  <c r="GV5" i="1"/>
  <c r="GW5" i="1"/>
  <c r="GX5" i="1"/>
  <c r="GY5" i="1"/>
  <c r="GZ5" i="1"/>
  <c r="HA5" i="1"/>
  <c r="HB5" i="1"/>
  <c r="HC5" i="1"/>
  <c r="HD5" i="1"/>
  <c r="HE5" i="1"/>
  <c r="HF5" i="1"/>
  <c r="HG5" i="1" a="1"/>
  <c r="HH5" i="1"/>
  <c r="HI5" i="1"/>
  <c r="HJ5" i="1"/>
  <c r="HK5" i="1"/>
  <c r="GM6" i="1"/>
  <c r="GN6" i="1"/>
  <c r="GO6" i="1"/>
  <c r="GP6" i="1"/>
  <c r="GQ6" i="1"/>
  <c r="GR6" i="1"/>
  <c r="GS6" i="1"/>
  <c r="GT6" i="1"/>
  <c r="GU6" i="1"/>
  <c r="GV6" i="1"/>
  <c r="GW6" i="1"/>
  <c r="GX6" i="1"/>
  <c r="GY6" i="1"/>
  <c r="GZ6" i="1"/>
  <c r="HA6" i="1"/>
  <c r="HB6" i="1"/>
  <c r="HC6" i="1"/>
  <c r="HD6" i="1"/>
  <c r="HE6" i="1"/>
  <c r="HF6" i="1"/>
  <c r="HG6" i="1" a="1"/>
  <c r="HH6" i="1"/>
  <c r="HI6" i="1"/>
  <c r="HJ6" i="1"/>
  <c r="HK6" i="1"/>
  <c r="GM7" i="1"/>
  <c r="GN7" i="1"/>
  <c r="GO7" i="1"/>
  <c r="GP7" i="1"/>
  <c r="GQ7" i="1"/>
  <c r="GR7" i="1"/>
  <c r="GS7" i="1"/>
  <c r="GT7" i="1"/>
  <c r="GU7" i="1"/>
  <c r="GV7" i="1"/>
  <c r="GW7" i="1"/>
  <c r="GX7" i="1"/>
  <c r="GY7" i="1"/>
  <c r="GZ7" i="1"/>
  <c r="HA7" i="1"/>
  <c r="HB7" i="1"/>
  <c r="HC7" i="1"/>
  <c r="HD7" i="1"/>
  <c r="HE7" i="1"/>
  <c r="HF7" i="1"/>
  <c r="HG7" i="1" a="1"/>
  <c r="HH7" i="1"/>
  <c r="HI7" i="1"/>
  <c r="HJ7" i="1"/>
  <c r="HK7" i="1"/>
  <c r="GM8" i="1"/>
  <c r="GN8" i="1"/>
  <c r="GO8" i="1"/>
  <c r="GP8" i="1"/>
  <c r="GQ8" i="1"/>
  <c r="GR8" i="1"/>
  <c r="GS8" i="1"/>
  <c r="GT8" i="1"/>
  <c r="GU8" i="1"/>
  <c r="GV8" i="1"/>
  <c r="GW8" i="1"/>
  <c r="GX8" i="1"/>
  <c r="GY8" i="1"/>
  <c r="GZ8" i="1"/>
  <c r="HA8" i="1"/>
  <c r="HB8" i="1"/>
  <c r="HC8" i="1"/>
  <c r="HD8" i="1"/>
  <c r="HE8" i="1"/>
  <c r="HF8" i="1"/>
  <c r="HG8" i="1" a="1"/>
  <c r="HH8" i="1"/>
  <c r="HI8" i="1"/>
  <c r="HJ8" i="1"/>
  <c r="HK8" i="1"/>
  <c r="HI4" i="1"/>
  <c r="HE4" i="1"/>
  <c r="HD4" i="1"/>
  <c r="HC4" i="1"/>
  <c r="HA4" i="1"/>
  <c r="GZ4" i="1"/>
  <c r="GY4" i="1"/>
  <c r="HB4" i="1" s="1"/>
  <c r="GX4" i="1"/>
  <c r="GW4" i="1"/>
  <c r="GV4" i="1"/>
  <c r="GU4" i="1"/>
  <c r="GT4" i="1"/>
  <c r="GS4" i="1"/>
  <c r="GR4" i="1"/>
  <c r="GQ4" i="1"/>
  <c r="GP4" i="1"/>
  <c r="GO4" i="1"/>
  <c r="GN4" i="1"/>
  <c r="GM4" i="1"/>
  <c r="AT8" i="1"/>
  <c r="AT7" i="1"/>
  <c r="AT6" i="1"/>
  <c r="AT5" i="1"/>
  <c r="AT4" i="1"/>
  <c r="HH4" i="1" l="1"/>
  <c r="HK4" i="1" s="1"/>
  <c r="HG4" i="1" a="1"/>
  <c r="HJ4" i="1"/>
  <c r="HF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<sst xmlns="http://schemas.openxmlformats.org/spreadsheetml/2006/main" count="1739" uniqueCount="912">
  <si>
    <t>PLEASE BE AWARE COLUMNS MAY BE 'HIDDEN' OR 'COLLAPSED'</t>
  </si>
  <si>
    <t>TTE calcs updated 22/03/2026</t>
  </si>
  <si>
    <t>NHS number</t>
  </si>
  <si>
    <t xml:space="preserve">Any Immunotherapy </t>
  </si>
  <si>
    <t>Specimen treatment subgrouping</t>
  </si>
  <si>
    <t xml:space="preserve">Specimen is a recurrence </t>
  </si>
  <si>
    <t>Selected specimen Anonymised ID</t>
  </si>
  <si>
    <t>Specimen Block number 1</t>
  </si>
  <si>
    <t>Specimen Block number 2</t>
  </si>
  <si>
    <t>Specimen surgery date</t>
  </si>
  <si>
    <t>Specimen surgery</t>
  </si>
  <si>
    <t>Specimen tumour site</t>
  </si>
  <si>
    <t xml:space="preserve">Primary Surgery date </t>
  </si>
  <si>
    <t>Primary tumour site</t>
  </si>
  <si>
    <t>Anonymized ID Matched met 1</t>
  </si>
  <si>
    <t>Matched met 1 Block Number</t>
  </si>
  <si>
    <t>Matched met 1 Site</t>
  </si>
  <si>
    <t xml:space="preserve">Matched met 1 Surgery Date </t>
  </si>
  <si>
    <t>Matched met 1 treatment subgrouping</t>
  </si>
  <si>
    <t>Anonymized ID Matched met 2</t>
  </si>
  <si>
    <t>Matched met 2 Block Number</t>
  </si>
  <si>
    <t>Matched met 2 Site</t>
  </si>
  <si>
    <t xml:space="preserve">Matched met 2 Surgery Date </t>
  </si>
  <si>
    <t>Matched met 2 treatment subgrouping</t>
  </si>
  <si>
    <t>Anonymized ID Matched met 3</t>
  </si>
  <si>
    <t>Matched met 3 Block Number</t>
  </si>
  <si>
    <t>Matched met 3 Site</t>
  </si>
  <si>
    <t xml:space="preserve">Matched met 3 Surgery Date </t>
  </si>
  <si>
    <t>Matched met 3 treatment subgrouping</t>
  </si>
  <si>
    <t>Anonymized ID Matched met 4</t>
  </si>
  <si>
    <t>Matched met 4 Block Number</t>
  </si>
  <si>
    <t>Matched met 4 Site</t>
  </si>
  <si>
    <t xml:space="preserve">Matched met 4 Surgery Date </t>
  </si>
  <si>
    <t>Matched met 4 treatment subgrouping</t>
  </si>
  <si>
    <t>Anonymized ID Matched met 5</t>
  </si>
  <si>
    <t>Matched met 5 Block Number</t>
  </si>
  <si>
    <t>Matched met 5 Site</t>
  </si>
  <si>
    <t xml:space="preserve">Matched met 5 Surgery Date </t>
  </si>
  <si>
    <t>Matched met 5 treatment subgrouping</t>
  </si>
  <si>
    <t>Anonymized ID Normal tissue</t>
  </si>
  <si>
    <t>Matched Normal tissue Block Number</t>
  </si>
  <si>
    <t>Matched Normal tissue Site</t>
  </si>
  <si>
    <t xml:space="preserve">Matched Normal tissue Surgery Date </t>
  </si>
  <si>
    <t>Matched Normal treatment subgrouping</t>
  </si>
  <si>
    <t>Gender</t>
  </si>
  <si>
    <t xml:space="preserve">DOB </t>
  </si>
  <si>
    <t>Date of DX</t>
  </si>
  <si>
    <t xml:space="preserve">Age at Diagnosis </t>
  </si>
  <si>
    <t>Specimen Histological Diagnosis</t>
  </si>
  <si>
    <t>Staging/grading info provided for:</t>
  </si>
  <si>
    <t xml:space="preserve">Resection margins clear </t>
  </si>
  <si>
    <t>pT</t>
  </si>
  <si>
    <t>pN</t>
  </si>
  <si>
    <t>pM</t>
  </si>
  <si>
    <t>cM</t>
  </si>
  <si>
    <t>TNM stage</t>
  </si>
  <si>
    <t>Grade</t>
  </si>
  <si>
    <t>Staging criteria</t>
  </si>
  <si>
    <t>Stage at DX</t>
  </si>
  <si>
    <t>Any Neoadjuvant therapy</t>
  </si>
  <si>
    <t>Response to neoadjuvant therapy (TRS score)</t>
  </si>
  <si>
    <t>Neoadjuvant Tx1</t>
  </si>
  <si>
    <t>Neoadjuvant Tx1 Agent</t>
  </si>
  <si>
    <t>Neoadjuvant Tx1 Start Date</t>
  </si>
  <si>
    <t>Neoadjuvant Tx1 End Date</t>
  </si>
  <si>
    <t>Tumour response Neoadjuvant Tx1</t>
  </si>
  <si>
    <t>Neoadjuvant Tx2</t>
  </si>
  <si>
    <t>Neoadjuvant Tx2 Agent</t>
  </si>
  <si>
    <t>Tumour response Neoadjuvant  Tx2</t>
  </si>
  <si>
    <t>Neoadjuvant Tx3</t>
  </si>
  <si>
    <t>Neoadjuvant Tx3 Agent</t>
  </si>
  <si>
    <t>Tumour response Neoadjuvant  Tx3</t>
  </si>
  <si>
    <t>Neoadjuvant Tx4</t>
  </si>
  <si>
    <t>Neoadjuvant Tx4 Agent</t>
  </si>
  <si>
    <t>Tumour response Neoadjuvant  Tx4</t>
  </si>
  <si>
    <t>Neoadjuvant Tx5</t>
  </si>
  <si>
    <t>Neoadjuvant Tx5 Agent</t>
  </si>
  <si>
    <t>Tumour response Neoadjuvant  Tx5</t>
  </si>
  <si>
    <t>Neoadjuvant Tx6</t>
  </si>
  <si>
    <t>Neoadjuvant Tx6 Agent</t>
  </si>
  <si>
    <t>Tumour response Neoadjuvant  Tx6</t>
  </si>
  <si>
    <t>Neoadjuvant Tx7</t>
  </si>
  <si>
    <t>Neoadjuvant Tx7 Agent</t>
  </si>
  <si>
    <t>Tumour response Neoadjuvant  Tx7</t>
  </si>
  <si>
    <t>Neoadjuvant Tx8</t>
  </si>
  <si>
    <t>Neoadjuvant Tx8 Agent</t>
  </si>
  <si>
    <t>Tumour response Neoadjuvant  Tx8</t>
  </si>
  <si>
    <t>Neoadjuvant Tx9</t>
  </si>
  <si>
    <t>Neoadjuvant Tx9 Agent</t>
  </si>
  <si>
    <t>Tumour response Neoadjuvant  Tx9</t>
  </si>
  <si>
    <t>Neoadjuvant Tx10</t>
  </si>
  <si>
    <t>Neoadjuvant Tx10 Agent</t>
  </si>
  <si>
    <t>Tumour response Neoadjuvant Tx10</t>
  </si>
  <si>
    <t>Adjuvant Tx1</t>
  </si>
  <si>
    <t>Adjuvant Tx1 Agent</t>
  </si>
  <si>
    <t>Adjuvant Tx1 Start Date</t>
  </si>
  <si>
    <t>Adjuvant Tx1 End Date</t>
  </si>
  <si>
    <t>Tumour response Adjuvant Tx1</t>
  </si>
  <si>
    <t>Adjuvant Tx2</t>
  </si>
  <si>
    <t>Adjuvant Tx2 Agent</t>
  </si>
  <si>
    <t>Tumour response Adjuvant  Tx2</t>
  </si>
  <si>
    <t>Adjuvant Tx3</t>
  </si>
  <si>
    <t>Adjuvant Tx3 Agent</t>
  </si>
  <si>
    <t>Tumour response Adjuvant  Tx3</t>
  </si>
  <si>
    <t>Adjuvant Tx4</t>
  </si>
  <si>
    <t>Adjuvant Tx4 Agent</t>
  </si>
  <si>
    <t>Tumour response Adjuvant  Tx4</t>
  </si>
  <si>
    <t>Adjuvant Tx5</t>
  </si>
  <si>
    <t>Adjuvant Tx5 Agent</t>
  </si>
  <si>
    <t>Tumour response Adjuvant  Tx5</t>
  </si>
  <si>
    <t>Adjuvant Tx6</t>
  </si>
  <si>
    <t>Adjuvant Tx6 Agent</t>
  </si>
  <si>
    <t>Tumour response Adjuvant  Tx6</t>
  </si>
  <si>
    <t>Adjuvant Tx7</t>
  </si>
  <si>
    <t>Adjuvant Tx7 Agent</t>
  </si>
  <si>
    <t>Tumour response Adjuvant  Tx7</t>
  </si>
  <si>
    <t>Adjuvant Tx8</t>
  </si>
  <si>
    <t>Adjuvant Tx8 Agent</t>
  </si>
  <si>
    <t>Tumour response Adjuvant  Tx8</t>
  </si>
  <si>
    <t>Adjuvant Tx9</t>
  </si>
  <si>
    <t>Adjuvant Tx9 Agent</t>
  </si>
  <si>
    <t>Tumour response Adjuvant  Tx9</t>
  </si>
  <si>
    <t>Adjuvant Tx10</t>
  </si>
  <si>
    <t>Adjuvant Tx10 Agent</t>
  </si>
  <si>
    <t>Tumour response Adjuvant Tx10</t>
  </si>
  <si>
    <t>Adjuvant Tx11</t>
  </si>
  <si>
    <t>Adjuvant Tx11 Agent</t>
  </si>
  <si>
    <t>Tumour response Adjuvant Tx11</t>
  </si>
  <si>
    <t>Adjuvant Tx12</t>
  </si>
  <si>
    <t>Adjuvant Tx12 Agent</t>
  </si>
  <si>
    <t>Tumour response Adjuvant Tx12</t>
  </si>
  <si>
    <t>Adjuvant Tx13</t>
  </si>
  <si>
    <t>Adjuvant Tx13 Agent</t>
  </si>
  <si>
    <t>Tumour response Adjuvant Tx13</t>
  </si>
  <si>
    <t>Adjuvant Tx14</t>
  </si>
  <si>
    <t>Adjuvant Tx14 Agent</t>
  </si>
  <si>
    <t>Tumour response Adjuvant Tx14</t>
  </si>
  <si>
    <t>Adjuvant Tx15</t>
  </si>
  <si>
    <t>Adjuvant Tx15 Agent</t>
  </si>
  <si>
    <t>Tumour response Adjuvant Tx15</t>
  </si>
  <si>
    <t>Date recurrence/ progression 1</t>
  </si>
  <si>
    <t>Sites recurrence/ progression 1</t>
  </si>
  <si>
    <t>Subsequent Tx1</t>
  </si>
  <si>
    <t>Subsequent Tx1 Agent</t>
  </si>
  <si>
    <t>Subsequent Tx1 Start Date</t>
  </si>
  <si>
    <t>Subsequent Tx1        End Date</t>
  </si>
  <si>
    <t>Tumour response to Subsequent Tx1</t>
  </si>
  <si>
    <t>Subsequent Tx2</t>
  </si>
  <si>
    <t>Subsequent Tx2 Agent</t>
  </si>
  <si>
    <t>Tumour response to Subsequent Tx2</t>
  </si>
  <si>
    <t>Subsequent Tx3</t>
  </si>
  <si>
    <t>Subsequent Tx3 Agent</t>
  </si>
  <si>
    <t>Tumour response to Subsequent Tx3</t>
  </si>
  <si>
    <t>Subsequent Tx4</t>
  </si>
  <si>
    <t>Subsequent Tx4 Agent</t>
  </si>
  <si>
    <t>Tumour response to Subsequent Tx4</t>
  </si>
  <si>
    <t>Subsequent Tx5</t>
  </si>
  <si>
    <t>Subsequent Tx5 Agent</t>
  </si>
  <si>
    <t>Tumour response to Subsequent Tx5</t>
  </si>
  <si>
    <t>Subsequent Tx6</t>
  </si>
  <si>
    <t>Subsequent Tx6 Agent</t>
  </si>
  <si>
    <t>Tumour response to Subsequent Tx6</t>
  </si>
  <si>
    <t>Subsequent Tx7</t>
  </si>
  <si>
    <t>Subsequent Tx7 Agent</t>
  </si>
  <si>
    <t>Tumour response to Subsequent Tx7</t>
  </si>
  <si>
    <t>Subsequent Tx8</t>
  </si>
  <si>
    <t>Subsequent Tx8 Agent</t>
  </si>
  <si>
    <t>Tumour response to Subsequent Tx8</t>
  </si>
  <si>
    <t>Subsequent Tx9</t>
  </si>
  <si>
    <t>Subsequent Tx9 Agent</t>
  </si>
  <si>
    <t>Tumour response to Subsequent Tx9</t>
  </si>
  <si>
    <t>Subsequent Tx10</t>
  </si>
  <si>
    <t>Subsequent Tx10 Agent</t>
  </si>
  <si>
    <t>Tumour response to Subsequent Tx10</t>
  </si>
  <si>
    <t>Subsequent Tx11</t>
  </si>
  <si>
    <t>Subsequent Tx11 Agent</t>
  </si>
  <si>
    <t>Tumour response to Subsequent Tx11</t>
  </si>
  <si>
    <t>Subsequent Tx12</t>
  </si>
  <si>
    <t>Subsequent Tx12 Agent</t>
  </si>
  <si>
    <t>Tumour response to Subsequent Tx12</t>
  </si>
  <si>
    <t>Subsequent Tx13</t>
  </si>
  <si>
    <t>Subsequent Tx13 Agent</t>
  </si>
  <si>
    <t>Tumour response to Subsequent Tx13</t>
  </si>
  <si>
    <t>Subsequent Tx14</t>
  </si>
  <si>
    <t>Subsequent Tx14 Agent</t>
  </si>
  <si>
    <t>Tumour response to Subsequent Tx14</t>
  </si>
  <si>
    <t>Subsequent Tx15</t>
  </si>
  <si>
    <t>Subsequent Tx15 Agent</t>
  </si>
  <si>
    <t>Tumour response to Subsequent Tx15</t>
  </si>
  <si>
    <t>Current Status</t>
  </si>
  <si>
    <t>Death date</t>
  </si>
  <si>
    <t>Death tumour related</t>
  </si>
  <si>
    <t>Cause of death</t>
  </si>
  <si>
    <t>Date last follow-up</t>
  </si>
  <si>
    <t>Date Last Seen</t>
  </si>
  <si>
    <t>Comments from clinical team</t>
  </si>
  <si>
    <t>TTE Neoadjuvant Tx1 Start Date</t>
  </si>
  <si>
    <t>TTE Neoadjuvant Tx1 End Date</t>
  </si>
  <si>
    <t>TTE Specimen surgery date</t>
  </si>
  <si>
    <t xml:space="preserve">TTE Primary Surgery date </t>
  </si>
  <si>
    <t xml:space="preserve">TTE Matched met 1 Surgery Date </t>
  </si>
  <si>
    <t xml:space="preserve">TTE Matched met 2 Surgery Date </t>
  </si>
  <si>
    <t xml:space="preserve">TTE Matched met 3 Surgery Date </t>
  </si>
  <si>
    <t xml:space="preserve">TTE Matched met 4 Surgery Date </t>
  </si>
  <si>
    <t xml:space="preserve">TTE Matched met 5 Surgery Date </t>
  </si>
  <si>
    <t xml:space="preserve">TTE Matched Normal tissue Surgery Date </t>
  </si>
  <si>
    <t>TTE Adjuvant Tx1 Start Date</t>
  </si>
  <si>
    <t>TTE Adjuvant Tx1 End Date</t>
  </si>
  <si>
    <t>TTE Date recurrence/ progression 1</t>
  </si>
  <si>
    <t>TTE Subsequent Tx1 Start Date</t>
  </si>
  <si>
    <t>TTE Subsequent Tx1 End Date</t>
  </si>
  <si>
    <t>TTE Recurrence (PFS)</t>
  </si>
  <si>
    <t>TTE Death (OS and PFS)</t>
  </si>
  <si>
    <t>TTE Date last follow-up (PFS)</t>
  </si>
  <si>
    <t>TTE Date last seen (OS)</t>
  </si>
  <si>
    <t>TTE Overall survival (OS) in months</t>
  </si>
  <si>
    <t>TTE Progression free survival (PFS) in months</t>
  </si>
  <si>
    <t>Event (recurrence/progression)</t>
  </si>
  <si>
    <t>Event (cancer death)</t>
  </si>
  <si>
    <t>Event (death; all causes)</t>
  </si>
  <si>
    <t>Event (recurrence or cancer death)</t>
  </si>
  <si>
    <t>No</t>
  </si>
  <si>
    <t>Treatment naïve</t>
  </si>
  <si>
    <t>LH18-25699</t>
  </si>
  <si>
    <t>A11</t>
  </si>
  <si>
    <t>A12</t>
  </si>
  <si>
    <t>Laparoscopic extensive adhesiolysis, total hysterectomy and bilateral salpingo-oophorectomy</t>
  </si>
  <si>
    <t>Uterine corpus (Endomyometrium)</t>
  </si>
  <si>
    <t>N/A</t>
  </si>
  <si>
    <t>F</t>
  </si>
  <si>
    <t>Mixed endometrioid and serous adenocarcinoma</t>
  </si>
  <si>
    <t>Specimen</t>
  </si>
  <si>
    <t>Yes</t>
  </si>
  <si>
    <t>1a</t>
  </si>
  <si>
    <t>NR</t>
  </si>
  <si>
    <t>T1AN0M0</t>
  </si>
  <si>
    <t>Figo</t>
  </si>
  <si>
    <t>IA</t>
  </si>
  <si>
    <t>Alive</t>
  </si>
  <si>
    <t>LH18-26339</t>
  </si>
  <si>
    <t>A13</t>
  </si>
  <si>
    <t>A15</t>
  </si>
  <si>
    <t>Staging for endometrial cancer: TLH, BSO, Pelvic Lymphadenectomy, washings, and adhesiolysis</t>
  </si>
  <si>
    <t>Endometrioid adenocarcinoma</t>
  </si>
  <si>
    <t>T2N0M0</t>
  </si>
  <si>
    <t>II</t>
  </si>
  <si>
    <t>Radiotherapy</t>
  </si>
  <si>
    <t>Brachytherapy 27Gy in 6# (Vaginal Vault)</t>
  </si>
  <si>
    <t>Lung (New Mets)</t>
  </si>
  <si>
    <t>Basal cell carcinoma of eyelid and Previous Left Breast Cancer</t>
  </si>
  <si>
    <t>LH18-27900</t>
  </si>
  <si>
    <t>A7</t>
  </si>
  <si>
    <t>A6</t>
  </si>
  <si>
    <t>Total Abdominal Hysterectomy; Bilateral Salpingo-oophorectomy; Extensive adhesiolysis; Peritoneal washings.</t>
  </si>
  <si>
    <t>Uterine corpus (anterior endomyometrium)</t>
  </si>
  <si>
    <t>Endometrioid carcinoma</t>
  </si>
  <si>
    <t>Skin (New Mets)</t>
  </si>
  <si>
    <t>Hormone therapy</t>
  </si>
  <si>
    <t>Letrozole 2.5mg daily</t>
  </si>
  <si>
    <t>PD</t>
  </si>
  <si>
    <t>8Gy in 1# (Uterus)</t>
  </si>
  <si>
    <t>Tamoxifen 40mg, Megace 80mg</t>
  </si>
  <si>
    <t>Deceased</t>
  </si>
  <si>
    <t>Metastatic Endometrial Cancer</t>
  </si>
  <si>
    <t>LH18-28277</t>
  </si>
  <si>
    <t>Adhesiolysis/Total laparoscopic hysterectomy/Bilateral salpingo-oophorectomy</t>
  </si>
  <si>
    <t>Carcinosarcoma with G3 endometrioid epithelial component</t>
  </si>
  <si>
    <t>Pouch of Douglas (Recurrence)</t>
  </si>
  <si>
    <t>20Gy in 5# (Pelvis)</t>
  </si>
  <si>
    <t>SD</t>
  </si>
  <si>
    <t>LH18-28644</t>
  </si>
  <si>
    <t>A17</t>
  </si>
  <si>
    <t>Laparoscopic hysterectomy, bilateral salpingo-oophorectomy</t>
  </si>
  <si>
    <t>1b</t>
  </si>
  <si>
    <t>T1BN0M0</t>
  </si>
  <si>
    <t>IB</t>
  </si>
  <si>
    <t>Therapy type</t>
  </si>
  <si>
    <t>Yes/No</t>
  </si>
  <si>
    <r>
      <rPr>
        <sz val="10"/>
        <color rgb="FFFF0000"/>
        <rFont val="Calibri Light"/>
        <family val="2"/>
        <scheme val="major"/>
      </rPr>
      <t>Red text</t>
    </r>
    <r>
      <rPr>
        <sz val="10"/>
        <color rgb="FF000000"/>
        <rFont val="Calibri Light"/>
        <family val="2"/>
        <scheme val="major"/>
      </rPr>
      <t xml:space="preserve"> = cells to select for formula</t>
    </r>
  </si>
  <si>
    <t>AJCC</t>
  </si>
  <si>
    <t>When copying and pasting formulas, you need to delete the ' before the =</t>
  </si>
  <si>
    <t>Chemotherapy</t>
  </si>
  <si>
    <t>Immunotherapy naïve</t>
  </si>
  <si>
    <t>Primary tumour</t>
  </si>
  <si>
    <t>AJCC 5</t>
  </si>
  <si>
    <t>Header</t>
  </si>
  <si>
    <t>Column</t>
  </si>
  <si>
    <t>Immunotherapy</t>
  </si>
  <si>
    <t>Immunotherapy only</t>
  </si>
  <si>
    <t>Other specimen</t>
  </si>
  <si>
    <t>AJCC 6</t>
  </si>
  <si>
    <t>A</t>
  </si>
  <si>
    <t>Mixed therapy</t>
  </si>
  <si>
    <t>Mixed treatment</t>
  </si>
  <si>
    <t>AJCC 7</t>
  </si>
  <si>
    <t>B</t>
  </si>
  <si>
    <t>Age at diagnosis</t>
  </si>
  <si>
    <t>=DATEDIF(DOB, DODx,"Y")</t>
  </si>
  <si>
    <t>AJCC 8</t>
  </si>
  <si>
    <t>C</t>
  </si>
  <si>
    <t>Quarter formula</t>
  </si>
  <si>
    <r>
      <rPr>
        <sz val="10"/>
        <color rgb="FF000000"/>
        <rFont val="Calibri Light"/>
        <family val="2"/>
        <scheme val="major"/>
      </rPr>
      <t>=IFERROR("Q" &amp;INT((MONTH(</t>
    </r>
    <r>
      <rPr>
        <sz val="10"/>
        <color rgb="FFFF0000"/>
        <rFont val="Calibri Light"/>
        <family val="2"/>
        <scheme val="major"/>
      </rPr>
      <t>cell with date</t>
    </r>
    <r>
      <rPr>
        <sz val="10"/>
        <color rgb="FF000000"/>
        <rFont val="Calibri Light"/>
        <family val="2"/>
        <scheme val="major"/>
      </rPr>
      <t>)+2)/3) &amp; "-" &amp; YEAR(</t>
    </r>
    <r>
      <rPr>
        <sz val="10"/>
        <color rgb="FFFF0000"/>
        <rFont val="Calibri Light"/>
        <family val="2"/>
        <scheme val="major"/>
      </rPr>
      <t>same cell with date</t>
    </r>
    <r>
      <rPr>
        <sz val="10"/>
        <color rgb="FF000000"/>
        <rFont val="Calibri Light"/>
        <family val="2"/>
        <scheme val="major"/>
      </rPr>
      <t>),"N/A")</t>
    </r>
  </si>
  <si>
    <t>Antibody-drug-conjugates</t>
  </si>
  <si>
    <t>D</t>
  </si>
  <si>
    <t>The months between two dates in decimals</t>
  </si>
  <si>
    <r>
      <rPr>
        <sz val="10"/>
        <color rgb="FF000000"/>
        <rFont val="Calibri Light"/>
        <family val="2"/>
        <scheme val="major"/>
      </rPr>
      <t>=IFERROR(INT((</t>
    </r>
    <r>
      <rPr>
        <sz val="10"/>
        <color rgb="FFFF0000"/>
        <rFont val="Calibri Light"/>
        <family val="2"/>
        <scheme val="major"/>
      </rPr>
      <t>cell with event date</t>
    </r>
    <r>
      <rPr>
        <sz val="10"/>
        <color rgb="FF000000"/>
        <rFont val="Calibri Light"/>
        <family val="2"/>
        <scheme val="major"/>
      </rPr>
      <t xml:space="preserve"> - </t>
    </r>
    <r>
      <rPr>
        <sz val="10"/>
        <color rgb="FFFF0000"/>
        <rFont val="Calibri Light"/>
        <family val="2"/>
        <scheme val="major"/>
      </rPr>
      <t>DODx</t>
    </r>
    <r>
      <rPr>
        <sz val="10"/>
        <color rgb="FF000000"/>
        <rFont val="Calibri Light"/>
        <family val="2"/>
        <scheme val="major"/>
      </rPr>
      <t>)/30),"N/A")</t>
    </r>
  </si>
  <si>
    <t>Other</t>
  </si>
  <si>
    <t>E</t>
  </si>
  <si>
    <t>OS</t>
  </si>
  <si>
    <r>
      <t>=SUM(</t>
    </r>
    <r>
      <rPr>
        <sz val="10"/>
        <color rgb="FFFF0000"/>
        <rFont val="Calibri Light"/>
        <family val="2"/>
        <scheme val="major"/>
      </rPr>
      <t>time to event death</t>
    </r>
    <r>
      <rPr>
        <sz val="10"/>
        <color rgb="FF000000"/>
        <rFont val="Calibri Light"/>
        <family val="2"/>
        <scheme val="major"/>
      </rPr>
      <t>,Time to event date last seen)</t>
    </r>
  </si>
  <si>
    <t>PFS</t>
  </si>
  <si>
    <r>
      <rPr>
        <sz val="10"/>
        <color rgb="FF000000"/>
        <rFont val="Calibri Light"/>
        <family val="2"/>
        <scheme val="major"/>
      </rPr>
      <t>=INDEX(</t>
    </r>
    <r>
      <rPr>
        <sz val="10"/>
        <color rgb="FFFF0000"/>
        <rFont val="Calibri Light"/>
        <family val="2"/>
        <scheme val="major"/>
      </rPr>
      <t>Time to event recurrence</t>
    </r>
    <r>
      <rPr>
        <sz val="10"/>
        <color rgb="FF000000"/>
        <rFont val="Calibri Light"/>
        <family val="2"/>
        <scheme val="major"/>
      </rPr>
      <t>;</t>
    </r>
    <r>
      <rPr>
        <sz val="10"/>
        <color rgb="FFFF0000"/>
        <rFont val="Calibri Light"/>
        <family val="2"/>
        <scheme val="major"/>
      </rPr>
      <t>time to event death</t>
    </r>
    <r>
      <rPr>
        <sz val="10"/>
        <color rgb="FF000000"/>
        <rFont val="Calibri Light"/>
        <family val="2"/>
        <scheme val="major"/>
      </rPr>
      <t>;</t>
    </r>
    <r>
      <rPr>
        <sz val="10"/>
        <color rgb="FFFF0000"/>
        <rFont val="Calibri Light"/>
        <family val="2"/>
        <scheme val="major"/>
      </rPr>
      <t>Time to event date last follow-up</t>
    </r>
    <r>
      <rPr>
        <sz val="10"/>
        <color rgb="FF000000"/>
        <rFont val="Calibri Light"/>
        <family val="2"/>
        <scheme val="major"/>
      </rPr>
      <t>,MATCH(TRUE,INDEX(ISNUMBER(),0),0))</t>
    </r>
  </si>
  <si>
    <t>G</t>
  </si>
  <si>
    <r>
      <t>=IF(</t>
    </r>
    <r>
      <rPr>
        <sz val="10"/>
        <color rgb="FFFF0000"/>
        <rFont val="Calibri Light"/>
        <family val="2"/>
        <scheme val="major"/>
      </rPr>
      <t>Time to event recurrence</t>
    </r>
    <r>
      <rPr>
        <sz val="10"/>
        <color rgb="FF000000"/>
        <rFont val="Calibri Light"/>
        <family val="2"/>
        <scheme val="major"/>
      </rPr>
      <t>="N/A",0,1)</t>
    </r>
  </si>
  <si>
    <t>H</t>
  </si>
  <si>
    <r>
      <t>=IF(=</t>
    </r>
    <r>
      <rPr>
        <sz val="10"/>
        <color rgb="FFFF0000"/>
        <rFont val="Calibri Light"/>
        <family val="2"/>
        <scheme val="major"/>
      </rPr>
      <t>Death due to tumour/ assumed tumour related</t>
    </r>
    <r>
      <rPr>
        <sz val="10"/>
        <color rgb="FF000000"/>
        <rFont val="Calibri Light"/>
        <family val="2"/>
        <scheme val="major"/>
      </rPr>
      <t xml:space="preserve"> Yes/No"Yes",1,0)</t>
    </r>
  </si>
  <si>
    <t>I</t>
  </si>
  <si>
    <r>
      <t>=IF(</t>
    </r>
    <r>
      <rPr>
        <sz val="10"/>
        <color rgb="FFFF0000"/>
        <rFont val="Calibri Light"/>
        <family val="2"/>
        <scheme val="major"/>
      </rPr>
      <t>time to event death</t>
    </r>
    <r>
      <rPr>
        <sz val="10"/>
        <color rgb="FF000000"/>
        <rFont val="Calibri Light"/>
        <family val="2"/>
        <scheme val="major"/>
      </rPr>
      <t>="N/A",0,1)</t>
    </r>
  </si>
  <si>
    <t>J</t>
  </si>
  <si>
    <r>
      <t>=IF(OR(</t>
    </r>
    <r>
      <rPr>
        <sz val="10"/>
        <color rgb="FFFF0000"/>
        <rFont val="Calibri Light"/>
        <family val="2"/>
        <scheme val="major"/>
      </rPr>
      <t>Event recurrence/progression</t>
    </r>
    <r>
      <rPr>
        <sz val="10"/>
        <color rgb="FF000000"/>
        <rFont val="Calibri Light"/>
        <family val="2"/>
        <scheme val="major"/>
      </rPr>
      <t>=1,</t>
    </r>
    <r>
      <rPr>
        <sz val="10"/>
        <color rgb="FFFF0000"/>
        <rFont val="Calibri Light"/>
        <family val="2"/>
        <scheme val="major"/>
      </rPr>
      <t>Event cancer death</t>
    </r>
    <r>
      <rPr>
        <sz val="10"/>
        <color rgb="FF000000"/>
        <rFont val="Calibri Light"/>
        <family val="2"/>
        <scheme val="major"/>
      </rPr>
      <t>=1),"1","0")</t>
    </r>
  </si>
  <si>
    <t>K</t>
  </si>
  <si>
    <t>Combine TNM</t>
  </si>
  <si>
    <r>
      <t>=CONCATENATE("T",</t>
    </r>
    <r>
      <rPr>
        <sz val="10"/>
        <color rgb="FFFF0000"/>
        <rFont val="Calibri Light"/>
        <family val="2"/>
        <scheme val="major"/>
      </rPr>
      <t>cell with pT,</t>
    </r>
    <r>
      <rPr>
        <sz val="10"/>
        <color rgb="FF000000"/>
        <rFont val="Calibri Light"/>
        <family val="2"/>
        <scheme val="major"/>
      </rPr>
      <t>"N",</t>
    </r>
    <r>
      <rPr>
        <sz val="10"/>
        <color rgb="FFFF0000"/>
        <rFont val="Calibri Light"/>
        <family val="2"/>
        <scheme val="major"/>
      </rPr>
      <t>cell with pN</t>
    </r>
    <r>
      <rPr>
        <sz val="10"/>
        <color rgb="FF000000"/>
        <rFont val="Calibri Light"/>
        <family val="2"/>
        <scheme val="major"/>
      </rPr>
      <t>,"M",</t>
    </r>
    <r>
      <rPr>
        <sz val="10"/>
        <color rgb="FFFF0000"/>
        <rFont val="Calibri Light"/>
        <family val="2"/>
        <scheme val="major"/>
      </rPr>
      <t>cell with cM</t>
    </r>
    <r>
      <rPr>
        <sz val="10"/>
        <color rgb="FF000000"/>
        <rFont val="Calibri Light"/>
        <family val="2"/>
        <scheme val="major"/>
      </rPr>
      <t>)</t>
    </r>
  </si>
  <si>
    <t>L</t>
  </si>
  <si>
    <t>Combine text from 2 cells</t>
  </si>
  <si>
    <r>
      <t>=</t>
    </r>
    <r>
      <rPr>
        <sz val="10"/>
        <color rgb="FFFF0000"/>
        <rFont val="Calibri Light"/>
        <family val="2"/>
        <scheme val="major"/>
      </rPr>
      <t>cell number</t>
    </r>
    <r>
      <rPr>
        <sz val="10"/>
        <color rgb="FF000000"/>
        <rFont val="Calibri Light"/>
        <family val="2"/>
        <scheme val="major"/>
      </rPr>
      <t>&amp;" "&amp;</t>
    </r>
    <r>
      <rPr>
        <sz val="10"/>
        <color rgb="FFFF0000"/>
        <rFont val="Calibri Light"/>
        <family val="2"/>
        <scheme val="major"/>
      </rPr>
      <t>second cell</t>
    </r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</si>
  <si>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</si>
  <si>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</si>
  <si>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</si>
  <si>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</si>
  <si>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</si>
  <si>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</si>
  <si>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</si>
  <si>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</si>
  <si>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</si>
  <si>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</si>
  <si>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</si>
  <si>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</si>
  <si>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</si>
  <si>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</si>
  <si>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</si>
  <si>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</si>
  <si>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</si>
  <si>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</si>
  <si>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</si>
  <si>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</si>
  <si>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</si>
  <si>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</si>
  <si>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</si>
  <si>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</si>
  <si>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</si>
  <si>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</si>
  <si>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AM</t>
  </si>
  <si>
    <t>AN</t>
  </si>
  <si>
    <t>AO</t>
  </si>
  <si>
    <t>AP</t>
  </si>
  <si>
    <t>AQ</t>
  </si>
  <si>
    <t>AR</t>
  </si>
  <si>
    <t>AS</t>
  </si>
  <si>
    <t>AT</t>
  </si>
  <si>
    <t>AU</t>
  </si>
  <si>
    <t>AV</t>
  </si>
  <si>
    <t>AW</t>
  </si>
  <si>
    <t>AX</t>
  </si>
  <si>
    <t>AY</t>
  </si>
  <si>
    <t>AZ</t>
  </si>
  <si>
    <t>BA</t>
  </si>
  <si>
    <t>BB</t>
  </si>
  <si>
    <t>BC</t>
  </si>
  <si>
    <t>BD</t>
  </si>
  <si>
    <t>BE</t>
  </si>
  <si>
    <t>BF</t>
  </si>
  <si>
    <t>BG</t>
  </si>
  <si>
    <t>BH</t>
  </si>
  <si>
    <t>BI</t>
  </si>
  <si>
    <t>BJ</t>
  </si>
  <si>
    <t>BK</t>
  </si>
  <si>
    <t>BL</t>
  </si>
  <si>
    <t>BM</t>
  </si>
  <si>
    <t>BN</t>
  </si>
  <si>
    <t>Neoadjuvant Tx2 Start Date</t>
  </si>
  <si>
    <t>BO</t>
  </si>
  <si>
    <t>Neoadjuvant Tx2 End Date</t>
  </si>
  <si>
    <t>BP</t>
  </si>
  <si>
    <t>BQ</t>
  </si>
  <si>
    <t>BR</t>
  </si>
  <si>
    <t>BS</t>
  </si>
  <si>
    <t>Neoadjuvant Tx3 Start Date</t>
  </si>
  <si>
    <t>BT</t>
  </si>
  <si>
    <t>Neoadjuvant Tx3 End Date</t>
  </si>
  <si>
    <t>BU</t>
  </si>
  <si>
    <t>BV</t>
  </si>
  <si>
    <t>BW</t>
  </si>
  <si>
    <t>BX</t>
  </si>
  <si>
    <t>Neoadjuvant Tx4 Start Date</t>
  </si>
  <si>
    <t>BY</t>
  </si>
  <si>
    <t>Neoadjuvant Tx4 End Date</t>
  </si>
  <si>
    <t>BZ</t>
  </si>
  <si>
    <t>CA</t>
  </si>
  <si>
    <t>CB</t>
  </si>
  <si>
    <t>CC</t>
  </si>
  <si>
    <t>Neoadjuvant Tx5 Start Date</t>
  </si>
  <si>
    <t>CD</t>
  </si>
  <si>
    <t>Neoadjuvant Tx5 End Date</t>
  </si>
  <si>
    <t>CE</t>
  </si>
  <si>
    <t>CF</t>
  </si>
  <si>
    <t>CG</t>
  </si>
  <si>
    <t>CH</t>
  </si>
  <si>
    <t>Neoadjuvant Tx6 Start Date</t>
  </si>
  <si>
    <t>CI</t>
  </si>
  <si>
    <t>Neoadjuvant Tx6 End Date</t>
  </si>
  <si>
    <t>CJ</t>
  </si>
  <si>
    <t>CK</t>
  </si>
  <si>
    <t>CL</t>
  </si>
  <si>
    <t>CM</t>
  </si>
  <si>
    <t>Neoadjuvant Tx7 Start Date</t>
  </si>
  <si>
    <t>CN</t>
  </si>
  <si>
    <t>Neoadjuvant Tx7 End Date</t>
  </si>
  <si>
    <t>CO</t>
  </si>
  <si>
    <t>CP</t>
  </si>
  <si>
    <t>CQ</t>
  </si>
  <si>
    <t>CR</t>
  </si>
  <si>
    <t>Neoadjuvant Tx8 Start Date</t>
  </si>
  <si>
    <t>CS</t>
  </si>
  <si>
    <t>Neoadjuvant Tx8 End Date</t>
  </si>
  <si>
    <t>CT</t>
  </si>
  <si>
    <t>CU</t>
  </si>
  <si>
    <t>CV</t>
  </si>
  <si>
    <t>CW</t>
  </si>
  <si>
    <t>Neoadjuvant Tx9 Start Date</t>
  </si>
  <si>
    <t>CX</t>
  </si>
  <si>
    <t>Neoadjuvant Tx9 End Date</t>
  </si>
  <si>
    <t>CY</t>
  </si>
  <si>
    <t>CZ</t>
  </si>
  <si>
    <t>DA</t>
  </si>
  <si>
    <t>DB</t>
  </si>
  <si>
    <t>Neoadjuvant Tx10 Start Date</t>
  </si>
  <si>
    <t>DC</t>
  </si>
  <si>
    <t>Neoadjuvant Tx10 End Date</t>
  </si>
  <si>
    <t>DD</t>
  </si>
  <si>
    <t>DE</t>
  </si>
  <si>
    <t>DF</t>
  </si>
  <si>
    <t>DG</t>
  </si>
  <si>
    <t>DH</t>
  </si>
  <si>
    <t>DI</t>
  </si>
  <si>
    <t>DJ</t>
  </si>
  <si>
    <t>DK</t>
  </si>
  <si>
    <t>DL</t>
  </si>
  <si>
    <t>Adjuvant Tx2 Start Date</t>
  </si>
  <si>
    <t>DM</t>
  </si>
  <si>
    <t>Adjuvant Tx2 End Date</t>
  </si>
  <si>
    <t>DN</t>
  </si>
  <si>
    <t>DO</t>
  </si>
  <si>
    <t>DP</t>
  </si>
  <si>
    <t>DQ</t>
  </si>
  <si>
    <t>Adjuvant Tx3 Start Date</t>
  </si>
  <si>
    <t>DR</t>
  </si>
  <si>
    <t>Adjuvant Tx3 End Date</t>
  </si>
  <si>
    <t>DS</t>
  </si>
  <si>
    <t>DT</t>
  </si>
  <si>
    <t>DU</t>
  </si>
  <si>
    <t>DV</t>
  </si>
  <si>
    <t>Adjuvant Tx4 Start Date</t>
  </si>
  <si>
    <t>DW</t>
  </si>
  <si>
    <t>Adjuvant Tx4 End Date</t>
  </si>
  <si>
    <t>DX</t>
  </si>
  <si>
    <t>DY</t>
  </si>
  <si>
    <t>DZ</t>
  </si>
  <si>
    <t>EA</t>
  </si>
  <si>
    <t>Adjuvant Tx5 Start Date</t>
  </si>
  <si>
    <t>EB</t>
  </si>
  <si>
    <t>Adjuvant Tx5 End Date</t>
  </si>
  <si>
    <t>EC</t>
  </si>
  <si>
    <t>ED</t>
  </si>
  <si>
    <t>EE</t>
  </si>
  <si>
    <t>EF</t>
  </si>
  <si>
    <t>Adjuvant Tx6 Start Date</t>
  </si>
  <si>
    <t>EG</t>
  </si>
  <si>
    <t>Adjuvant Tx6 End Date</t>
  </si>
  <si>
    <t>EH</t>
  </si>
  <si>
    <t>EI</t>
  </si>
  <si>
    <t>EJ</t>
  </si>
  <si>
    <t>EK</t>
  </si>
  <si>
    <t>Adjuvant Tx7 Start Date</t>
  </si>
  <si>
    <t>EL</t>
  </si>
  <si>
    <t>Adjuvant Tx7 End Date</t>
  </si>
  <si>
    <t>EM</t>
  </si>
  <si>
    <t>EN</t>
  </si>
  <si>
    <t>EO</t>
  </si>
  <si>
    <t>EP</t>
  </si>
  <si>
    <t>Adjuvant Tx8 Start Date</t>
  </si>
  <si>
    <t>EQ</t>
  </si>
  <si>
    <t>Adjuvant Tx8 End Date</t>
  </si>
  <si>
    <t>ER</t>
  </si>
  <si>
    <t>ES</t>
  </si>
  <si>
    <t>ET</t>
  </si>
  <si>
    <t>EU</t>
  </si>
  <si>
    <t>Adjuvant Tx9 Start Date</t>
  </si>
  <si>
    <t>EV</t>
  </si>
  <si>
    <t>Adjuvant Tx9 End Date</t>
  </si>
  <si>
    <t>EW</t>
  </si>
  <si>
    <t>EX</t>
  </si>
  <si>
    <t>EY</t>
  </si>
  <si>
    <t>EZ</t>
  </si>
  <si>
    <t>Adjuvant Tx10 Start Date</t>
  </si>
  <si>
    <t>FA</t>
  </si>
  <si>
    <t>Adjuvant Tx10 End Date</t>
  </si>
  <si>
    <t>FB</t>
  </si>
  <si>
    <t>FC</t>
  </si>
  <si>
    <t>FD</t>
  </si>
  <si>
    <t>FE</t>
  </si>
  <si>
    <t>Adjuvant Tx11 Start Date</t>
  </si>
  <si>
    <t>FF</t>
  </si>
  <si>
    <t>Adjuvant Tx11 End Date</t>
  </si>
  <si>
    <t>FG</t>
  </si>
  <si>
    <t>FH</t>
  </si>
  <si>
    <t>FI</t>
  </si>
  <si>
    <t>FJ</t>
  </si>
  <si>
    <t>Adjuvant Tx12 Start Date</t>
  </si>
  <si>
    <t>FK</t>
  </si>
  <si>
    <t>Adjuvant Tx12 End Date</t>
  </si>
  <si>
    <t>FL</t>
  </si>
  <si>
    <t>FM</t>
  </si>
  <si>
    <t>FN</t>
  </si>
  <si>
    <t>FO</t>
  </si>
  <si>
    <t>Adjuvant Tx13 Start Date</t>
  </si>
  <si>
    <t>FP</t>
  </si>
  <si>
    <t>Adjuvant Tx13 End Date</t>
  </si>
  <si>
    <t>FQ</t>
  </si>
  <si>
    <t>FR</t>
  </si>
  <si>
    <t>FS</t>
  </si>
  <si>
    <t>FT</t>
  </si>
  <si>
    <t>Adjuvant Tx14 Start Date</t>
  </si>
  <si>
    <t>FU</t>
  </si>
  <si>
    <t>Adjuvant Tx14 End Date</t>
  </si>
  <si>
    <t>FV</t>
  </si>
  <si>
    <t>FW</t>
  </si>
  <si>
    <t>FX</t>
  </si>
  <si>
    <t>FY</t>
  </si>
  <si>
    <t>Adjuvant Tx15 Start Date</t>
  </si>
  <si>
    <t>FZ</t>
  </si>
  <si>
    <t>Adjuvant Tx15 End Date</t>
  </si>
  <si>
    <t>GA</t>
  </si>
  <si>
    <t>GB</t>
  </si>
  <si>
    <t>GC</t>
  </si>
  <si>
    <t>GD</t>
  </si>
  <si>
    <t>Date recurrence/ progression 2</t>
  </si>
  <si>
    <t>GE</t>
  </si>
  <si>
    <t>Sites recurrence/ progression 2</t>
  </si>
  <si>
    <t>GF</t>
  </si>
  <si>
    <t>Date recurrence/ progression 3</t>
  </si>
  <si>
    <t>GG</t>
  </si>
  <si>
    <t>Sites recurrence/ progression 3</t>
  </si>
  <si>
    <t>GH</t>
  </si>
  <si>
    <t>Date recurrence/ progression 4</t>
  </si>
  <si>
    <t>GI</t>
  </si>
  <si>
    <t>Sites recurrence/ progression 4</t>
  </si>
  <si>
    <t>GJ</t>
  </si>
  <si>
    <t>Date recurrence/ progression 5</t>
  </si>
  <si>
    <t>GK</t>
  </si>
  <si>
    <t>Sites recurrence/ progression 5</t>
  </si>
  <si>
    <t>GL</t>
  </si>
  <si>
    <t>Date recurrence/ progression 6</t>
  </si>
  <si>
    <t>GM</t>
  </si>
  <si>
    <t>Sites recurrence/ progression 6</t>
  </si>
  <si>
    <t>GN</t>
  </si>
  <si>
    <t>Date recurrence/ progression 7</t>
  </si>
  <si>
    <t>GO</t>
  </si>
  <si>
    <t>Sites recurrence/ progression 7</t>
  </si>
  <si>
    <t>GP</t>
  </si>
  <si>
    <t>Date recurrence/ progression 8</t>
  </si>
  <si>
    <t>GQ</t>
  </si>
  <si>
    <t>Sites recurrence/ progression 8</t>
  </si>
  <si>
    <t>GR</t>
  </si>
  <si>
    <t>Date recurrence/ progression 9</t>
  </si>
  <si>
    <t>GS</t>
  </si>
  <si>
    <t>Sites recurrence/ progression 9</t>
  </si>
  <si>
    <t>GT</t>
  </si>
  <si>
    <t>Date recurrence/ progression 10</t>
  </si>
  <si>
    <t>GU</t>
  </si>
  <si>
    <t>Sites recurrence/ progression 10</t>
  </si>
  <si>
    <t>GV</t>
  </si>
  <si>
    <t>Date recurrence/ progression 11</t>
  </si>
  <si>
    <t>GW</t>
  </si>
  <si>
    <t>Sites recurrence/ progression 11</t>
  </si>
  <si>
    <t>GX</t>
  </si>
  <si>
    <t>Date recurrence/ progression 12</t>
  </si>
  <si>
    <t>GY</t>
  </si>
  <si>
    <t>Sites recurrence/ progression 12</t>
  </si>
  <si>
    <t>GZ</t>
  </si>
  <si>
    <t>Date recurrence/ progression 13</t>
  </si>
  <si>
    <t>HA</t>
  </si>
  <si>
    <t>Sites recurrence/ progression 13</t>
  </si>
  <si>
    <t>HB</t>
  </si>
  <si>
    <t>Date recurrence/ progression 14</t>
  </si>
  <si>
    <t>HC</t>
  </si>
  <si>
    <t>Sites recurrence/ progression 14</t>
  </si>
  <si>
    <t>HD</t>
  </si>
  <si>
    <t>Date recurrence/ progression 15</t>
  </si>
  <si>
    <t>HE</t>
  </si>
  <si>
    <t>Sites recurrence/ progression 15</t>
  </si>
  <si>
    <t>HF</t>
  </si>
  <si>
    <t>HG</t>
  </si>
  <si>
    <t>HH</t>
  </si>
  <si>
    <t>HI</t>
  </si>
  <si>
    <t>Subsequent Tx1 Finish Date</t>
  </si>
  <si>
    <t>HJ</t>
  </si>
  <si>
    <t>HK</t>
  </si>
  <si>
    <t>HL</t>
  </si>
  <si>
    <t>HM</t>
  </si>
  <si>
    <t>Subsequent Tx2 Start Date</t>
  </si>
  <si>
    <t>HN</t>
  </si>
  <si>
    <t>Subsequent Tx2 Finish Date</t>
  </si>
  <si>
    <t>HO</t>
  </si>
  <si>
    <t>HP</t>
  </si>
  <si>
    <t>HQ</t>
  </si>
  <si>
    <t>HR</t>
  </si>
  <si>
    <t>Subsequent Tx3 Start Date</t>
  </si>
  <si>
    <t>HS</t>
  </si>
  <si>
    <t>Subsequent Tx3 Finish Date</t>
  </si>
  <si>
    <t>HT</t>
  </si>
  <si>
    <t>HU</t>
  </si>
  <si>
    <t>HV</t>
  </si>
  <si>
    <t>HW</t>
  </si>
  <si>
    <t>Subsequent Tx4 Start Date</t>
  </si>
  <si>
    <t>HX</t>
  </si>
  <si>
    <t>Subsequent Tx4 Finish Date</t>
  </si>
  <si>
    <t>HY</t>
  </si>
  <si>
    <t>HZ</t>
  </si>
  <si>
    <t>Subsequent Tx5 Start Date</t>
  </si>
  <si>
    <t>IC</t>
  </si>
  <si>
    <t>Subsequent Tx5 Finish Date</t>
  </si>
  <si>
    <t>ID</t>
  </si>
  <si>
    <t>IE</t>
  </si>
  <si>
    <t>IF</t>
  </si>
  <si>
    <t>IG</t>
  </si>
  <si>
    <t>Subsequent Tx6 Start Date</t>
  </si>
  <si>
    <t>IH</t>
  </si>
  <si>
    <t>Subsequent Tx6 Finish Date</t>
  </si>
  <si>
    <t>IJ</t>
  </si>
  <si>
    <t>IK</t>
  </si>
  <si>
    <t>IL</t>
  </si>
  <si>
    <t>Subsequent Tx7 Start Date</t>
  </si>
  <si>
    <t>IM</t>
  </si>
  <si>
    <t>Subsequent Tx7 Finish Date</t>
  </si>
  <si>
    <t>IN</t>
  </si>
  <si>
    <t>IO</t>
  </si>
  <si>
    <t>IP</t>
  </si>
  <si>
    <t>IQ</t>
  </si>
  <si>
    <t>Subsequent Tx8 Start Date</t>
  </si>
  <si>
    <t>IR</t>
  </si>
  <si>
    <t>Subsequent Tx8 Finish Date</t>
  </si>
  <si>
    <t>IS</t>
  </si>
  <si>
    <t>IT</t>
  </si>
  <si>
    <t>IU</t>
  </si>
  <si>
    <t>IV</t>
  </si>
  <si>
    <t>Subsequent Tx9 Start Date</t>
  </si>
  <si>
    <t>IW</t>
  </si>
  <si>
    <t>Subsequent Tx9 Finish Date</t>
  </si>
  <si>
    <t>IX</t>
  </si>
  <si>
    <t>IY</t>
  </si>
  <si>
    <t>IZ</t>
  </si>
  <si>
    <t>JA</t>
  </si>
  <si>
    <t>Subsequent Tx10 Start Date</t>
  </si>
  <si>
    <t>JB</t>
  </si>
  <si>
    <t>Subsequent Tx10 Finish Date</t>
  </si>
  <si>
    <t>JC</t>
  </si>
  <si>
    <t>JD</t>
  </si>
  <si>
    <t>JE</t>
  </si>
  <si>
    <t>JF</t>
  </si>
  <si>
    <t>Subsequent Tx11 Start Date</t>
  </si>
  <si>
    <t>JG</t>
  </si>
  <si>
    <t>Subsequent Tx11 Finish Date</t>
  </si>
  <si>
    <t>JH</t>
  </si>
  <si>
    <t>JI</t>
  </si>
  <si>
    <t>JJ</t>
  </si>
  <si>
    <t>JK</t>
  </si>
  <si>
    <t>Subsequent Tx12 Start Date</t>
  </si>
  <si>
    <t>JL</t>
  </si>
  <si>
    <t>Subsequent Tx12 Finish Date</t>
  </si>
  <si>
    <t>JM</t>
  </si>
  <si>
    <t>JN</t>
  </si>
  <si>
    <t>JO</t>
  </si>
  <si>
    <t>JP</t>
  </si>
  <si>
    <t>Subsequent Tx13 Start Date</t>
  </si>
  <si>
    <t>JQ</t>
  </si>
  <si>
    <t>Subsequent Tx13 Finish Date</t>
  </si>
  <si>
    <t>JR</t>
  </si>
  <si>
    <t>JS</t>
  </si>
  <si>
    <t>JT</t>
  </si>
  <si>
    <t>JU</t>
  </si>
  <si>
    <t>Subsequent Tx14 Start Date</t>
  </si>
  <si>
    <t>JV</t>
  </si>
  <si>
    <t>Subsequent Tx14 Finish Date</t>
  </si>
  <si>
    <t>JW</t>
  </si>
  <si>
    <t>JX</t>
  </si>
  <si>
    <t>JY</t>
  </si>
  <si>
    <t>JZ</t>
  </si>
  <si>
    <t>Subsequent Tx15 Start Date</t>
  </si>
  <si>
    <t>KA</t>
  </si>
  <si>
    <t>Subsequent Tx15 Finish Date</t>
  </si>
  <si>
    <t>KB</t>
  </si>
  <si>
    <t>KC</t>
  </si>
  <si>
    <t>KD</t>
  </si>
  <si>
    <t>KE</t>
  </si>
  <si>
    <t>KF</t>
  </si>
  <si>
    <t>KG</t>
  </si>
  <si>
    <t>KH</t>
  </si>
  <si>
    <t>KI</t>
  </si>
  <si>
    <t>Concurrent Medical Conditions</t>
  </si>
  <si>
    <t>KJ</t>
  </si>
  <si>
    <t>KK</t>
  </si>
  <si>
    <t>KL</t>
  </si>
  <si>
    <t>KM</t>
  </si>
  <si>
    <t>TTE Neoadjuvant Tx2 Start Date</t>
  </si>
  <si>
    <t>KN</t>
  </si>
  <si>
    <t>TTE Neoadjuvant Tx2 End Date</t>
  </si>
  <si>
    <t>KO</t>
  </si>
  <si>
    <t>TTE Neoadjuvant Tx3 Start Date</t>
  </si>
  <si>
    <t>KP</t>
  </si>
  <si>
    <t>TTE Neoadjuvant Tx3 End Date</t>
  </si>
  <si>
    <t>KQ</t>
  </si>
  <si>
    <t>TTE Neoadjuvant Tx4 Start Date</t>
  </si>
  <si>
    <t>KR</t>
  </si>
  <si>
    <t>TTE Neoadjuvant Tx4 End Date</t>
  </si>
  <si>
    <t>KS</t>
  </si>
  <si>
    <t>TTE Neoadjuvant Tx5 Start Date</t>
  </si>
  <si>
    <t>KT</t>
  </si>
  <si>
    <t>TTE Neoadjuvant Tx5 End Date</t>
  </si>
  <si>
    <t>KU</t>
  </si>
  <si>
    <t>TTE Neoadjuvant Tx6 Start Date</t>
  </si>
  <si>
    <t>KV</t>
  </si>
  <si>
    <t>TTE Neoadjuvant Tx6 End Date</t>
  </si>
  <si>
    <t>KW</t>
  </si>
  <si>
    <t>TTE Neoadjuvant Tx7 Start Date</t>
  </si>
  <si>
    <t>KX</t>
  </si>
  <si>
    <t>TTE Neoadjuvant Tx7 End Date</t>
  </si>
  <si>
    <t>KY</t>
  </si>
  <si>
    <t>TTE Neoadjuvant Tx8 Start Date</t>
  </si>
  <si>
    <t>KZ</t>
  </si>
  <si>
    <t>TTE Neoadjuvant Tx8 End Date</t>
  </si>
  <si>
    <t>LA</t>
  </si>
  <si>
    <t>TTE Neoadjuvant Tx9 Start Date</t>
  </si>
  <si>
    <t>LB</t>
  </si>
  <si>
    <t>TTE Neoadjuvant Tx9 End Date</t>
  </si>
  <si>
    <t>LC</t>
  </si>
  <si>
    <t>TTE Neoadjuvant Tx10 Start Date</t>
  </si>
  <si>
    <t>LD</t>
  </si>
  <si>
    <t>TTE Neoadjuvant Tx10 End Date</t>
  </si>
  <si>
    <t>LE</t>
  </si>
  <si>
    <t>LF</t>
  </si>
  <si>
    <t>LG</t>
  </si>
  <si>
    <t>LH</t>
  </si>
  <si>
    <t>LI</t>
  </si>
  <si>
    <t>LJ</t>
  </si>
  <si>
    <t>LK</t>
  </si>
  <si>
    <t>LL</t>
  </si>
  <si>
    <t>LM</t>
  </si>
  <si>
    <t>LN</t>
  </si>
  <si>
    <t>LO</t>
  </si>
  <si>
    <t>TTE Adjuvant Tx2 Start Date</t>
  </si>
  <si>
    <t>LP</t>
  </si>
  <si>
    <t>TTE Adjuvant Tx2 End Date</t>
  </si>
  <si>
    <t>LQ</t>
  </si>
  <si>
    <t>TTE Adjuvant Tx3 Start Date</t>
  </si>
  <si>
    <t>LR</t>
  </si>
  <si>
    <t>TTE Adjuvant Tx3 End Date</t>
  </si>
  <si>
    <t>LS</t>
  </si>
  <si>
    <t>TTE Adjuvant Tx4 Start Date</t>
  </si>
  <si>
    <t>LT</t>
  </si>
  <si>
    <t>TTE Adjuvant Tx4 End Date</t>
  </si>
  <si>
    <t>LU</t>
  </si>
  <si>
    <t>TTE Adjuvant Tx5 Start Date</t>
  </si>
  <si>
    <t>LV</t>
  </si>
  <si>
    <t>TTE Adjuvant Tx5 End Date</t>
  </si>
  <si>
    <t>LW</t>
  </si>
  <si>
    <t>TTE Adjuvant Tx6 Start Date</t>
  </si>
  <si>
    <t>LX</t>
  </si>
  <si>
    <t>TTE Adjuvant Tx6 End Date</t>
  </si>
  <si>
    <t>LY</t>
  </si>
  <si>
    <t>TTE Adjuvant Tx7 Start Date</t>
  </si>
  <si>
    <t>LZ</t>
  </si>
  <si>
    <t>TTE Adjuvant Tx7 End Date</t>
  </si>
  <si>
    <t>MA</t>
  </si>
  <si>
    <t>TTE Adjuvant Tx8 Start Date</t>
  </si>
  <si>
    <t>MB</t>
  </si>
  <si>
    <t>TTE Adjuvant Tx8 End Date</t>
  </si>
  <si>
    <t>MC</t>
  </si>
  <si>
    <t>TTE Adjuvant Tx9 Start Date</t>
  </si>
  <si>
    <t>MD</t>
  </si>
  <si>
    <t>TTE Adjuvant Tx9 End Date</t>
  </si>
  <si>
    <t>ME</t>
  </si>
  <si>
    <t>TTE Adjuvant Tx10 Start Date</t>
  </si>
  <si>
    <t>MF</t>
  </si>
  <si>
    <t>TTE Adjuvant Tx10 End Date</t>
  </si>
  <si>
    <t>MG</t>
  </si>
  <si>
    <t>TTE Adjuvant Tx11 Start Date</t>
  </si>
  <si>
    <t>MH</t>
  </si>
  <si>
    <t>TTE Adjuvant Tx11 End Date</t>
  </si>
  <si>
    <t>MI</t>
  </si>
  <si>
    <t>TTE Adjuvant Tx12 Start Date</t>
  </si>
  <si>
    <t>MJ</t>
  </si>
  <si>
    <t>TTE Adjuvant Tx12 End Date</t>
  </si>
  <si>
    <t>MK</t>
  </si>
  <si>
    <t>TTE Adjuvant Tx13 Start Date</t>
  </si>
  <si>
    <t>ML</t>
  </si>
  <si>
    <t>TTE Adjuvant Tx13 End Date</t>
  </si>
  <si>
    <t>MM</t>
  </si>
  <si>
    <t>TTE Adjuvant Tx14 Start Date</t>
  </si>
  <si>
    <t>MN</t>
  </si>
  <si>
    <t>TTE Adjuvant Tx14 End Date</t>
  </si>
  <si>
    <t>MO</t>
  </si>
  <si>
    <t>TTE Adjuvant Tx15 Start Date</t>
  </si>
  <si>
    <t>MP</t>
  </si>
  <si>
    <t>TTE Adjuvant Tx15 End Date</t>
  </si>
  <si>
    <t>MQ</t>
  </si>
  <si>
    <t>MR</t>
  </si>
  <si>
    <t>TTE Date recurrence/ progression 2</t>
  </si>
  <si>
    <t>MS</t>
  </si>
  <si>
    <t>TTE Date recurrence/ progression 3</t>
  </si>
  <si>
    <t>MT</t>
  </si>
  <si>
    <t>TTE Date recurrence/ progression 4</t>
  </si>
  <si>
    <t>MU</t>
  </si>
  <si>
    <t>TTE Date recurrence/ progression 5</t>
  </si>
  <si>
    <t>MV</t>
  </si>
  <si>
    <t>TTE Date recurrence/ progression 6</t>
  </si>
  <si>
    <t>MW</t>
  </si>
  <si>
    <t>TTE Date recurrence/ progression 7</t>
  </si>
  <si>
    <t>MX</t>
  </si>
  <si>
    <t>TTE Date recurrence/ progression 8</t>
  </si>
  <si>
    <t>MY</t>
  </si>
  <si>
    <t>TTE Date recurrence/ progression 9</t>
  </si>
  <si>
    <t>MZ</t>
  </si>
  <si>
    <t>TTE Date recurrence/ progression 10</t>
  </si>
  <si>
    <t>NA</t>
  </si>
  <si>
    <t>TTE Date recurrence/ progression 11</t>
  </si>
  <si>
    <t>NB</t>
  </si>
  <si>
    <t>TTE Date recurrence/ progression 12</t>
  </si>
  <si>
    <t>NC</t>
  </si>
  <si>
    <t>TTE Date recurrence/ progression 13</t>
  </si>
  <si>
    <t>ND</t>
  </si>
  <si>
    <t>TTE Date recurrence/ progression 14</t>
  </si>
  <si>
    <t>NE</t>
  </si>
  <si>
    <t>TTE Date recurrence/ progression 15</t>
  </si>
  <si>
    <t>NF</t>
  </si>
  <si>
    <t>NG</t>
  </si>
  <si>
    <t>TTE Subsequent Tx1 Finish Date</t>
  </si>
  <si>
    <t>NH</t>
  </si>
  <si>
    <t>TTE Subsequent Tx2 Start Date</t>
  </si>
  <si>
    <t>NI</t>
  </si>
  <si>
    <t>TTE Subsequent Tx2 Finish Date</t>
  </si>
  <si>
    <t>NJ</t>
  </si>
  <si>
    <t>TTE Subsequent Tx3 Start Date</t>
  </si>
  <si>
    <t>NK</t>
  </si>
  <si>
    <t>TTE Subsequent Tx3 Finish Date</t>
  </si>
  <si>
    <t>NL</t>
  </si>
  <si>
    <t>TTE Subsequent Tx4 Start Date</t>
  </si>
  <si>
    <t>NM</t>
  </si>
  <si>
    <t>TTE Subsequent Tx4 Finish Date</t>
  </si>
  <si>
    <t>NN</t>
  </si>
  <si>
    <t>TTE Subsequent Tx5 Start Date</t>
  </si>
  <si>
    <t>NO</t>
  </si>
  <si>
    <t>TTE Subsequent Tx5 Finish Date</t>
  </si>
  <si>
    <t>NP</t>
  </si>
  <si>
    <t>TTE Subsequent Tx6 Start Date</t>
  </si>
  <si>
    <t>NQ</t>
  </si>
  <si>
    <t>TTE Subsequent Tx6 Finish Date</t>
  </si>
  <si>
    <t>TTE Subsequent Tx7 Start Date</t>
  </si>
  <si>
    <t>NS</t>
  </si>
  <si>
    <t>TTE Subsequent Tx7 Finish Date</t>
  </si>
  <si>
    <t>NT</t>
  </si>
  <si>
    <t>TTE Subsequent Tx8 Start Date</t>
  </si>
  <si>
    <t>NU</t>
  </si>
  <si>
    <t>TTE Subsequent Tx8 Finish Date</t>
  </si>
  <si>
    <t>NV</t>
  </si>
  <si>
    <t>TTE Subsequent Tx9 Start Date</t>
  </si>
  <si>
    <t>NW</t>
  </si>
  <si>
    <t>TTE Subsequent Tx9 Finish Date</t>
  </si>
  <si>
    <t>NX</t>
  </si>
  <si>
    <t>TTE Subsequent Tx10 Start Date</t>
  </si>
  <si>
    <t>NY</t>
  </si>
  <si>
    <t>TTE Subsequent Tx10 Finish Date</t>
  </si>
  <si>
    <t>NZ</t>
  </si>
  <si>
    <t>TTE Subsequent Tx11 Start Date</t>
  </si>
  <si>
    <t>OA</t>
  </si>
  <si>
    <t>TTE Subsequent Tx11 Finish Date</t>
  </si>
  <si>
    <t>OB</t>
  </si>
  <si>
    <t>TTE Subsequent Tx12 Start Date</t>
  </si>
  <si>
    <t>OC</t>
  </si>
  <si>
    <t>TTE Subsequent Tx12 Finish Date</t>
  </si>
  <si>
    <t>OD</t>
  </si>
  <si>
    <t>TTE Subsequent Tx13 Start Date</t>
  </si>
  <si>
    <t>OE</t>
  </si>
  <si>
    <t>TTE Subsequent Tx13 Finish Date</t>
  </si>
  <si>
    <t>OF</t>
  </si>
  <si>
    <t>TTE Subsequent Tx14 Start Date</t>
  </si>
  <si>
    <t>OG</t>
  </si>
  <si>
    <t>TTE Subsequent Tx14 Finish Date</t>
  </si>
  <si>
    <t>OH</t>
  </si>
  <si>
    <t>TTE Subsequent Tx15 Start Date</t>
  </si>
  <si>
    <t>OI</t>
  </si>
  <si>
    <t>TTE Subsequent Tx15 Finish Date</t>
  </si>
  <si>
    <t>OJ</t>
  </si>
  <si>
    <t>OK</t>
  </si>
  <si>
    <t>OL</t>
  </si>
  <si>
    <t>OM</t>
  </si>
  <si>
    <t>ON</t>
  </si>
  <si>
    <t>OO</t>
  </si>
  <si>
    <t>OP</t>
  </si>
  <si>
    <t>OQ</t>
  </si>
  <si>
    <t>OR</t>
  </si>
  <si>
    <t>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</si>
</sst>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d/mm/yyyy;@"/>
    <numFmt numFmtId="165" formatCode="[$-809]dd\ mmmm\ yyyy;@"/>
    <numFmt numFmtId="166" formatCode="[$-409]mmm\-yy;@"/>
  </numFmts>
  <fonts count="18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4"/>
      <color rgb="FFFF0000"/>
      <name val="Arial"/>
      <family val="2"/>
    </font>
    <font>
      <sz val="10"/>
      <color rgb="FF000000"/>
      <name val="Calibri"/>
      <family val="2"/>
    </font>
    <font>
      <b/>
      <sz val="14"/>
      <color rgb="FFFF0000"/>
      <name val="Calibri"/>
      <family val="2"/>
    </font>
    <font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0"/>
      <name val="Calibri"/>
      <family val="2"/>
    </font>
    <font>
      <b/>
      <sz val="10"/>
      <color theme="1"/>
      <name val="Calibri"/>
      <family val="2"/>
    </font>
    <font>
      <sz val="10"/>
      <color rgb="FF000000"/>
      <name val="Calibri Light"/>
      <family val="2"/>
      <scheme val="major"/>
    </font>
    <font>
      <sz val="10"/>
      <color rgb="FFFF0000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u/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b/>
      <sz val="10"/>
      <color rgb="FF000000"/>
      <name val="Calibri Light"/>
      <family val="2"/>
      <scheme val="major"/>
    </font>
    <font>
      <sz val="12"/>
      <color rgb="FF000000"/>
      <name val="Calibri Light"/>
      <family val="2"/>
      <scheme val="major"/>
    </font>
    <font>
      <sz val="10"/>
      <color rgb="FF000000"/>
      <name val="Calibri"/>
      <family val="2"/>
      <scheme val="minor"/>
    </font>
    <font>
      <sz val="10"/>
      <color rgb="FF00000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8CBAD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8AD8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31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 applyAlignment="1">
      <alignment wrapText="1"/>
    </xf>
    <xf numFmtId="164" fontId="6" fillId="4" borderId="1" xfId="1" applyNumberFormat="1" applyFont="1" applyFill="1" applyBorder="1" applyAlignment="1">
      <alignment horizontal="center" vertical="center" wrapText="1"/>
    </xf>
    <xf numFmtId="164" fontId="7" fillId="4" borderId="1" xfId="1" applyNumberFormat="1" applyFont="1" applyFill="1" applyBorder="1" applyAlignment="1">
      <alignment horizontal="center" vertical="center" wrapText="1"/>
    </xf>
    <xf numFmtId="165" fontId="7" fillId="4" borderId="1" xfId="1" applyNumberFormat="1" applyFont="1" applyFill="1" applyBorder="1" applyAlignment="1">
      <alignment horizontal="center" vertical="center" wrapText="1"/>
    </xf>
    <xf numFmtId="164" fontId="7" fillId="4" borderId="2" xfId="1" applyNumberFormat="1" applyFont="1" applyFill="1" applyBorder="1" applyAlignment="1">
      <alignment horizontal="center" vertical="center" wrapText="1"/>
    </xf>
    <xf numFmtId="166" fontId="6" fillId="4" borderId="7" xfId="1" applyNumberFormat="1" applyFont="1" applyFill="1" applyBorder="1" applyAlignment="1">
      <alignment horizontal="center" vertical="center" wrapText="1"/>
    </xf>
    <xf numFmtId="164" fontId="6" fillId="4" borderId="7" xfId="1" applyNumberFormat="1" applyFont="1" applyFill="1" applyBorder="1" applyAlignment="1">
      <alignment horizontal="center" vertical="center" wrapText="1"/>
    </xf>
    <xf numFmtId="165" fontId="7" fillId="4" borderId="3" xfId="1" applyNumberFormat="1" applyFont="1" applyFill="1" applyBorder="1" applyAlignment="1">
      <alignment horizontal="center" vertical="center" wrapText="1"/>
    </xf>
    <xf numFmtId="165" fontId="7" fillId="4" borderId="4" xfId="1" applyNumberFormat="1" applyFont="1" applyFill="1" applyBorder="1" applyAlignment="1">
      <alignment horizontal="center" vertical="center" wrapText="1"/>
    </xf>
    <xf numFmtId="0" fontId="7" fillId="4" borderId="4" xfId="1" applyFont="1" applyFill="1" applyBorder="1" applyAlignment="1">
      <alignment horizontal="center" vertical="center" wrapText="1"/>
    </xf>
    <xf numFmtId="164" fontId="7" fillId="4" borderId="7" xfId="1" applyNumberFormat="1" applyFont="1" applyFill="1" applyBorder="1" applyAlignment="1">
      <alignment horizontal="center" vertical="center" wrapText="1"/>
    </xf>
    <xf numFmtId="164" fontId="7" fillId="4" borderId="4" xfId="1" applyNumberFormat="1" applyFont="1" applyFill="1" applyBorder="1" applyAlignment="1">
      <alignment horizontal="center" vertical="center" wrapText="1"/>
    </xf>
    <xf numFmtId="0" fontId="7" fillId="4" borderId="7" xfId="1" applyFont="1" applyFill="1" applyBorder="1" applyAlignment="1">
      <alignment horizontal="center" vertical="center" wrapText="1"/>
    </xf>
    <xf numFmtId="164" fontId="7" fillId="4" borderId="8" xfId="1" applyNumberFormat="1" applyFont="1" applyFill="1" applyBorder="1" applyAlignment="1">
      <alignment horizontal="center" vertical="center" wrapText="1"/>
    </xf>
    <xf numFmtId="164" fontId="7" fillId="4" borderId="3" xfId="1" applyNumberFormat="1" applyFont="1" applyFill="1" applyBorder="1" applyAlignment="1">
      <alignment horizontal="center" vertical="center" wrapText="1"/>
    </xf>
    <xf numFmtId="164" fontId="7" fillId="5" borderId="4" xfId="1" applyNumberFormat="1" applyFont="1" applyFill="1" applyBorder="1" applyAlignment="1">
      <alignment horizontal="center" vertical="center" wrapText="1"/>
    </xf>
    <xf numFmtId="0" fontId="7" fillId="5" borderId="7" xfId="1" applyFont="1" applyFill="1" applyBorder="1" applyAlignment="1">
      <alignment horizontal="center" vertical="center" wrapText="1"/>
    </xf>
    <xf numFmtId="165" fontId="7" fillId="5" borderId="7" xfId="1" applyNumberFormat="1" applyFont="1" applyFill="1" applyBorder="1" applyAlignment="1">
      <alignment horizontal="center" vertical="center" wrapText="1"/>
    </xf>
    <xf numFmtId="0" fontId="7" fillId="3" borderId="7" xfId="1" applyFont="1" applyFill="1" applyBorder="1" applyAlignment="1">
      <alignment horizontal="center" vertical="center" wrapText="1"/>
    </xf>
    <xf numFmtId="165" fontId="7" fillId="3" borderId="7" xfId="1" applyNumberFormat="1" applyFont="1" applyFill="1" applyBorder="1" applyAlignment="1">
      <alignment horizontal="center" vertical="center" wrapText="1"/>
    </xf>
    <xf numFmtId="0" fontId="7" fillId="3" borderId="4" xfId="1" applyFont="1" applyFill="1" applyBorder="1" applyAlignment="1">
      <alignment horizontal="center" vertical="center" wrapText="1"/>
    </xf>
    <xf numFmtId="165" fontId="6" fillId="2" borderId="7" xfId="1" applyNumberFormat="1" applyFont="1" applyFill="1" applyBorder="1" applyAlignment="1">
      <alignment horizontal="center" vertical="center" wrapText="1"/>
    </xf>
    <xf numFmtId="164" fontId="6" fillId="2" borderId="7" xfId="1" applyNumberFormat="1" applyFont="1" applyFill="1" applyBorder="1" applyAlignment="1">
      <alignment horizontal="center" vertical="center" wrapText="1"/>
    </xf>
    <xf numFmtId="0" fontId="7" fillId="9" borderId="7" xfId="1" applyFont="1" applyFill="1" applyBorder="1" applyAlignment="1">
      <alignment horizontal="center" vertical="center" wrapText="1"/>
    </xf>
    <xf numFmtId="165" fontId="7" fillId="9" borderId="7" xfId="1" applyNumberFormat="1" applyFont="1" applyFill="1" applyBorder="1" applyAlignment="1">
      <alignment horizontal="center" vertical="center" wrapText="1"/>
    </xf>
    <xf numFmtId="165" fontId="7" fillId="9" borderId="7" xfId="1" quotePrefix="1" applyNumberFormat="1" applyFont="1" applyFill="1" applyBorder="1" applyAlignment="1">
      <alignment horizontal="center" vertical="center" wrapText="1"/>
    </xf>
    <xf numFmtId="0" fontId="7" fillId="9" borderId="7" xfId="1" quotePrefix="1" applyFont="1" applyFill="1" applyBorder="1" applyAlignment="1">
      <alignment horizontal="center" vertical="center" wrapText="1"/>
    </xf>
    <xf numFmtId="0" fontId="7" fillId="9" borderId="4" xfId="1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 wrapText="1"/>
    </xf>
    <xf numFmtId="165" fontId="7" fillId="3" borderId="2" xfId="1" applyNumberFormat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center" vertical="center" wrapText="1"/>
    </xf>
    <xf numFmtId="0" fontId="7" fillId="3" borderId="2" xfId="1" applyFont="1" applyFill="1" applyBorder="1" applyAlignment="1">
      <alignment horizontal="center" vertical="center" wrapText="1"/>
    </xf>
    <xf numFmtId="0" fontId="7" fillId="3" borderId="5" xfId="1" applyFont="1" applyFill="1" applyBorder="1" applyAlignment="1">
      <alignment horizontal="center" vertical="center" wrapText="1"/>
    </xf>
    <xf numFmtId="164" fontId="6" fillId="8" borderId="7" xfId="2" applyNumberFormat="1" applyFont="1" applyFill="1" applyBorder="1" applyAlignment="1">
      <alignment horizontal="center" vertical="center" wrapText="1"/>
    </xf>
    <xf numFmtId="0" fontId="8" fillId="10" borderId="6" xfId="0" applyFont="1" applyFill="1" applyBorder="1" applyAlignment="1">
      <alignment horizontal="center" vertical="center" wrapText="1"/>
    </xf>
    <xf numFmtId="164" fontId="6" fillId="6" borderId="4" xfId="0" applyNumberFormat="1" applyFont="1" applyFill="1" applyBorder="1" applyAlignment="1">
      <alignment horizontal="center" vertical="center" wrapText="1"/>
    </xf>
    <xf numFmtId="164" fontId="6" fillId="7" borderId="4" xfId="0" applyNumberFormat="1" applyFont="1" applyFill="1" applyBorder="1" applyAlignment="1">
      <alignment horizontal="center" vertical="center" wrapText="1"/>
    </xf>
    <xf numFmtId="164" fontId="6" fillId="5" borderId="4" xfId="1" applyNumberFormat="1" applyFont="1" applyFill="1" applyBorder="1" applyAlignment="1">
      <alignment horizontal="center" vertical="center" wrapText="1"/>
    </xf>
    <xf numFmtId="164" fontId="6" fillId="5" borderId="1" xfId="1" applyNumberFormat="1" applyFont="1" applyFill="1" applyBorder="1" applyAlignment="1">
      <alignment horizontal="center" vertical="center" wrapText="1"/>
    </xf>
    <xf numFmtId="0" fontId="3" fillId="0" borderId="7" xfId="0" applyFont="1" applyBorder="1" applyAlignment="1">
      <alignment wrapText="1"/>
    </xf>
    <xf numFmtId="164" fontId="3" fillId="0" borderId="7" xfId="0" applyNumberFormat="1" applyFont="1" applyBorder="1" applyAlignment="1">
      <alignment wrapText="1"/>
    </xf>
    <xf numFmtId="0" fontId="3" fillId="0" borderId="7" xfId="0" applyFont="1" applyBorder="1" applyAlignment="1">
      <alignment horizontal="left" wrapText="1"/>
    </xf>
    <xf numFmtId="0" fontId="5" fillId="0" borderId="7" xfId="0" applyFont="1" applyBorder="1" applyAlignment="1">
      <alignment wrapText="1"/>
    </xf>
    <xf numFmtId="0" fontId="5" fillId="0" borderId="14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11" fillId="0" borderId="7" xfId="0" applyFont="1" applyBorder="1"/>
    <xf numFmtId="0" fontId="11" fillId="0" borderId="0" xfId="0" applyFont="1"/>
    <xf numFmtId="0" fontId="12" fillId="0" borderId="0" xfId="0" applyFont="1"/>
    <xf numFmtId="0" fontId="12" fillId="0" borderId="0" xfId="0" applyFont="1" applyAlignment="1">
      <alignment horizontal="center" vertical="center"/>
    </xf>
    <xf numFmtId="0" fontId="11" fillId="0" borderId="9" xfId="0" applyFont="1" applyBorder="1"/>
    <xf numFmtId="0" fontId="9" fillId="0" borderId="0" xfId="0" quotePrefix="1" applyFont="1"/>
    <xf numFmtId="0" fontId="15" fillId="0" borderId="0" xfId="0" applyFont="1"/>
    <xf numFmtId="0" fontId="11" fillId="0" borderId="2" xfId="0" applyFont="1" applyBorder="1"/>
    <xf numFmtId="0" fontId="8" fillId="10" borderId="4" xfId="0" applyFont="1" applyFill="1" applyBorder="1" applyAlignment="1">
      <alignment horizontal="center" vertical="center" wrapText="1"/>
    </xf>
    <xf numFmtId="0" fontId="13" fillId="0" borderId="7" xfId="1" applyFont="1" applyBorder="1" applyAlignment="1">
      <alignment horizontal="left"/>
    </xf>
    <xf numFmtId="0" fontId="9" fillId="0" borderId="7" xfId="0" quotePrefix="1" applyFont="1" applyBorder="1"/>
    <xf numFmtId="0" fontId="13" fillId="0" borderId="7" xfId="0" applyFont="1" applyBorder="1"/>
    <xf numFmtId="0" fontId="9" fillId="0" borderId="7" xfId="1" quotePrefix="1" applyFont="1" applyBorder="1" applyAlignment="1">
      <alignment horizontal="left"/>
    </xf>
    <xf numFmtId="0" fontId="14" fillId="0" borderId="7" xfId="0" applyFont="1" applyBorder="1"/>
    <xf numFmtId="165" fontId="5" fillId="0" borderId="0" xfId="0" applyNumberFormat="1" applyFont="1" applyAlignment="1">
      <alignment wrapText="1"/>
    </xf>
    <xf numFmtId="165" fontId="5" fillId="0" borderId="7" xfId="0" applyNumberFormat="1" applyFont="1" applyBorder="1" applyAlignment="1">
      <alignment wrapText="1"/>
    </xf>
    <xf numFmtId="165" fontId="6" fillId="4" borderId="7" xfId="1" applyNumberFormat="1" applyFont="1" applyFill="1" applyBorder="1" applyAlignment="1">
      <alignment horizontal="center" vertical="center" wrapText="1"/>
    </xf>
    <xf numFmtId="165" fontId="5" fillId="0" borderId="13" xfId="0" applyNumberFormat="1" applyFont="1" applyBorder="1" applyAlignment="1">
      <alignment wrapText="1"/>
    </xf>
    <xf numFmtId="1" fontId="5" fillId="0" borderId="0" xfId="0" applyNumberFormat="1" applyFont="1" applyAlignment="1">
      <alignment wrapText="1"/>
    </xf>
    <xf numFmtId="1" fontId="7" fillId="5" borderId="7" xfId="1" applyNumberFormat="1" applyFont="1" applyFill="1" applyBorder="1" applyAlignment="1">
      <alignment horizontal="center" vertical="center" wrapText="1"/>
    </xf>
    <xf numFmtId="0" fontId="7" fillId="9" borderId="14" xfId="1" quotePrefix="1" applyFont="1" applyFill="1" applyBorder="1" applyAlignment="1">
      <alignment horizontal="center" vertical="center" wrapText="1"/>
    </xf>
    <xf numFmtId="0" fontId="7" fillId="9" borderId="8" xfId="1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165" fontId="3" fillId="0" borderId="10" xfId="0" applyNumberFormat="1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0" xfId="0" applyFont="1" applyAlignment="1">
      <alignment horizontal="left"/>
    </xf>
    <xf numFmtId="164" fontId="3" fillId="0" borderId="12" xfId="0" applyNumberFormat="1" applyFont="1" applyBorder="1" applyAlignment="1">
      <alignment horizontal="left"/>
    </xf>
    <xf numFmtId="165" fontId="3" fillId="0" borderId="12" xfId="0" applyNumberFormat="1" applyFont="1" applyBorder="1" applyAlignment="1">
      <alignment horizontal="left"/>
    </xf>
    <xf numFmtId="0" fontId="3" fillId="0" borderId="7" xfId="0" quotePrefix="1" applyFont="1" applyBorder="1" applyAlignment="1">
      <alignment horizontal="left"/>
    </xf>
    <xf numFmtId="1" fontId="3" fillId="0" borderId="7" xfId="0" applyNumberFormat="1" applyFont="1" applyBorder="1" applyAlignment="1">
      <alignment horizontal="left"/>
    </xf>
    <xf numFmtId="1" fontId="3" fillId="0" borderId="0" xfId="0" applyNumberFormat="1" applyFont="1" applyAlignment="1">
      <alignment horizontal="left"/>
    </xf>
    <xf numFmtId="164" fontId="3" fillId="0" borderId="8" xfId="0" applyNumberFormat="1" applyFont="1" applyBorder="1" applyAlignment="1">
      <alignment horizontal="left"/>
    </xf>
    <xf numFmtId="164" fontId="3" fillId="0" borderId="8" xfId="0" applyNumberFormat="1" applyFont="1" applyBorder="1" applyAlignment="1">
      <alignment wrapText="1"/>
    </xf>
    <xf numFmtId="0" fontId="7" fillId="5" borderId="4" xfId="1" applyFont="1" applyFill="1" applyBorder="1" applyAlignment="1">
      <alignment horizontal="center" vertical="center" wrapText="1"/>
    </xf>
    <xf numFmtId="165" fontId="7" fillId="5" borderId="4" xfId="1" applyNumberFormat="1" applyFont="1" applyFill="1" applyBorder="1" applyAlignment="1">
      <alignment horizontal="center" vertical="center" wrapText="1"/>
    </xf>
    <xf numFmtId="165" fontId="3" fillId="0" borderId="7" xfId="0" applyNumberFormat="1" applyFont="1" applyBorder="1" applyAlignment="1">
      <alignment horizontal="left"/>
    </xf>
    <xf numFmtId="0" fontId="16" fillId="0" borderId="7" xfId="0" applyFont="1" applyBorder="1"/>
    <xf numFmtId="165" fontId="3" fillId="0" borderId="11" xfId="0" applyNumberFormat="1" applyFont="1" applyBorder="1" applyAlignment="1">
      <alignment horizontal="left"/>
    </xf>
    <xf numFmtId="165" fontId="5" fillId="0" borderId="14" xfId="0" applyNumberFormat="1" applyFont="1" applyBorder="1" applyAlignment="1">
      <alignment wrapText="1"/>
    </xf>
    <xf numFmtId="164" fontId="6" fillId="8" borderId="4" xfId="2" applyNumberFormat="1" applyFont="1" applyFill="1" applyBorder="1" applyAlignment="1">
      <alignment horizontal="center" vertical="center" wrapText="1"/>
    </xf>
    <xf numFmtId="165" fontId="5" fillId="0" borderId="15" xfId="0" applyNumberFormat="1" applyFont="1" applyBorder="1" applyAlignment="1">
      <alignment wrapText="1"/>
    </xf>
    <xf numFmtId="0" fontId="11" fillId="0" borderId="7" xfId="0" applyFont="1" applyBorder="1" applyAlignment="1">
      <alignment horizontal="left"/>
    </xf>
    <xf numFmtId="0" fontId="3" fillId="0" borderId="10" xfId="0" applyFont="1" applyBorder="1" applyAlignment="1" applyProtection="1">
      <alignment horizontal="left"/>
      <protection locked="0"/>
    </xf>
    <xf numFmtId="0" fontId="3" fillId="0" borderId="11" xfId="0" applyFont="1" applyBorder="1" applyAlignment="1">
      <alignment wrapText="1"/>
    </xf>
    <xf numFmtId="0" fontId="3" fillId="0" borderId="7" xfId="0" applyFont="1" applyBorder="1"/>
    <xf numFmtId="0" fontId="3" fillId="0" borderId="10" xfId="0" applyFont="1" applyBorder="1" applyAlignment="1">
      <alignment wrapText="1"/>
    </xf>
    <xf numFmtId="0" fontId="3" fillId="0" borderId="6" xfId="0" applyFont="1" applyBorder="1" applyAlignment="1">
      <alignment horizontal="left" wrapText="1"/>
    </xf>
    <xf numFmtId="165" fontId="11" fillId="0" borderId="7" xfId="0" applyNumberFormat="1" applyFont="1" applyBorder="1" applyAlignment="1">
      <alignment horizontal="right"/>
    </xf>
    <xf numFmtId="0" fontId="3" fillId="0" borderId="6" xfId="0" applyFont="1" applyBorder="1"/>
    <xf numFmtId="0" fontId="3" fillId="0" borderId="4" xfId="0" applyFont="1" applyBorder="1" applyAlignment="1">
      <alignment wrapText="1"/>
    </xf>
    <xf numFmtId="0" fontId="5" fillId="0" borderId="8" xfId="0" applyFont="1" applyBorder="1" applyAlignment="1">
      <alignment horizontal="left" wrapText="1"/>
    </xf>
    <xf numFmtId="164" fontId="11" fillId="0" borderId="7" xfId="0" applyNumberFormat="1" applyFont="1" applyBorder="1" applyAlignment="1">
      <alignment horizontal="left"/>
    </xf>
    <xf numFmtId="165" fontId="11" fillId="0" borderId="7" xfId="0" applyNumberFormat="1" applyFont="1" applyBorder="1" applyAlignment="1">
      <alignment horizontal="left"/>
    </xf>
    <xf numFmtId="165" fontId="3" fillId="0" borderId="11" xfId="0" quotePrefix="1" applyNumberFormat="1" applyFont="1" applyBorder="1"/>
    <xf numFmtId="0" fontId="3" fillId="11" borderId="0" xfId="0" applyFont="1" applyFill="1"/>
    <xf numFmtId="0" fontId="3" fillId="0" borderId="13" xfId="0" applyFont="1" applyBorder="1" applyAlignment="1">
      <alignment wrapText="1"/>
    </xf>
    <xf numFmtId="0" fontId="3" fillId="11" borderId="7" xfId="0" applyFont="1" applyFill="1" applyBorder="1" applyAlignment="1">
      <alignment horizontal="left" wrapText="1"/>
    </xf>
    <xf numFmtId="0" fontId="3" fillId="0" borderId="14" xfId="0" applyFont="1" applyBorder="1" applyAlignment="1">
      <alignment horizontal="left" wrapText="1"/>
    </xf>
    <xf numFmtId="164" fontId="3" fillId="0" borderId="7" xfId="0" applyNumberFormat="1" applyFont="1" applyBorder="1" applyAlignment="1">
      <alignment horizontal="left"/>
    </xf>
    <xf numFmtId="0" fontId="5" fillId="0" borderId="7" xfId="0" applyFont="1" applyBorder="1" applyAlignment="1">
      <alignment horizontal="left"/>
    </xf>
    <xf numFmtId="165" fontId="5" fillId="0" borderId="7" xfId="0" applyNumberFormat="1" applyFont="1" applyBorder="1" applyAlignment="1">
      <alignment horizontal="left"/>
    </xf>
    <xf numFmtId="165" fontId="5" fillId="0" borderId="14" xfId="0" applyNumberFormat="1" applyFont="1" applyBorder="1" applyAlignment="1">
      <alignment horizontal="right" wrapText="1"/>
    </xf>
    <xf numFmtId="0" fontId="5" fillId="0" borderId="7" xfId="0" applyFont="1" applyBorder="1"/>
    <xf numFmtId="0" fontId="5" fillId="0" borderId="13" xfId="0" applyFont="1" applyBorder="1"/>
    <xf numFmtId="0" fontId="5" fillId="0" borderId="7" xfId="0" applyFont="1" applyBorder="1" applyAlignment="1">
      <alignment horizontal="left" wrapText="1"/>
    </xf>
    <xf numFmtId="0" fontId="5" fillId="0" borderId="14" xfId="0" applyFont="1" applyBorder="1" applyAlignment="1">
      <alignment horizontal="left" wrapText="1"/>
    </xf>
    <xf numFmtId="0" fontId="3" fillId="0" borderId="4" xfId="0" applyFont="1" applyBorder="1"/>
    <xf numFmtId="0" fontId="11" fillId="0" borderId="4" xfId="0" applyFont="1" applyBorder="1"/>
    <xf numFmtId="0" fontId="5" fillId="0" borderId="6" xfId="0" applyFont="1" applyBorder="1" applyAlignment="1">
      <alignment horizontal="left" wrapText="1"/>
    </xf>
    <xf numFmtId="165" fontId="11" fillId="0" borderId="4" xfId="0" applyNumberFormat="1" applyFont="1" applyBorder="1" applyAlignment="1">
      <alignment horizontal="right" vertical="center"/>
    </xf>
    <xf numFmtId="0" fontId="5" fillId="0" borderId="4" xfId="0" applyFont="1" applyBorder="1"/>
    <xf numFmtId="0" fontId="11" fillId="0" borderId="4" xfId="0" applyFont="1" applyBorder="1" applyAlignment="1">
      <alignment horizontal="left"/>
    </xf>
    <xf numFmtId="165" fontId="11" fillId="0" borderId="4" xfId="0" applyNumberFormat="1" applyFont="1" applyBorder="1" applyAlignment="1">
      <alignment horizontal="left"/>
    </xf>
    <xf numFmtId="165" fontId="5" fillId="0" borderId="11" xfId="0" applyNumberFormat="1" applyFont="1" applyBorder="1" applyAlignment="1">
      <alignment wrapText="1"/>
    </xf>
    <xf numFmtId="0" fontId="3" fillId="0" borderId="8" xfId="0" applyFont="1" applyBorder="1"/>
    <xf numFmtId="0" fontId="9" fillId="0" borderId="8" xfId="0" quotePrefix="1" applyFont="1" applyBorder="1"/>
    <xf numFmtId="0" fontId="5" fillId="11" borderId="7" xfId="0" applyFont="1" applyFill="1" applyBorder="1" applyAlignment="1">
      <alignment horizontal="left" wrapText="1"/>
    </xf>
    <xf numFmtId="2" fontId="3" fillId="0" borderId="7" xfId="0" quotePrefix="1" applyNumberFormat="1" applyFont="1" applyBorder="1" applyAlignment="1">
      <alignment horizontal="left"/>
    </xf>
    <xf numFmtId="2" fontId="3" fillId="0" borderId="7" xfId="1" applyNumberFormat="1" applyFont="1" applyBorder="1" applyAlignment="1">
      <alignment horizontal="left"/>
    </xf>
    <xf numFmtId="0" fontId="17" fillId="0" borderId="7" xfId="1" applyFont="1" applyBorder="1" applyAlignment="1">
      <alignment horizontal="left"/>
    </xf>
    <xf numFmtId="164" fontId="6" fillId="7" borderId="11" xfId="0" applyNumberFormat="1" applyFont="1" applyFill="1" applyBorder="1" applyAlignment="1">
      <alignment horizontal="center" vertical="center" wrapText="1"/>
    </xf>
    <xf numFmtId="0" fontId="17" fillId="0" borderId="14" xfId="1" applyFont="1" applyBorder="1" applyAlignment="1">
      <alignment horizontal="left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2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rgb="FF92D050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 Light"/>
        <family val="2"/>
        <scheme val="maj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numFmt numFmtId="165" formatCode="[$-809]dd\ mmmm\ 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numFmt numFmtId="165" formatCode="[$-809]dd\ mmmm\ yyyy;@"/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/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border outline="0">
        <right style="thin">
          <color rgb="FF000000"/>
        </right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b/>
        <i val="0"/>
        <strike val="0"/>
        <condense val="0"/>
        <extend val="0"/>
        <outline val="0"/>
        <shadow val="0"/>
        <u/>
        <vertAlign val="baseline"/>
        <sz val="10"/>
        <color theme="1"/>
        <name val="Calibri Light"/>
        <scheme val="major"/>
      </font>
    </dxf>
  </dxfs>
  <tableStyles count="1" defaultTableStyle="TableStyleMedium2" defaultPivotStyle="PivotStyleLight16">
    <tableStyle name="Invisible" pivot="0" table="0" count="0" xr9:uid="{A4FBF400-5321-4043-8130-7A9B453E2C6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167BD22-8296-488E-9F7D-C91C99425A0A}" name="FollowUp_1" displayName="FollowUp_1" ref="A3:HK8" totalsRowShown="0" dataDxfId="0" tableBorderDxfId="218" dataCellStyle="Normal 2">
  <autoFilter ref="A3:HK8" xr:uid="{8167BD22-8296-488E-9F7D-C91C99425A0A}"/>
  <tableColumns count="219">
    <tableColumn id="1" xr3:uid="{CB8E5DBB-8A02-43EB-B966-0E770B3A74C2}" name="NHS number"/>
    <tableColumn id="2" xr3:uid="{B5D70D2D-8644-4D8A-8160-F824BDE018D5}" name="Any Immunotherapy " dataDxfId="217"/>
    <tableColumn id="3" xr3:uid="{F3BB9E5F-58EA-4499-831B-E68875FE97A2}" name="Specimen treatment subgrouping" dataDxfId="216"/>
    <tableColumn id="4" xr3:uid="{0C27BFB6-8148-4BCF-B8E5-E82647762761}" name="Specimen is a recurrence " dataDxfId="215"/>
    <tableColumn id="5" xr3:uid="{02B97E94-9D77-44BC-BE1B-75F77D73432B}" name="Selected specimen Anonymised ID" dataDxfId="214"/>
    <tableColumn id="6" xr3:uid="{93E4BBC7-FAB9-4996-AA49-4624B1B70AFA}" name="Specimen Block number 1" dataDxfId="213"/>
    <tableColumn id="7" xr3:uid="{95A0E890-DEE6-466B-BBF6-D82318583A58}" name="Specimen Block number 2" dataDxfId="212"/>
    <tableColumn id="8" xr3:uid="{9165C870-259F-45C5-93FF-E692B3A420CA}" name="Specimen surgery date" dataDxfId="211"/>
    <tableColumn id="9" xr3:uid="{7840B1C9-F893-410E-98A9-D831FB736EDC}" name="Specimen surgery" dataDxfId="210"/>
    <tableColumn id="10" xr3:uid="{E4E02E82-8606-45F9-A5A6-9069A483078A}" name="Specimen tumour site" dataDxfId="209"/>
    <tableColumn id="11" xr3:uid="{7F684D63-1A6A-43AC-8B93-13AB02C65E9C}" name="Primary Surgery date " dataDxfId="208"/>
    <tableColumn id="12" xr3:uid="{A999720F-2BEE-40F8-81D3-227CEF35064F}" name="Primary tumour site" dataDxfId="207"/>
    <tableColumn id="13" xr3:uid="{5F48E9C6-3621-4452-8BBA-FDC7CB45613E}" name="Anonymized ID Matched met 1" dataDxfId="206"/>
    <tableColumn id="14" xr3:uid="{63816F4B-3916-449D-9DDD-5778F908F0B8}" name="Matched met 1 Block Number" dataDxfId="205"/>
    <tableColumn id="15" xr3:uid="{49D81D01-CC1D-4151-952A-F56336D6786A}" name="Matched met 1 Site" dataDxfId="204"/>
    <tableColumn id="16" xr3:uid="{423581F1-90C9-4F8C-BF3C-5F36AFCB83D4}" name="Matched met 1 Surgery Date " dataDxfId="203"/>
    <tableColumn id="17" xr3:uid="{6F009DAC-9BB9-48E2-8F41-EE4C5E999CF2}" name="Matched met 1 treatment subgrouping" dataDxfId="202"/>
    <tableColumn id="18" xr3:uid="{19B80037-FE12-4C3A-B0F4-244920F0F221}" name="Anonymized ID Matched met 2" dataDxfId="201"/>
    <tableColumn id="19" xr3:uid="{63A798D2-5F83-4C12-BF7B-DC9D3BE85D80}" name="Matched met 2 Block Number" dataDxfId="200"/>
    <tableColumn id="20" xr3:uid="{EED2DE3D-893D-4E0B-B747-5C637A5C7A84}" name="Matched met 2 Site" dataDxfId="199"/>
    <tableColumn id="21" xr3:uid="{054BDC10-B765-4A3E-BDEA-0531426809B3}" name="Matched met 2 Surgery Date " dataDxfId="198"/>
    <tableColumn id="22" xr3:uid="{023B8AD1-4A09-4E8A-9A5A-F73C8B429CEE}" name="Matched met 2 treatment subgrouping" dataDxfId="197"/>
    <tableColumn id="23" xr3:uid="{DFD978CC-14D5-45DE-92D7-6B9CEA78D9EF}" name="Anonymized ID Matched met 3" dataDxfId="196"/>
    <tableColumn id="24" xr3:uid="{B5E38D49-D92F-45BE-871A-E38BE2AA386D}" name="Matched met 3 Block Number" dataDxfId="195"/>
    <tableColumn id="25" xr3:uid="{7C4A601B-4DB0-4CED-A532-FBA3FE8C1E5C}" name="Matched met 3 Site" dataDxfId="194"/>
    <tableColumn id="26" xr3:uid="{EAA61AF9-0A6D-4478-AD14-C2E105239AB2}" name="Matched met 3 Surgery Date " dataDxfId="193"/>
    <tableColumn id="27" xr3:uid="{A19AC5AB-E665-4FB5-8780-79451544C170}" name="Matched met 3 treatment subgrouping" dataDxfId="192"/>
    <tableColumn id="28" xr3:uid="{01B50714-0594-4685-BFAC-A2D112125C58}" name="Anonymized ID Matched met 4" dataDxfId="191"/>
    <tableColumn id="29" xr3:uid="{7F422BE0-3756-416C-8865-6CF5D78EBF9C}" name="Matched met 4 Block Number" dataDxfId="190"/>
    <tableColumn id="30" xr3:uid="{6C4DAE4B-5EC3-4A9E-81DD-61FBF6A0911F}" name="Matched met 4 Site" dataDxfId="189"/>
    <tableColumn id="31" xr3:uid="{4EEB79F7-7525-4FEF-AD52-8D992C00E8F3}" name="Matched met 4 Surgery Date " dataDxfId="188"/>
    <tableColumn id="32" xr3:uid="{A7C6F64B-69CF-4A29-9A66-EC94C10A52D9}" name="Matched met 4 treatment subgrouping" dataDxfId="187"/>
    <tableColumn id="33" xr3:uid="{EC9E6EF5-4535-4C6E-8D94-C7E4AF3FF7CC}" name="Anonymized ID Matched met 5" dataDxfId="186"/>
    <tableColumn id="34" xr3:uid="{3300B26A-B084-4800-83B3-3BC4D025BCCA}" name="Matched met 5 Block Number" dataDxfId="185"/>
    <tableColumn id="35" xr3:uid="{BC4EFA05-6B73-443B-91D2-3C9EA797C6C3}" name="Matched met 5 Site" dataDxfId="184"/>
    <tableColumn id="36" xr3:uid="{0B96A284-3038-48CF-878D-0BA4A9F7A812}" name="Matched met 5 Surgery Date " dataDxfId="183"/>
    <tableColumn id="37" xr3:uid="{7C3B3B1B-B9B7-497A-8061-DACC19BCA756}" name="Matched met 5 treatment subgrouping" dataDxfId="182"/>
    <tableColumn id="38" xr3:uid="{1A0272F9-000B-4260-AD13-71C8E05C5C46}" name="Anonymized ID Normal tissue" dataDxfId="181"/>
    <tableColumn id="39" xr3:uid="{E6C749B9-D97C-4068-9DC5-3A3C67EB7C0E}" name="Matched Normal tissue Block Number" dataDxfId="180"/>
    <tableColumn id="40" xr3:uid="{321121D0-DBB1-42EA-B9FC-CB34E4B073AD}" name="Matched Normal tissue Site" dataDxfId="179"/>
    <tableColumn id="41" xr3:uid="{B1C828BC-8357-4556-93FC-B753C25E0181}" name="Matched Normal tissue Surgery Date " dataDxfId="178"/>
    <tableColumn id="42" xr3:uid="{9DC86E53-92FF-4251-B56B-0B22DF10F524}" name="Matched Normal treatment subgrouping" dataDxfId="177"/>
    <tableColumn id="43" xr3:uid="{D5617EF4-7F73-4731-BB2D-9B57F7A8E52E}" name="Gender" dataDxfId="176"/>
    <tableColumn id="44" xr3:uid="{D007AF3A-5AB5-4717-87E7-2C6CD6C43570}" name="DOB " dataDxfId="175"/>
    <tableColumn id="45" xr3:uid="{8F323491-BD6B-4165-B916-B4B214CF9C79}" name="Date of DX" dataDxfId="174"/>
    <tableColumn id="46" xr3:uid="{F74046CA-B082-41F9-AAA4-39D185A14CE3}" name="Age at Diagnosis " dataDxfId="173">
      <calculatedColumnFormula>DATEDIF(AR4, AS4,"Y")</calculatedColumnFormula>
    </tableColumn>
    <tableColumn id="47" xr3:uid="{D4E75523-D2C8-4E71-87D5-8E93296148C0}" name="Specimen Histological Diagnosis" dataDxfId="172"/>
    <tableColumn id="48" xr3:uid="{7D5F3D96-E8B2-458B-88F0-B37BC659B145}" name="Staging/grading info provided for:" dataDxfId="171"/>
    <tableColumn id="49" xr3:uid="{5F85C66A-3DEB-45DF-AB96-046A0B9CC2BD}" name="Resection margins clear " dataDxfId="170"/>
    <tableColumn id="50" xr3:uid="{7E3331FB-774F-4363-A23F-69A29A8FA8A9}" name="pT" dataDxfId="169"/>
    <tableColumn id="51" xr3:uid="{73FA854C-01C9-43B8-A408-E549ECAC0B3D}" name="pN" dataDxfId="168"/>
    <tableColumn id="52" xr3:uid="{6EDECD36-9680-41DA-B032-F1B146128D5D}" name="pM" dataDxfId="167"/>
    <tableColumn id="53" xr3:uid="{3FD727CA-86B8-41C6-BDF5-1B0BEFF05F54}" name="cM" dataDxfId="166"/>
    <tableColumn id="54" xr3:uid="{ACF3D8BF-9062-49CC-A8CF-6423AD366491}" name="TNM stage" dataDxfId="165"/>
    <tableColumn id="55" xr3:uid="{A777E596-FE74-405C-B07F-AA6E5F55A071}" name="Grade" dataDxfId="164"/>
    <tableColumn id="56" xr3:uid="{5991B7FC-37A4-4B6A-BB55-CB2A66341362}" name="Staging criteria" dataDxfId="163"/>
    <tableColumn id="57" xr3:uid="{6000EB0A-CFAE-4B46-A367-5CA1A0B47EE9}" name="Stage at DX" dataDxfId="162"/>
    <tableColumn id="58" xr3:uid="{ACA1667B-9F07-433B-87E0-ACA9372A96C5}" name="Any Neoadjuvant therapy" dataDxfId="161"/>
    <tableColumn id="59" xr3:uid="{F81D554A-F194-4236-BC65-BC0E65818A2F}" name="Response to neoadjuvant therapy (TRS score)" dataDxfId="160"/>
    <tableColumn id="60" xr3:uid="{21609743-5303-4424-85A0-1917737F364C}" name="Neoadjuvant Tx1" dataDxfId="159"/>
    <tableColumn id="61" xr3:uid="{474F598C-FF48-4D70-959A-5D752F589715}" name="Neoadjuvant Tx1 Agent" dataDxfId="158"/>
    <tableColumn id="62" xr3:uid="{E346EE11-7FCA-49ED-85DB-ED4FFBF07656}" name="Neoadjuvant Tx1 Start Date" dataDxfId="157"/>
    <tableColumn id="63" xr3:uid="{6669AB45-702A-4CE6-A407-8780F54E5F54}" name="Neoadjuvant Tx1 End Date" dataDxfId="156"/>
    <tableColumn id="64" xr3:uid="{9BE3CAD7-200B-4D85-BE16-F8CCBAF997ED}" name="Tumour response Neoadjuvant Tx1" dataDxfId="155"/>
    <tableColumn id="65" xr3:uid="{1841120F-5A71-4A6D-9A59-B74E94DC9779}" name="Neoadjuvant Tx2" dataDxfId="154"/>
    <tableColumn id="66" xr3:uid="{351FBCEC-67A2-4F17-8A39-0270C784E3DF}" name="Neoadjuvant Tx2 Agent" dataDxfId="153"/>
    <tableColumn id="67" xr3:uid="{D1BD7EED-DFE4-4199-868A-92E07DCB7B0E}" name="Tumour response Neoadjuvant  Tx2" dataDxfId="152"/>
    <tableColumn id="68" xr3:uid="{191B2364-7E30-4ADA-A366-BA4CD4127B21}" name="Neoadjuvant Tx3" dataDxfId="151"/>
    <tableColumn id="69" xr3:uid="{63B54433-0B64-46CF-BC10-2925685373B6}" name="Neoadjuvant Tx3 Agent" dataDxfId="150"/>
    <tableColumn id="70" xr3:uid="{F1D4938A-35DF-47D8-A038-A3F82156DF5B}" name="Tumour response Neoadjuvant  Tx3" dataDxfId="149"/>
    <tableColumn id="71" xr3:uid="{CA9BAE9A-79C2-40FA-AF6F-2DAE511062A2}" name="Neoadjuvant Tx4" dataDxfId="148"/>
    <tableColumn id="72" xr3:uid="{E101BA72-9B8D-4A03-B367-20182528D8E7}" name="Neoadjuvant Tx4 Agent" dataDxfId="147"/>
    <tableColumn id="73" xr3:uid="{34E0951F-2314-4E67-9F12-F2AF2BE449CE}" name="Tumour response Neoadjuvant  Tx4" dataDxfId="146"/>
    <tableColumn id="74" xr3:uid="{A06B43AF-A7D4-41E1-98DA-B4A9DD7E1445}" name="Neoadjuvant Tx5" dataDxfId="145"/>
    <tableColumn id="75" xr3:uid="{DA07AA30-A46E-4216-BAA7-D347392CBF0D}" name="Neoadjuvant Tx5 Agent" dataDxfId="144"/>
    <tableColumn id="76" xr3:uid="{0ECCC980-FB28-40F2-B5C2-C9B83711BCEC}" name="Tumour response Neoadjuvant  Tx5" dataDxfId="143"/>
    <tableColumn id="77" xr3:uid="{916D6AA5-6B4B-4691-A5B5-0863228A61C4}" name="Neoadjuvant Tx6" dataDxfId="142"/>
    <tableColumn id="78" xr3:uid="{95D9C9AA-8602-4B6E-BCFF-08514487DF5E}" name="Neoadjuvant Tx6 Agent" dataDxfId="141"/>
    <tableColumn id="79" xr3:uid="{5EF9DF4F-BB51-41AA-BE28-FFE6D7F52963}" name="Tumour response Neoadjuvant  Tx6" dataDxfId="140"/>
    <tableColumn id="80" xr3:uid="{BAF3584D-214B-4E0A-9FB1-1647CB26D9F2}" name="Neoadjuvant Tx7" dataDxfId="139"/>
    <tableColumn id="81" xr3:uid="{44CCC7CA-B144-4DB5-A6C2-8DEA9129A334}" name="Neoadjuvant Tx7 Agent" dataDxfId="138"/>
    <tableColumn id="82" xr3:uid="{D1B67DC7-1501-44FE-8721-CF583A2716B0}" name="Tumour response Neoadjuvant  Tx7" dataDxfId="137"/>
    <tableColumn id="83" xr3:uid="{828D5C60-9CF7-4F0A-B87B-A729DA0224F3}" name="Neoadjuvant Tx8" dataDxfId="136"/>
    <tableColumn id="84" xr3:uid="{4A4FCC35-353D-40A7-A860-CC391E473B06}" name="Neoadjuvant Tx8 Agent" dataDxfId="135"/>
    <tableColumn id="85" xr3:uid="{BD49915C-C5EF-487A-ABB5-81E4C81A3769}" name="Tumour response Neoadjuvant  Tx8" dataDxfId="134"/>
    <tableColumn id="86" xr3:uid="{165FA17C-E094-4D24-9BDF-290C452F7FEA}" name="Neoadjuvant Tx9" dataDxfId="133"/>
    <tableColumn id="87" xr3:uid="{ACA1CEE8-BAED-4CCE-B745-AAE0DCA243CA}" name="Neoadjuvant Tx9 Agent" dataDxfId="132"/>
    <tableColumn id="88" xr3:uid="{47677137-3293-45FB-9A12-85C1F2031B49}" name="Tumour response Neoadjuvant  Tx9" dataDxfId="131"/>
    <tableColumn id="89" xr3:uid="{02A13ED2-4D02-484A-9314-755AFBB0495B}" name="Neoadjuvant Tx10" dataDxfId="130"/>
    <tableColumn id="90" xr3:uid="{313D44FB-4683-406D-A085-56F00F0D258B}" name="Neoadjuvant Tx10 Agent" dataDxfId="129"/>
    <tableColumn id="91" xr3:uid="{6AF1825C-8488-443F-831C-4A0918EA651B}" name="Tumour response Neoadjuvant Tx10" dataDxfId="128"/>
    <tableColumn id="92" xr3:uid="{292855CE-EE97-462A-B944-C76C23361560}" name="Adjuvant Tx1" dataDxfId="127"/>
    <tableColumn id="93" xr3:uid="{DE288707-5C0F-41D3-9015-8F94438DEA0C}" name="Adjuvant Tx1 Agent" dataDxfId="126"/>
    <tableColumn id="94" xr3:uid="{D1C64F2B-EEF7-4241-B1A3-B6DFD18AC419}" name="Adjuvant Tx1 Start Date" dataDxfId="125"/>
    <tableColumn id="95" xr3:uid="{926C6AC5-CA49-4D30-896B-981FBDCB351D}" name="Adjuvant Tx1 End Date" dataDxfId="124"/>
    <tableColumn id="96" xr3:uid="{3E365D18-8781-4E31-A79E-73C314A837F5}" name="Tumour response Adjuvant Tx1" dataDxfId="123"/>
    <tableColumn id="97" xr3:uid="{A3E9EA04-D183-4714-86E0-EC9781772FB5}" name="Adjuvant Tx2" dataDxfId="122"/>
    <tableColumn id="98" xr3:uid="{0AA0886E-2A65-4D8A-9F3C-40D5D1D1A5EF}" name="Adjuvant Tx2 Agent" dataDxfId="121"/>
    <tableColumn id="99" xr3:uid="{96F577C6-0D1D-4D1F-A2E9-1A5352EEA91F}" name="Tumour response Adjuvant  Tx2" dataDxfId="120"/>
    <tableColumn id="100" xr3:uid="{02047C36-A43C-4E27-82DA-4D46F90E7562}" name="Adjuvant Tx3" dataDxfId="119"/>
    <tableColumn id="101" xr3:uid="{3B37EC91-662B-4B0B-9E74-D62B01081835}" name="Adjuvant Tx3 Agent" dataDxfId="118"/>
    <tableColumn id="102" xr3:uid="{7E9A6B6A-67DE-4F50-93B6-076B7EAD5436}" name="Tumour response Adjuvant  Tx3" dataDxfId="117"/>
    <tableColumn id="103" xr3:uid="{BDBCD2D0-1FF7-4556-96F7-8AA9F6BEFF62}" name="Adjuvant Tx4" dataDxfId="116"/>
    <tableColumn id="104" xr3:uid="{894A30A8-CE84-4066-9708-EEDE695A7E4B}" name="Adjuvant Tx4 Agent" dataDxfId="115"/>
    <tableColumn id="105" xr3:uid="{63C64972-B26E-4002-9D8A-F28164D5ED5C}" name="Tumour response Adjuvant  Tx4" dataDxfId="114"/>
    <tableColumn id="106" xr3:uid="{F21D43CA-6EDC-401F-8EE9-24BF1621C672}" name="Adjuvant Tx5" dataDxfId="113"/>
    <tableColumn id="107" xr3:uid="{1BA4C749-66E1-43DF-88AF-7707744E3C61}" name="Adjuvant Tx5 Agent" dataDxfId="112"/>
    <tableColumn id="108" xr3:uid="{1A9D4E82-F237-4C28-93D2-072EA044FF37}" name="Tumour response Adjuvant  Tx5" dataDxfId="111"/>
    <tableColumn id="109" xr3:uid="{C0C8BE6D-7351-493B-B998-53AD808BA6F2}" name="Adjuvant Tx6" dataDxfId="110"/>
    <tableColumn id="110" xr3:uid="{3998514E-602E-4379-B679-E06B8E48455C}" name="Adjuvant Tx6 Agent" dataDxfId="109"/>
    <tableColumn id="111" xr3:uid="{953B1E7F-524E-4EA6-87DB-DC27FB1C8F6C}" name="Tumour response Adjuvant  Tx6" dataDxfId="108"/>
    <tableColumn id="112" xr3:uid="{08098A45-1265-4C24-AD55-174DB97117D4}" name="Adjuvant Tx7" dataDxfId="107"/>
    <tableColumn id="113" xr3:uid="{CBC60143-3418-47A4-9E8E-B4856896DDC0}" name="Adjuvant Tx7 Agent" dataDxfId="106"/>
    <tableColumn id="114" xr3:uid="{5F7099BD-CA5C-47D0-AA16-7DECDBA1BEA9}" name="Tumour response Adjuvant  Tx7" dataDxfId="105"/>
    <tableColumn id="115" xr3:uid="{09E5AF18-1D70-4E09-ABB4-3C3341A94D21}" name="Adjuvant Tx8" dataDxfId="104"/>
    <tableColumn id="116" xr3:uid="{18B03772-AF07-4EF6-B33C-0444204A3DC1}" name="Adjuvant Tx8 Agent" dataDxfId="103"/>
    <tableColumn id="117" xr3:uid="{F7706305-4A19-4631-86F2-BA227962E2DB}" name="Tumour response Adjuvant  Tx8" dataDxfId="102"/>
    <tableColumn id="118" xr3:uid="{BFBF2869-9D39-42D8-8C8B-1F0F89A0EE3B}" name="Adjuvant Tx9" dataDxfId="101"/>
    <tableColumn id="119" xr3:uid="{AD4524D9-62B0-4901-B1DA-E8CE0CB52857}" name="Adjuvant Tx9 Agent" dataDxfId="100"/>
    <tableColumn id="120" xr3:uid="{ED9D5B6D-A2EE-4CDE-B9C3-F79EF9DB1F65}" name="Tumour response Adjuvant  Tx9" dataDxfId="99"/>
    <tableColumn id="121" xr3:uid="{BAEB80B5-54D3-408B-BEFD-E261C33ED2B2}" name="Adjuvant Tx10" dataDxfId="98"/>
    <tableColumn id="122" xr3:uid="{F332FB4A-B26C-4EB0-8578-42F98A6FF539}" name="Adjuvant Tx10 Agent" dataDxfId="97"/>
    <tableColumn id="123" xr3:uid="{950F3AB2-BCD9-4F3F-8CA5-DED8686092AE}" name="Tumour response Adjuvant Tx10" dataDxfId="96"/>
    <tableColumn id="124" xr3:uid="{7ED1F25F-8A29-4366-B4F2-3D1FD76FC8F5}" name="Adjuvant Tx11" dataDxfId="95"/>
    <tableColumn id="125" xr3:uid="{4B1957B3-D272-4615-A32B-E0426107EC9F}" name="Adjuvant Tx11 Agent" dataDxfId="94"/>
    <tableColumn id="126" xr3:uid="{93EB1AD9-F207-4F5D-8C81-D6365C5A903A}" name="Tumour response Adjuvant Tx11" dataDxfId="93"/>
    <tableColumn id="127" xr3:uid="{C051A89A-4D9F-4817-B6B9-1136E42CDC67}" name="Adjuvant Tx12" dataDxfId="92"/>
    <tableColumn id="128" xr3:uid="{422152F5-89C3-447A-B8ED-BF040F13D2C7}" name="Adjuvant Tx12 Agent" dataDxfId="91"/>
    <tableColumn id="129" xr3:uid="{AAF9D90E-FDBE-4AC2-BBA4-05B307390DB3}" name="Tumour response Adjuvant Tx12" dataDxfId="90"/>
    <tableColumn id="130" xr3:uid="{857C3D70-032C-4976-BD33-45D54EFB0DDB}" name="Adjuvant Tx13" dataDxfId="89"/>
    <tableColumn id="131" xr3:uid="{837914C1-9206-41EB-97CE-EB4C36154E7B}" name="Adjuvant Tx13 Agent" dataDxfId="88"/>
    <tableColumn id="132" xr3:uid="{AB28C234-85FC-4EC0-8E76-1655A9AB3394}" name="Tumour response Adjuvant Tx13" dataDxfId="87"/>
    <tableColumn id="133" xr3:uid="{9FDA212B-4B1C-41CF-8845-8987B21FE114}" name="Adjuvant Tx14" dataDxfId="86"/>
    <tableColumn id="134" xr3:uid="{1D53B6D2-D50F-4032-8AD8-75B516B03FBF}" name="Adjuvant Tx14 Agent" dataDxfId="85"/>
    <tableColumn id="135" xr3:uid="{6A8C762E-4C50-4D8C-9ABC-31FD92B60360}" name="Tumour response Adjuvant Tx14" dataDxfId="84"/>
    <tableColumn id="136" xr3:uid="{27FD6D12-A97B-40AF-A279-B35C68882CA2}" name="Adjuvant Tx15" dataDxfId="83"/>
    <tableColumn id="137" xr3:uid="{4CC1571F-6BDC-4190-9234-FF0B9FC64AB8}" name="Adjuvant Tx15 Agent" dataDxfId="82"/>
    <tableColumn id="138" xr3:uid="{C8A3F17E-00D3-4929-AF9A-618844D1CA12}" name="Tumour response Adjuvant Tx15" dataDxfId="81"/>
    <tableColumn id="139" xr3:uid="{496B96B3-854F-4A1B-9AFA-E28EBBD8B898}" name="Date recurrence/ progression 1" dataDxfId="80"/>
    <tableColumn id="140" xr3:uid="{E738F890-E34F-4AB6-9065-0A1FC0506632}" name="Sites recurrence/ progression 1" dataDxfId="79"/>
    <tableColumn id="141" xr3:uid="{710E0E11-DBD3-4237-A1D7-006C4A395B3C}" name="Subsequent Tx1" dataDxfId="78"/>
    <tableColumn id="142" xr3:uid="{12F82ED5-81A9-466B-A891-43240AED3498}" name="Subsequent Tx1 Agent" dataDxfId="77"/>
    <tableColumn id="143" xr3:uid="{8CC66DD9-912F-455D-9258-1BF8A6AD6F78}" name="Subsequent Tx1 Start Date" dataDxfId="76"/>
    <tableColumn id="144" xr3:uid="{97199D73-3CD2-436B-B746-09724C646833}" name="Subsequent Tx1        End Date" dataDxfId="75"/>
    <tableColumn id="145" xr3:uid="{965CA508-91C3-45DE-9853-EDC2FD68CA71}" name="Tumour response to Subsequent Tx1" dataDxfId="74"/>
    <tableColumn id="146" xr3:uid="{E9522C7F-38EA-4BE6-97CC-94D1717FEE70}" name="Subsequent Tx2" dataDxfId="73"/>
    <tableColumn id="147" xr3:uid="{19C05132-44CD-4372-8155-11A247F100DA}" name="Subsequent Tx2 Agent" dataDxfId="72"/>
    <tableColumn id="148" xr3:uid="{EB2CAD0F-7EEA-4ED4-B9B5-FA2ABB5CD9CA}" name="Tumour response to Subsequent Tx2" dataDxfId="71"/>
    <tableColumn id="149" xr3:uid="{ADBE13A8-E12A-4E2E-A715-EE6271F3470C}" name="Subsequent Tx3" dataDxfId="70"/>
    <tableColumn id="150" xr3:uid="{A6A8C047-F0A0-4033-94A0-B0CF74358CB4}" name="Subsequent Tx3 Agent" dataDxfId="69"/>
    <tableColumn id="151" xr3:uid="{D25C4847-3B7C-42F8-89E8-DF186CD618C3}" name="Tumour response to Subsequent Tx3" dataDxfId="68"/>
    <tableColumn id="152" xr3:uid="{BD77621C-00E8-4995-B27A-B4985B960D64}" name="Subsequent Tx4" dataDxfId="67"/>
    <tableColumn id="153" xr3:uid="{2B2DB1C4-6858-4F49-A9B1-FB1E4D5029D2}" name="Subsequent Tx4 Agent" dataDxfId="66"/>
    <tableColumn id="154" xr3:uid="{C01771EE-217E-4E67-A480-CDC045DFF461}" name="Tumour response to Subsequent Tx4" dataDxfId="65"/>
    <tableColumn id="155" xr3:uid="{4F30D8FD-C985-4C06-AECB-632E096F924C}" name="Subsequent Tx5" dataDxfId="64"/>
    <tableColumn id="156" xr3:uid="{57EF1F27-032E-40F9-89CE-4D232212B16A}" name="Subsequent Tx5 Agent" dataDxfId="63"/>
    <tableColumn id="157" xr3:uid="{C9656774-7D73-4440-B6C6-4CD0221D0174}" name="Tumour response to Subsequent Tx5" dataDxfId="62"/>
    <tableColumn id="158" xr3:uid="{C2EB6986-1941-44D6-89E9-7F3753A6AAD2}" name="Subsequent Tx6" dataDxfId="61"/>
    <tableColumn id="159" xr3:uid="{57EFF534-412D-4842-BC95-3B295B1AB25B}" name="Subsequent Tx6 Agent" dataDxfId="60"/>
    <tableColumn id="160" xr3:uid="{9B1255A2-C3AE-4FC7-A0CC-A20A7EADDC84}" name="Tumour response to Subsequent Tx6" dataDxfId="59"/>
    <tableColumn id="161" xr3:uid="{8A2145EF-D5E1-4520-86E2-E324AAA3B667}" name="Subsequent Tx7" dataDxfId="58"/>
    <tableColumn id="162" xr3:uid="{B15AFD81-B4D5-42CC-AA34-6DEE265CCAFA}" name="Subsequent Tx7 Agent" dataDxfId="57"/>
    <tableColumn id="163" xr3:uid="{61F86CC9-B882-4D34-8C02-5B42D5DD3FBD}" name="Tumour response to Subsequent Tx7" dataDxfId="56"/>
    <tableColumn id="164" xr3:uid="{9EB19048-58BF-4C2B-A72E-5AB10776F355}" name="Subsequent Tx8" dataDxfId="55"/>
    <tableColumn id="165" xr3:uid="{4ED32292-5ABC-4B6C-906B-4C76BDCEF390}" name="Subsequent Tx8 Agent" dataDxfId="54"/>
    <tableColumn id="166" xr3:uid="{BB9A974C-F02C-44D6-A84D-529DF211FCAB}" name="Tumour response to Subsequent Tx8" dataDxfId="53"/>
    <tableColumn id="167" xr3:uid="{019D619C-DE19-4242-ABB1-7D6B8F02C57A}" name="Subsequent Tx9" dataDxfId="52"/>
    <tableColumn id="168" xr3:uid="{BE4E4DA1-B656-4886-93CC-066D526EA5D0}" name="Subsequent Tx9 Agent" dataDxfId="51"/>
    <tableColumn id="169" xr3:uid="{EF45357D-B881-4DD2-BE6C-E831014FA0B8}" name="Tumour response to Subsequent Tx9" dataDxfId="50"/>
    <tableColumn id="170" xr3:uid="{E18297DC-5C54-4A38-BB90-E8D72A1C99E0}" name="Subsequent Tx10" dataDxfId="49"/>
    <tableColumn id="171" xr3:uid="{2F202BCB-C339-403F-8093-1DB46A2FFA07}" name="Subsequent Tx10 Agent" dataDxfId="48"/>
    <tableColumn id="172" xr3:uid="{B3A3BA94-300E-44A7-AA2F-FC79A59854FF}" name="Tumour response to Subsequent Tx10" dataDxfId="47"/>
    <tableColumn id="173" xr3:uid="{A0A4087F-D707-4B14-BF9F-48EC58DF6CE3}" name="Subsequent Tx11" dataDxfId="46"/>
    <tableColumn id="174" xr3:uid="{EFF69043-51B3-4B79-A10B-7BA4C5511BB8}" name="Subsequent Tx11 Agent" dataDxfId="45"/>
    <tableColumn id="175" xr3:uid="{4CE91E7A-4DFA-4806-ADB1-B7F9D534623E}" name="Tumour response to Subsequent Tx11" dataDxfId="44"/>
    <tableColumn id="176" xr3:uid="{0965F589-E34D-45A3-A40C-6E3638D82A0A}" name="Subsequent Tx12" dataDxfId="43"/>
    <tableColumn id="177" xr3:uid="{934F5786-86F3-4481-A1B5-15C54B97F244}" name="Subsequent Tx12 Agent" dataDxfId="42"/>
    <tableColumn id="178" xr3:uid="{E36B3545-87D3-4A5E-970E-E73A1E09C6A7}" name="Tumour response to Subsequent Tx12" dataDxfId="41"/>
    <tableColumn id="179" xr3:uid="{640F989D-3853-4586-92A2-37F0EE95BC70}" name="Subsequent Tx13" dataDxfId="40"/>
    <tableColumn id="180" xr3:uid="{7E25AC47-3023-4A1E-872F-917BA03A5FEA}" name="Subsequent Tx13 Agent" dataDxfId="39"/>
    <tableColumn id="181" xr3:uid="{AC25E676-677E-487D-8EC4-7677DF5BB456}" name="Tumour response to Subsequent Tx13" dataDxfId="38"/>
    <tableColumn id="182" xr3:uid="{2AA6A911-7CA8-4B58-A4FE-77A0611B1FBE}" name="Subsequent Tx14" dataDxfId="37"/>
    <tableColumn id="183" xr3:uid="{4BDBE3D3-B9B7-4A7C-B583-94BA0CAA37D1}" name="Subsequent Tx14 Agent" dataDxfId="36"/>
    <tableColumn id="184" xr3:uid="{5BC58564-885C-4ADD-AEB1-4C8461599814}" name="Tumour response to Subsequent Tx14" dataDxfId="35"/>
    <tableColumn id="185" xr3:uid="{EB075E52-ADCC-402F-AEC8-31BA7ACAEB0F}" name="Subsequent Tx15" dataDxfId="34"/>
    <tableColumn id="186" xr3:uid="{50A02919-E3FA-4CC6-A2BE-6D479CBE201F}" name="Subsequent Tx15 Agent" dataDxfId="33"/>
    <tableColumn id="187" xr3:uid="{0B39FDCC-011E-4DDC-889B-3B9AC336555A}" name="Tumour response to Subsequent Tx15" dataDxfId="32"/>
    <tableColumn id="188" xr3:uid="{6BE9B4E9-3631-404C-B93E-76403E29A267}" name="Current Status" dataDxfId="31"/>
    <tableColumn id="189" xr3:uid="{B0052DB2-B44D-4FE4-B583-B0901DE8115B}" name="Death date" dataDxfId="30"/>
    <tableColumn id="190" xr3:uid="{B6174311-417D-4740-BA9E-50E923C73E01}" name="Death tumour related" dataDxfId="29"/>
    <tableColumn id="191" xr3:uid="{9795D8CF-8864-467C-99E2-2E2A434087E0}" name="Cause of death" dataDxfId="28"/>
    <tableColumn id="192" xr3:uid="{CD270C1E-D761-4122-89E1-7798770B1922}" name="Date last follow-up" dataDxfId="27"/>
    <tableColumn id="193" xr3:uid="{7737BB2F-B403-4D46-A933-8D54EF8832CA}" name="Date Last Seen" dataDxfId="26"/>
    <tableColumn id="194" xr3:uid="{873D9FB8-9CC8-4518-845C-0E356F7273BC}" name="Comments from clinical team"/>
    <tableColumn id="195" xr3:uid="{DC5D034B-1A38-4B87-8AB4-8858CD176D97}" name="TTE Neoadjuvant Tx1 Start Date" dataDxfId="25">
      <calculatedColumnFormula>IFERROR(INT(BJ4 - $AS4)/30,"N/A")</calculatedColumnFormula>
    </tableColumn>
    <tableColumn id="196" xr3:uid="{9A1AC16A-9E04-4A1C-AA3A-0CCB9B67528D}" name="TTE Neoadjuvant Tx1 End Date" dataDxfId="24">
      <calculatedColumnFormula>IFERROR(INT(BK4 - $AS4)/30,"N/A")</calculatedColumnFormula>
    </tableColumn>
    <tableColumn id="197" xr3:uid="{AE7E9600-C170-4072-89A3-7E3AF69F12A9}" name="TTE Specimen surgery date" dataDxfId="23">
      <calculatedColumnFormula>IFERROR(INT(H4 - $AS4)/30,"N/A")</calculatedColumnFormula>
    </tableColumn>
    <tableColumn id="198" xr3:uid="{AC71F3AE-3DE6-4645-9F6D-F08CEE0181C6}" name="TTE Primary Surgery date " dataDxfId="22">
      <calculatedColumnFormula>IFERROR(INT(K4 - $AS4)/30,"N/A")</calculatedColumnFormula>
    </tableColumn>
    <tableColumn id="199" xr3:uid="{5C3FDD1B-3030-441F-B72E-F8FFD42B8A53}" name="TTE Matched met 1 Surgery Date " dataDxfId="21">
      <calculatedColumnFormula>IFERROR(INT(P4 - $AS4)/30,"N/A")</calculatedColumnFormula>
    </tableColumn>
    <tableColumn id="200" xr3:uid="{CDEB8617-7639-4B2A-A308-55808F4A77DE}" name="TTE Matched met 2 Surgery Date " dataDxfId="20">
      <calculatedColumnFormula>IFERROR(INT(U4 - $AS4)/30,"N/A")</calculatedColumnFormula>
    </tableColumn>
    <tableColumn id="201" xr3:uid="{C4151E1B-4334-4A20-9977-A89ECEB30EE3}" name="TTE Matched met 3 Surgery Date " dataDxfId="19">
      <calculatedColumnFormula>IFERROR(INT(Z4 - $AS4)/30,"N/A")</calculatedColumnFormula>
    </tableColumn>
    <tableColumn id="202" xr3:uid="{D5B8812F-0C89-4823-BB4E-E6476933F96A}" name="TTE Matched met 4 Surgery Date " dataDxfId="18">
      <calculatedColumnFormula>IFERROR(INT(AE4 - $AS4)/30,"N/A")</calculatedColumnFormula>
    </tableColumn>
    <tableColumn id="203" xr3:uid="{6E222833-5BED-4C8E-865D-8D9C45591142}" name="TTE Matched met 5 Surgery Date " dataDxfId="17">
      <calculatedColumnFormula>IFERROR(INT(AJ4 - $AS4)/30,"N/A")</calculatedColumnFormula>
    </tableColumn>
    <tableColumn id="204" xr3:uid="{D32421C8-4A43-4B85-8E03-7EAA33F45F3F}" name="TTE Matched Normal tissue Surgery Date " dataDxfId="16">
      <calculatedColumnFormula>IFERROR(INT(AO4 - $AS4)/30,"N/A")</calculatedColumnFormula>
    </tableColumn>
    <tableColumn id="205" xr3:uid="{83ACE49C-2253-4DB2-874D-701503B79754}" name="TTE Adjuvant Tx1 Start Date" dataDxfId="15">
      <calculatedColumnFormula>IFERROR(INT(CP4 - $AS4)/30,"N/A")</calculatedColumnFormula>
    </tableColumn>
    <tableColumn id="206" xr3:uid="{523E0F5E-E6A0-4DAB-90D0-0C7A25C8FE0D}" name="TTE Adjuvant Tx1 End Date" dataDxfId="14">
      <calculatedColumnFormula>IFERROR(INT(CQ4 - $AS4)/30,"N/A")</calculatedColumnFormula>
    </tableColumn>
    <tableColumn id="207" xr3:uid="{0271AB36-8745-46EB-A9B7-63A07D30C61B}" name="TTE Date recurrence/ progression 1" dataDxfId="13">
      <calculatedColumnFormula>IFERROR(INT(EI4 - $AS4)/30,"N/A")</calculatedColumnFormula>
    </tableColumn>
    <tableColumn id="208" xr3:uid="{952E459B-DA07-41FB-8379-EC2211A8D207}" name="TTE Subsequent Tx1 Start Date" dataDxfId="12">
      <calculatedColumnFormula>IFERROR(INT(EM4 - $AS4)/30,"N/A")</calculatedColumnFormula>
    </tableColumn>
    <tableColumn id="209" xr3:uid="{0DC29CFF-ED9F-4F2D-9AEC-371219C8AC1F}" name="TTE Subsequent Tx1 End Date" dataDxfId="11">
      <calculatedColumnFormula>IFERROR(INT(EN4 - $AS4)/30,"N/A")</calculatedColumnFormula>
    </tableColumn>
    <tableColumn id="210" xr3:uid="{B9691353-AE43-4F77-81D7-7655911DE670}" name="TTE Recurrence (PFS)" dataDxfId="10">
      <calculatedColumnFormula>$GY4</calculatedColumnFormula>
    </tableColumn>
    <tableColumn id="211" xr3:uid="{2A940E35-CF05-4E96-9C97-ED7DF49923FC}" name="TTE Death (OS and PFS)" dataDxfId="9">
      <calculatedColumnFormula>IFERROR(INT(GG4 - $AS4)/30,"N/A")</calculatedColumnFormula>
    </tableColumn>
    <tableColumn id="212" xr3:uid="{4A4B5604-1B3D-42DB-952E-EF94252CC0E6}" name="TTE Date last follow-up (PFS)" dataDxfId="8">
      <calculatedColumnFormula>IFERROR(INT(GJ4 - $AS4)/30,"N/A")</calculatedColumnFormula>
    </tableColumn>
    <tableColumn id="213" xr3:uid="{224B7C50-4356-4664-88C6-5F98B4AC9EF2}" name="TTE Date last seen (OS)" dataDxfId="7">
      <calculatedColumnFormula>IFERROR(INT(GK4 - $AS4)/30,"N/A")</calculatedColumnFormula>
    </tableColumn>
    <tableColumn id="214" xr3:uid="{0276A771-C6D9-4C26-82B5-DA2BBC90339C}" name="TTE Overall survival (OS) in months" dataDxfId="6" dataCellStyle="Normal 2">
      <calculatedColumnFormula>SUM($HC4,$HE4)</calculatedColumnFormula>
    </tableColumn>
    <tableColumn id="215" xr3:uid="{AE9F5674-50CE-4B37-AB6B-7D042886513C}" name="TTE Progression free survival (PFS) in months" dataDxfId="5" dataCellStyle="Normal 2">
      <calculatedColumnFormula array="1">INDEX($HB4:$HD4,MATCH(TRUE,INDEX(ISNUMBER($HB4:$HD4),0),0))</calculatedColumnFormula>
    </tableColumn>
    <tableColumn id="216" xr3:uid="{A66CA800-56C1-47C6-B674-FE04EAE8E3E8}" name="Event (recurrence/progression)" dataDxfId="4" dataCellStyle="Normal 2">
      <calculatedColumnFormula>IF($HB4="N/A",0,1)</calculatedColumnFormula>
    </tableColumn>
    <tableColumn id="217" xr3:uid="{CD24FCAE-1CC2-4BDD-9C87-F3B23BA0D96C}" name="Event (cancer death)" dataDxfId="3" dataCellStyle="Normal 2">
      <calculatedColumnFormula>IF($GH4="Yes",1,0)</calculatedColumnFormula>
    </tableColumn>
    <tableColumn id="218" xr3:uid="{71690D2D-227B-418D-B7DD-2992DFDC9EBF}" name="Event (death; all causes)" dataDxfId="2" dataCellStyle="Normal 2">
      <calculatedColumnFormula>IF($HC4="N/A",0,1)</calculatedColumnFormula>
    </tableColumn>
    <tableColumn id="219" xr3:uid="{1A2E40C6-30D0-4623-B818-DC78ED86063C}" name="Event (recurrence or cancer death)" dataDxfId="1" dataCellStyle="Normal 2">
      <calculatedColumnFormula>IF(OR($HH4=1,$HI4=1),"1","0")</calculatedColumnFormula>
    </tableColumn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CB22BC-1695-4F56-9502-53B227EFDF84}" name="Table1" displayName="Table1" ref="E1:I10" totalsRowShown="0" headerRowDxfId="228" dataDxfId="227">
  <autoFilter ref="E1:I10" xr:uid="{D6CB22BC-1695-4F56-9502-53B227EFDF84}"/>
  <tableColumns count="5">
    <tableColumn id="1" xr3:uid="{63272864-20E5-4A7C-8D58-41CB534C8CC6}" name="Therapy type" dataDxfId="226"/>
    <tableColumn id="2" xr3:uid="{B73E30ED-C9DE-48F0-B683-FC8FE9EC3B63}" name="Yes/No" dataDxfId="225"/>
    <tableColumn id="3" xr3:uid="{03246ABE-255C-4892-868D-F0AEF1FAC5E9}" name="Matched Normal treatment subgrouping" dataDxfId="224"/>
    <tableColumn id="4" xr3:uid="{85936DCB-2C5F-44AE-84FF-5D7F3DD5CA45}" name="Staging/grading info provided for:" dataDxfId="223"/>
    <tableColumn id="5" xr3:uid="{CE5B5999-5BA0-43D3-9526-3C81CFAB2209}" name="Staging criteria" dataDxfId="222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K8"/>
  <sheetViews>
    <sheetView tabSelected="1" zoomScale="120" zoomScaleNormal="120" workbookViewId="0">
      <pane xSplit="1" topLeftCell="B1" activePane="topRight" state="frozen"/>
      <selection pane="topRight" activeCell="F11" sqref="F11"/>
    </sheetView>
  </sheetViews>
  <sheetFormatPr defaultColWidth="9.1796875" defaultRowHeight="13" outlineLevelCol="1" x14ac:dyDescent="0.3"/>
  <cols>
    <col min="1" max="1" width="12" style="3" customWidth="1"/>
    <col min="2" max="2" width="18.453125" style="3" customWidth="1"/>
    <col min="3" max="3" width="27.6328125" style="3" customWidth="1"/>
    <col min="4" max="4" width="21.6328125" style="3" customWidth="1"/>
    <col min="5" max="5" width="28.26953125" style="3" customWidth="1"/>
    <col min="6" max="7" width="21.90625" style="3" customWidth="1"/>
    <col min="8" max="8" width="19.54296875" style="62" customWidth="1"/>
    <col min="9" max="9" width="16" style="3" customWidth="1"/>
    <col min="10" max="10" width="18.90625" style="3" customWidth="1"/>
    <col min="11" max="11" width="16" style="62" hidden="1" customWidth="1"/>
    <col min="12" max="12" width="8" style="3" hidden="1" customWidth="1"/>
    <col min="13" max="15" width="16" style="3" hidden="1" customWidth="1"/>
    <col min="16" max="16" width="16" style="62" hidden="1" customWidth="1"/>
    <col min="17" max="17" width="16" style="3" hidden="1" customWidth="1"/>
    <col min="18" max="20" width="16" style="3" hidden="1" customWidth="1" outlineLevel="1"/>
    <col min="21" max="21" width="16" style="62" hidden="1" customWidth="1" outlineLevel="1"/>
    <col min="22" max="25" width="18.81640625" style="3" hidden="1" customWidth="1" outlineLevel="1"/>
    <col min="26" max="26" width="18.81640625" style="62" hidden="1" customWidth="1" outlineLevel="1"/>
    <col min="27" max="30" width="18.81640625" style="3" hidden="1" customWidth="1" outlineLevel="1"/>
    <col min="31" max="31" width="18.81640625" style="62" hidden="1" customWidth="1" outlineLevel="1"/>
    <col min="32" max="35" width="18.81640625" style="3" hidden="1" customWidth="1" outlineLevel="1"/>
    <col min="36" max="36" width="18.81640625" style="62" hidden="1" customWidth="1" outlineLevel="1"/>
    <col min="37" max="37" width="18.81640625" style="3" hidden="1" customWidth="1" outlineLevel="1"/>
    <col min="38" max="40" width="16" style="3" hidden="1" customWidth="1" outlineLevel="1"/>
    <col min="41" max="41" width="16" style="62" hidden="1" customWidth="1" outlineLevel="1"/>
    <col min="42" max="42" width="16" style="3" hidden="1" customWidth="1" outlineLevel="1"/>
    <col min="43" max="43" width="8" style="3" customWidth="1" collapsed="1"/>
    <col min="44" max="44" width="16" style="62" customWidth="1"/>
    <col min="45" max="45" width="13.7265625" style="62" customWidth="1"/>
    <col min="46" max="46" width="15.1796875" style="3" customWidth="1"/>
    <col min="47" max="47" width="26.54296875" style="3" customWidth="1"/>
    <col min="48" max="48" width="28" style="3" customWidth="1"/>
    <col min="49" max="49" width="20.7265625" style="3" customWidth="1"/>
    <col min="50" max="53" width="5.1796875" style="3" customWidth="1"/>
    <col min="54" max="54" width="10.54296875" style="3" customWidth="1"/>
    <col min="55" max="55" width="7" style="3" customWidth="1"/>
    <col min="56" max="56" width="13.6328125" style="3" customWidth="1"/>
    <col min="57" max="57" width="10.81640625" style="3" customWidth="1"/>
    <col min="58" max="58" width="21.7265625" style="3" customWidth="1" collapsed="1"/>
    <col min="59" max="59" width="15.26953125" style="66" hidden="1" customWidth="1"/>
    <col min="60" max="61" width="16" style="3" hidden="1" customWidth="1"/>
    <col min="62" max="62" width="16" style="62" hidden="1" customWidth="1"/>
    <col min="63" max="63" width="10" style="62" hidden="1" customWidth="1"/>
    <col min="64" max="91" width="16" style="3" hidden="1" customWidth="1"/>
    <col min="92" max="92" width="12.26953125" style="3" customWidth="1"/>
    <col min="93" max="93" width="32.26953125" style="3" customWidth="1"/>
    <col min="94" max="94" width="20.26953125" style="62" customWidth="1"/>
    <col min="95" max="95" width="19.453125" style="62" customWidth="1"/>
    <col min="96" max="96" width="26.08984375" style="3" customWidth="1"/>
    <col min="97" max="97" width="15.81640625" style="3" customWidth="1"/>
    <col min="98" max="98" width="17.08984375" style="3" customWidth="1"/>
    <col min="99" max="99" width="26.453125" style="3" customWidth="1"/>
    <col min="100" max="100" width="15.81640625" style="3" customWidth="1"/>
    <col min="101" max="101" width="17.08984375" style="3" customWidth="1"/>
    <col min="102" max="102" width="26.453125" style="3" customWidth="1"/>
    <col min="103" max="138" width="15.81640625" style="3" hidden="1" customWidth="1"/>
    <col min="139" max="139" width="26" style="62" customWidth="1" collapsed="1"/>
    <col min="140" max="140" width="26" style="3" customWidth="1"/>
    <col min="141" max="141" width="16" style="3" customWidth="1"/>
    <col min="142" max="142" width="19.1796875" style="3" customWidth="1"/>
    <col min="143" max="143" width="22.26953125" style="62" customWidth="1"/>
    <col min="144" max="144" width="24.1796875" style="62" customWidth="1"/>
    <col min="145" max="145" width="30.08984375" style="3" customWidth="1"/>
    <col min="146" max="146" width="16" style="3" customWidth="1"/>
    <col min="147" max="147" width="19.1796875" style="3" customWidth="1"/>
    <col min="148" max="148" width="30.08984375" style="3" customWidth="1"/>
    <col min="149" max="149" width="16" style="3" customWidth="1"/>
    <col min="150" max="150" width="19.1796875" style="3" customWidth="1"/>
    <col min="151" max="151" width="30.08984375" style="3" customWidth="1"/>
    <col min="152" max="152" width="16" style="3" customWidth="1"/>
    <col min="153" max="153" width="19.1796875" style="3" customWidth="1"/>
    <col min="154" max="154" width="30.08984375" style="3" customWidth="1"/>
    <col min="155" max="155" width="16" style="3" customWidth="1"/>
    <col min="156" max="156" width="19.1796875" style="3" customWidth="1"/>
    <col min="157" max="157" width="30.08984375" style="3" customWidth="1"/>
    <col min="158" max="158" width="16" style="3" customWidth="1"/>
    <col min="159" max="159" width="19.1796875" style="3" customWidth="1"/>
    <col min="160" max="160" width="30.08984375" style="3" customWidth="1"/>
    <col min="161" max="187" width="16" style="3" hidden="1" customWidth="1"/>
    <col min="188" max="188" width="13.26953125" style="3" customWidth="1"/>
    <col min="189" max="189" width="17" style="62" customWidth="1"/>
    <col min="190" max="190" width="18.90625" style="3" customWidth="1"/>
    <col min="191" max="191" width="26.81640625" style="3" customWidth="1"/>
    <col min="192" max="193" width="19" style="62" customWidth="1"/>
    <col min="194" max="194" width="24.7265625" style="62" customWidth="1"/>
    <col min="195" max="195" width="26.1796875" style="3" customWidth="1"/>
    <col min="196" max="196" width="25.453125" style="3" customWidth="1"/>
    <col min="197" max="197" width="22.6328125" style="3" customWidth="1"/>
    <col min="198" max="198" width="21.81640625" style="3" customWidth="1"/>
    <col min="199" max="203" width="27.36328125" style="3" customWidth="1"/>
    <col min="204" max="204" width="33.6328125" style="3" customWidth="1"/>
    <col min="205" max="205" width="23.36328125" style="3" customWidth="1"/>
    <col min="206" max="206" width="22.54296875" style="3" customWidth="1"/>
    <col min="207" max="207" width="29.08984375" style="3" customWidth="1"/>
    <col min="208" max="208" width="25.36328125" style="3" customWidth="1"/>
    <col min="209" max="209" width="24.6328125" style="3" customWidth="1"/>
    <col min="210" max="210" width="18.1796875" style="3" customWidth="1"/>
    <col min="211" max="211" width="19.81640625" style="3" customWidth="1"/>
    <col min="212" max="212" width="23.90625" style="3" customWidth="1"/>
    <col min="213" max="213" width="19.54296875" style="3" customWidth="1"/>
    <col min="214" max="214" width="28.7265625" style="3" customWidth="1"/>
    <col min="215" max="215" width="36.36328125" style="3" customWidth="1"/>
    <col min="216" max="216" width="26.08984375" style="3" customWidth="1"/>
    <col min="217" max="217" width="17.81640625" style="3" customWidth="1"/>
    <col min="218" max="218" width="20.6328125" style="3" customWidth="1"/>
    <col min="219" max="219" width="28.453125" style="3" customWidth="1"/>
    <col min="220" max="16384" width="9.1796875" style="3"/>
  </cols>
  <sheetData>
    <row r="1" spans="1:219" ht="18" x14ac:dyDescent="0.4">
      <c r="A1" s="1" t="s">
        <v>0</v>
      </c>
    </row>
    <row r="2" spans="1:219" ht="18.5" x14ac:dyDescent="0.45">
      <c r="A2" s="2" t="s">
        <v>1</v>
      </c>
    </row>
    <row r="3" spans="1:219" ht="58.5" customHeight="1" x14ac:dyDescent="0.3">
      <c r="A3" s="4" t="s">
        <v>2</v>
      </c>
      <c r="B3" s="4" t="s">
        <v>3</v>
      </c>
      <c r="C3" s="4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6" t="s">
        <v>9</v>
      </c>
      <c r="I3" s="7" t="s">
        <v>10</v>
      </c>
      <c r="J3" s="7" t="s">
        <v>11</v>
      </c>
      <c r="K3" s="6" t="s">
        <v>12</v>
      </c>
      <c r="L3" s="4" t="s">
        <v>13</v>
      </c>
      <c r="M3" s="8" t="s">
        <v>14</v>
      </c>
      <c r="N3" s="8" t="s">
        <v>15</v>
      </c>
      <c r="O3" s="8" t="s">
        <v>16</v>
      </c>
      <c r="P3" s="64" t="s">
        <v>17</v>
      </c>
      <c r="Q3" s="4" t="s">
        <v>18</v>
      </c>
      <c r="R3" s="8" t="s">
        <v>19</v>
      </c>
      <c r="S3" s="8" t="s">
        <v>20</v>
      </c>
      <c r="T3" s="8" t="s">
        <v>21</v>
      </c>
      <c r="U3" s="64" t="s">
        <v>22</v>
      </c>
      <c r="V3" s="4" t="s">
        <v>23</v>
      </c>
      <c r="W3" s="8" t="s">
        <v>24</v>
      </c>
      <c r="X3" s="8" t="s">
        <v>25</v>
      </c>
      <c r="Y3" s="8" t="s">
        <v>26</v>
      </c>
      <c r="Z3" s="64" t="s">
        <v>27</v>
      </c>
      <c r="AA3" s="4" t="s">
        <v>28</v>
      </c>
      <c r="AB3" s="8" t="s">
        <v>29</v>
      </c>
      <c r="AC3" s="8" t="s">
        <v>30</v>
      </c>
      <c r="AD3" s="8" t="s">
        <v>31</v>
      </c>
      <c r="AE3" s="64" t="s">
        <v>32</v>
      </c>
      <c r="AF3" s="4" t="s">
        <v>33</v>
      </c>
      <c r="AG3" s="8" t="s">
        <v>34</v>
      </c>
      <c r="AH3" s="8" t="s">
        <v>35</v>
      </c>
      <c r="AI3" s="8" t="s">
        <v>36</v>
      </c>
      <c r="AJ3" s="64" t="s">
        <v>37</v>
      </c>
      <c r="AK3" s="4" t="s">
        <v>38</v>
      </c>
      <c r="AL3" s="8" t="s">
        <v>39</v>
      </c>
      <c r="AM3" s="8" t="s">
        <v>40</v>
      </c>
      <c r="AN3" s="8" t="s">
        <v>41</v>
      </c>
      <c r="AO3" s="64" t="s">
        <v>42</v>
      </c>
      <c r="AP3" s="4" t="s">
        <v>43</v>
      </c>
      <c r="AQ3" s="5" t="s">
        <v>44</v>
      </c>
      <c r="AR3" s="10" t="s">
        <v>45</v>
      </c>
      <c r="AS3" s="11" t="s">
        <v>46</v>
      </c>
      <c r="AT3" s="12" t="s">
        <v>47</v>
      </c>
      <c r="AU3" s="13" t="s">
        <v>48</v>
      </c>
      <c r="AV3" s="14" t="s">
        <v>49</v>
      </c>
      <c r="AW3" s="15" t="s">
        <v>50</v>
      </c>
      <c r="AX3" s="15" t="s">
        <v>51</v>
      </c>
      <c r="AY3" s="15" t="s">
        <v>52</v>
      </c>
      <c r="AZ3" s="15" t="s">
        <v>53</v>
      </c>
      <c r="BA3" s="15" t="s">
        <v>54</v>
      </c>
      <c r="BB3" s="16" t="s">
        <v>55</v>
      </c>
      <c r="BC3" s="13" t="s">
        <v>56</v>
      </c>
      <c r="BD3" s="14" t="s">
        <v>57</v>
      </c>
      <c r="BE3" s="17" t="s">
        <v>58</v>
      </c>
      <c r="BF3" s="18" t="s">
        <v>59</v>
      </c>
      <c r="BG3" s="67" t="s">
        <v>60</v>
      </c>
      <c r="BH3" s="82" t="s">
        <v>61</v>
      </c>
      <c r="BI3" s="82" t="s">
        <v>62</v>
      </c>
      <c r="BJ3" s="83" t="s">
        <v>63</v>
      </c>
      <c r="BK3" s="83" t="s">
        <v>64</v>
      </c>
      <c r="BL3" s="82" t="s">
        <v>65</v>
      </c>
      <c r="BM3" s="82" t="s">
        <v>66</v>
      </c>
      <c r="BN3" s="82" t="s">
        <v>67</v>
      </c>
      <c r="BO3" s="82" t="s">
        <v>68</v>
      </c>
      <c r="BP3" s="82" t="s">
        <v>69</v>
      </c>
      <c r="BQ3" s="82" t="s">
        <v>70</v>
      </c>
      <c r="BR3" s="82" t="s">
        <v>71</v>
      </c>
      <c r="BS3" s="82" t="s">
        <v>72</v>
      </c>
      <c r="BT3" s="82" t="s">
        <v>73</v>
      </c>
      <c r="BU3" s="82" t="s">
        <v>74</v>
      </c>
      <c r="BV3" s="82" t="s">
        <v>75</v>
      </c>
      <c r="BW3" s="82" t="s">
        <v>76</v>
      </c>
      <c r="BX3" s="82" t="s">
        <v>77</v>
      </c>
      <c r="BY3" s="82" t="s">
        <v>78</v>
      </c>
      <c r="BZ3" s="82" t="s">
        <v>79</v>
      </c>
      <c r="CA3" s="82" t="s">
        <v>80</v>
      </c>
      <c r="CB3" s="82" t="s">
        <v>81</v>
      </c>
      <c r="CC3" s="82" t="s">
        <v>82</v>
      </c>
      <c r="CD3" s="82" t="s">
        <v>83</v>
      </c>
      <c r="CE3" s="82" t="s">
        <v>84</v>
      </c>
      <c r="CF3" s="82" t="s">
        <v>85</v>
      </c>
      <c r="CG3" s="82" t="s">
        <v>86</v>
      </c>
      <c r="CH3" s="82" t="s">
        <v>87</v>
      </c>
      <c r="CI3" s="82" t="s">
        <v>88</v>
      </c>
      <c r="CJ3" s="82" t="s">
        <v>89</v>
      </c>
      <c r="CK3" s="82" t="s">
        <v>90</v>
      </c>
      <c r="CL3" s="82" t="s">
        <v>91</v>
      </c>
      <c r="CM3" s="82" t="s">
        <v>92</v>
      </c>
      <c r="CN3" s="21" t="s">
        <v>93</v>
      </c>
      <c r="CO3" s="21" t="s">
        <v>94</v>
      </c>
      <c r="CP3" s="22" t="s">
        <v>95</v>
      </c>
      <c r="CQ3" s="22" t="s">
        <v>96</v>
      </c>
      <c r="CR3" s="21" t="s">
        <v>97</v>
      </c>
      <c r="CS3" s="21" t="s">
        <v>98</v>
      </c>
      <c r="CT3" s="21" t="s">
        <v>99</v>
      </c>
      <c r="CU3" s="21" t="s">
        <v>100</v>
      </c>
      <c r="CV3" s="21" t="s">
        <v>101</v>
      </c>
      <c r="CW3" s="21" t="s">
        <v>102</v>
      </c>
      <c r="CX3" s="21" t="s">
        <v>103</v>
      </c>
      <c r="CY3" s="21" t="s">
        <v>104</v>
      </c>
      <c r="CZ3" s="21" t="s">
        <v>105</v>
      </c>
      <c r="DA3" s="21" t="s">
        <v>106</v>
      </c>
      <c r="DB3" s="21" t="s">
        <v>107</v>
      </c>
      <c r="DC3" s="21" t="s">
        <v>108</v>
      </c>
      <c r="DD3" s="21" t="s">
        <v>109</v>
      </c>
      <c r="DE3" s="21" t="s">
        <v>110</v>
      </c>
      <c r="DF3" s="21" t="s">
        <v>111</v>
      </c>
      <c r="DG3" s="21" t="s">
        <v>112</v>
      </c>
      <c r="DH3" s="21" t="s">
        <v>113</v>
      </c>
      <c r="DI3" s="21" t="s">
        <v>114</v>
      </c>
      <c r="DJ3" s="21" t="s">
        <v>115</v>
      </c>
      <c r="DK3" s="21" t="s">
        <v>116</v>
      </c>
      <c r="DL3" s="21" t="s">
        <v>117</v>
      </c>
      <c r="DM3" s="21" t="s">
        <v>118</v>
      </c>
      <c r="DN3" s="21" t="s">
        <v>119</v>
      </c>
      <c r="DO3" s="21" t="s">
        <v>120</v>
      </c>
      <c r="DP3" s="21" t="s">
        <v>121</v>
      </c>
      <c r="DQ3" s="21" t="s">
        <v>122</v>
      </c>
      <c r="DR3" s="21" t="s">
        <v>123</v>
      </c>
      <c r="DS3" s="21" t="s">
        <v>124</v>
      </c>
      <c r="DT3" s="21" t="s">
        <v>125</v>
      </c>
      <c r="DU3" s="21" t="s">
        <v>126</v>
      </c>
      <c r="DV3" s="21" t="s">
        <v>127</v>
      </c>
      <c r="DW3" s="21" t="s">
        <v>128</v>
      </c>
      <c r="DX3" s="21" t="s">
        <v>129</v>
      </c>
      <c r="DY3" s="21" t="s">
        <v>130</v>
      </c>
      <c r="DZ3" s="21" t="s">
        <v>131</v>
      </c>
      <c r="EA3" s="21" t="s">
        <v>132</v>
      </c>
      <c r="EB3" s="21" t="s">
        <v>133</v>
      </c>
      <c r="EC3" s="21" t="s">
        <v>134</v>
      </c>
      <c r="ED3" s="23" t="s">
        <v>135</v>
      </c>
      <c r="EE3" s="21" t="s">
        <v>136</v>
      </c>
      <c r="EF3" s="21" t="s">
        <v>137</v>
      </c>
      <c r="EG3" s="21" t="s">
        <v>138</v>
      </c>
      <c r="EH3" s="21" t="s">
        <v>139</v>
      </c>
      <c r="EI3" s="24" t="s">
        <v>140</v>
      </c>
      <c r="EJ3" s="25" t="s">
        <v>141</v>
      </c>
      <c r="EK3" s="26" t="s">
        <v>142</v>
      </c>
      <c r="EL3" s="26" t="s">
        <v>143</v>
      </c>
      <c r="EM3" s="27" t="s">
        <v>144</v>
      </c>
      <c r="EN3" s="27" t="s">
        <v>145</v>
      </c>
      <c r="EO3" s="29" t="s">
        <v>146</v>
      </c>
      <c r="EP3" s="26" t="s">
        <v>147</v>
      </c>
      <c r="EQ3" s="26" t="s">
        <v>148</v>
      </c>
      <c r="ER3" s="29" t="s">
        <v>149</v>
      </c>
      <c r="ES3" s="26" t="s">
        <v>150</v>
      </c>
      <c r="ET3" s="26" t="s">
        <v>151</v>
      </c>
      <c r="EU3" s="29" t="s">
        <v>152</v>
      </c>
      <c r="EV3" s="26" t="s">
        <v>153</v>
      </c>
      <c r="EW3" s="26" t="s">
        <v>154</v>
      </c>
      <c r="EX3" s="29" t="s">
        <v>155</v>
      </c>
      <c r="EY3" s="26" t="s">
        <v>156</v>
      </c>
      <c r="EZ3" s="26" t="s">
        <v>157</v>
      </c>
      <c r="FA3" s="29" t="s">
        <v>158</v>
      </c>
      <c r="FB3" s="26" t="s">
        <v>159</v>
      </c>
      <c r="FC3" s="26" t="s">
        <v>160</v>
      </c>
      <c r="FD3" s="29" t="s">
        <v>161</v>
      </c>
      <c r="FE3" s="26" t="s">
        <v>162</v>
      </c>
      <c r="FF3" s="26" t="s">
        <v>163</v>
      </c>
      <c r="FG3" s="29" t="s">
        <v>164</v>
      </c>
      <c r="FH3" s="26" t="s">
        <v>165</v>
      </c>
      <c r="FI3" s="26" t="s">
        <v>166</v>
      </c>
      <c r="FJ3" s="29" t="s">
        <v>167</v>
      </c>
      <c r="FK3" s="26" t="s">
        <v>168</v>
      </c>
      <c r="FL3" s="26" t="s">
        <v>169</v>
      </c>
      <c r="FM3" s="29" t="s">
        <v>170</v>
      </c>
      <c r="FN3" s="26" t="s">
        <v>171</v>
      </c>
      <c r="FO3" s="26" t="s">
        <v>172</v>
      </c>
      <c r="FP3" s="29" t="s">
        <v>173</v>
      </c>
      <c r="FQ3" s="26" t="s">
        <v>174</v>
      </c>
      <c r="FR3" s="26" t="s">
        <v>175</v>
      </c>
      <c r="FS3" s="29" t="s">
        <v>176</v>
      </c>
      <c r="FT3" s="26" t="s">
        <v>177</v>
      </c>
      <c r="FU3" s="26" t="s">
        <v>178</v>
      </c>
      <c r="FV3" s="29" t="s">
        <v>179</v>
      </c>
      <c r="FW3" s="26" t="s">
        <v>180</v>
      </c>
      <c r="FX3" s="26" t="s">
        <v>181</v>
      </c>
      <c r="FY3" s="29" t="s">
        <v>182</v>
      </c>
      <c r="FZ3" s="26" t="s">
        <v>183</v>
      </c>
      <c r="GA3" s="26" t="s">
        <v>184</v>
      </c>
      <c r="GB3" s="68" t="s">
        <v>185</v>
      </c>
      <c r="GC3" s="26" t="s">
        <v>186</v>
      </c>
      <c r="GD3" s="69" t="s">
        <v>187</v>
      </c>
      <c r="GE3" s="29" t="s">
        <v>188</v>
      </c>
      <c r="GF3" s="31" t="s">
        <v>189</v>
      </c>
      <c r="GG3" s="32" t="s">
        <v>190</v>
      </c>
      <c r="GH3" s="33" t="s">
        <v>191</v>
      </c>
      <c r="GI3" s="34" t="s">
        <v>192</v>
      </c>
      <c r="GJ3" s="32" t="s">
        <v>193</v>
      </c>
      <c r="GK3" s="32" t="s">
        <v>194</v>
      </c>
      <c r="GL3" s="88" t="s">
        <v>195</v>
      </c>
      <c r="GM3" s="37" t="s">
        <v>196</v>
      </c>
      <c r="GN3" s="37" t="s">
        <v>197</v>
      </c>
      <c r="GO3" s="56" t="s">
        <v>198</v>
      </c>
      <c r="GP3" s="56" t="s">
        <v>199</v>
      </c>
      <c r="GQ3" s="56" t="s">
        <v>200</v>
      </c>
      <c r="GR3" s="56" t="s">
        <v>201</v>
      </c>
      <c r="GS3" s="56" t="s">
        <v>202</v>
      </c>
      <c r="GT3" s="56" t="s">
        <v>203</v>
      </c>
      <c r="GU3" s="56" t="s">
        <v>204</v>
      </c>
      <c r="GV3" s="56" t="s">
        <v>205</v>
      </c>
      <c r="GW3" s="56" t="s">
        <v>206</v>
      </c>
      <c r="GX3" s="56" t="s">
        <v>207</v>
      </c>
      <c r="GY3" s="56" t="s">
        <v>208</v>
      </c>
      <c r="GZ3" s="56" t="s">
        <v>209</v>
      </c>
      <c r="HA3" s="56" t="s">
        <v>210</v>
      </c>
      <c r="HB3" s="56" t="s">
        <v>211</v>
      </c>
      <c r="HC3" s="56" t="s">
        <v>212</v>
      </c>
      <c r="HD3" s="56" t="s">
        <v>213</v>
      </c>
      <c r="HE3" s="56" t="s">
        <v>214</v>
      </c>
      <c r="HF3" s="38" t="s">
        <v>215</v>
      </c>
      <c r="HG3" s="39" t="s">
        <v>216</v>
      </c>
      <c r="HH3" s="40" t="s">
        <v>217</v>
      </c>
      <c r="HI3" s="41" t="s">
        <v>218</v>
      </c>
      <c r="HJ3" s="38" t="s">
        <v>219</v>
      </c>
      <c r="HK3" s="129" t="s">
        <v>220</v>
      </c>
    </row>
    <row r="4" spans="1:219" s="74" customFormat="1" ht="15" customHeight="1" x14ac:dyDescent="0.3">
      <c r="A4" s="91">
        <v>4387508752</v>
      </c>
      <c r="B4" s="92" t="s">
        <v>221</v>
      </c>
      <c r="C4" s="93" t="s">
        <v>222</v>
      </c>
      <c r="D4" s="94" t="s">
        <v>221</v>
      </c>
      <c r="E4" s="48" t="s">
        <v>223</v>
      </c>
      <c r="F4" s="48" t="s">
        <v>224</v>
      </c>
      <c r="G4" s="95" t="s">
        <v>225</v>
      </c>
      <c r="H4" s="96">
        <v>43266</v>
      </c>
      <c r="I4" s="97" t="s">
        <v>226</v>
      </c>
      <c r="J4" s="98" t="s">
        <v>227</v>
      </c>
      <c r="K4" s="98" t="s">
        <v>228</v>
      </c>
      <c r="L4" s="98" t="s">
        <v>228</v>
      </c>
      <c r="M4" s="99" t="s">
        <v>228</v>
      </c>
      <c r="N4" s="99" t="s">
        <v>228</v>
      </c>
      <c r="O4" s="99" t="s">
        <v>228</v>
      </c>
      <c r="P4" s="99" t="s">
        <v>228</v>
      </c>
      <c r="Q4" s="99" t="s">
        <v>228</v>
      </c>
      <c r="R4" s="99" t="s">
        <v>228</v>
      </c>
      <c r="S4" s="99" t="s">
        <v>228</v>
      </c>
      <c r="T4" s="99" t="s">
        <v>228</v>
      </c>
      <c r="U4" s="99" t="s">
        <v>228</v>
      </c>
      <c r="V4" s="99" t="s">
        <v>228</v>
      </c>
      <c r="W4" s="99" t="s">
        <v>228</v>
      </c>
      <c r="X4" s="99" t="s">
        <v>228</v>
      </c>
      <c r="Y4" s="99" t="s">
        <v>228</v>
      </c>
      <c r="Z4" s="99" t="s">
        <v>228</v>
      </c>
      <c r="AA4" s="99" t="s">
        <v>228</v>
      </c>
      <c r="AB4" s="99" t="s">
        <v>228</v>
      </c>
      <c r="AC4" s="99" t="s">
        <v>228</v>
      </c>
      <c r="AD4" s="99" t="s">
        <v>228</v>
      </c>
      <c r="AE4" s="99" t="s">
        <v>228</v>
      </c>
      <c r="AF4" s="99" t="s">
        <v>228</v>
      </c>
      <c r="AG4" s="99" t="s">
        <v>228</v>
      </c>
      <c r="AH4" s="99" t="s">
        <v>228</v>
      </c>
      <c r="AI4" s="99" t="s">
        <v>228</v>
      </c>
      <c r="AJ4" s="99" t="s">
        <v>228</v>
      </c>
      <c r="AK4" s="99" t="s">
        <v>228</v>
      </c>
      <c r="AL4" s="99" t="s">
        <v>228</v>
      </c>
      <c r="AM4" s="99" t="s">
        <v>228</v>
      </c>
      <c r="AN4" s="99" t="s">
        <v>228</v>
      </c>
      <c r="AO4" s="99" t="s">
        <v>228</v>
      </c>
      <c r="AP4" s="99" t="s">
        <v>228</v>
      </c>
      <c r="AQ4" s="100" t="s">
        <v>229</v>
      </c>
      <c r="AR4" s="101">
        <v>15882</v>
      </c>
      <c r="AS4" s="102">
        <v>43213</v>
      </c>
      <c r="AT4" s="58">
        <f>DATEDIF(AR4, AS4,"Y")</f>
        <v>74</v>
      </c>
      <c r="AU4" s="103" t="s">
        <v>230</v>
      </c>
      <c r="AV4" s="42" t="s">
        <v>231</v>
      </c>
      <c r="AW4" s="104" t="s">
        <v>232</v>
      </c>
      <c r="AX4" s="44" t="s">
        <v>233</v>
      </c>
      <c r="AY4" s="105" t="s">
        <v>234</v>
      </c>
      <c r="AZ4" s="44" t="s">
        <v>234</v>
      </c>
      <c r="BA4" s="106">
        <v>0</v>
      </c>
      <c r="BB4" s="42" t="s">
        <v>235</v>
      </c>
      <c r="BC4" s="44">
        <v>2</v>
      </c>
      <c r="BD4" s="71" t="s">
        <v>236</v>
      </c>
      <c r="BE4" s="48" t="s">
        <v>237</v>
      </c>
      <c r="BF4" s="71" t="s">
        <v>221</v>
      </c>
      <c r="BG4" s="79" t="s">
        <v>228</v>
      </c>
      <c r="BH4" s="78" t="s">
        <v>228</v>
      </c>
      <c r="BI4" s="78" t="s">
        <v>228</v>
      </c>
      <c r="BJ4" s="78" t="s">
        <v>228</v>
      </c>
      <c r="BK4" s="78" t="s">
        <v>228</v>
      </c>
      <c r="BL4" s="78" t="s">
        <v>228</v>
      </c>
      <c r="BM4" s="78" t="s">
        <v>228</v>
      </c>
      <c r="BN4" s="78" t="s">
        <v>228</v>
      </c>
      <c r="BO4" s="78" t="s">
        <v>228</v>
      </c>
      <c r="BP4" s="78" t="s">
        <v>228</v>
      </c>
      <c r="BQ4" s="78" t="s">
        <v>228</v>
      </c>
      <c r="BR4" s="78" t="s">
        <v>228</v>
      </c>
      <c r="BS4" s="78" t="s">
        <v>228</v>
      </c>
      <c r="BT4" s="78" t="s">
        <v>228</v>
      </c>
      <c r="BU4" s="78" t="s">
        <v>228</v>
      </c>
      <c r="BV4" s="78" t="s">
        <v>228</v>
      </c>
      <c r="BW4" s="78" t="s">
        <v>228</v>
      </c>
      <c r="BX4" s="78" t="s">
        <v>228</v>
      </c>
      <c r="BY4" s="78" t="s">
        <v>228</v>
      </c>
      <c r="BZ4" s="78" t="s">
        <v>228</v>
      </c>
      <c r="CA4" s="78" t="s">
        <v>228</v>
      </c>
      <c r="CB4" s="78" t="s">
        <v>228</v>
      </c>
      <c r="CC4" s="78" t="s">
        <v>228</v>
      </c>
      <c r="CD4" s="78" t="s">
        <v>228</v>
      </c>
      <c r="CE4" s="78" t="s">
        <v>228</v>
      </c>
      <c r="CF4" s="78" t="s">
        <v>228</v>
      </c>
      <c r="CG4" s="78" t="s">
        <v>228</v>
      </c>
      <c r="CH4" s="78" t="s">
        <v>228</v>
      </c>
      <c r="CI4" s="78" t="s">
        <v>228</v>
      </c>
      <c r="CJ4" s="78" t="s">
        <v>228</v>
      </c>
      <c r="CK4" s="78" t="s">
        <v>228</v>
      </c>
      <c r="CL4" s="78" t="s">
        <v>228</v>
      </c>
      <c r="CM4" s="78" t="s">
        <v>228</v>
      </c>
      <c r="CN4" s="80" t="s">
        <v>228</v>
      </c>
      <c r="CO4" s="75" t="s">
        <v>228</v>
      </c>
      <c r="CP4" s="76" t="s">
        <v>228</v>
      </c>
      <c r="CQ4" s="76" t="s">
        <v>228</v>
      </c>
      <c r="CR4" s="75" t="s">
        <v>228</v>
      </c>
      <c r="CS4" s="75" t="s">
        <v>228</v>
      </c>
      <c r="CT4" s="75" t="s">
        <v>228</v>
      </c>
      <c r="CU4" s="75" t="s">
        <v>228</v>
      </c>
      <c r="CV4" s="75" t="s">
        <v>228</v>
      </c>
      <c r="CW4" s="75" t="s">
        <v>228</v>
      </c>
      <c r="CX4" s="75" t="s">
        <v>228</v>
      </c>
      <c r="CY4" s="75"/>
      <c r="CZ4" s="75"/>
      <c r="DA4" s="75"/>
      <c r="DB4" s="75"/>
      <c r="DC4" s="75"/>
      <c r="DD4" s="75"/>
      <c r="DE4" s="75"/>
      <c r="DF4" s="75"/>
      <c r="DG4" s="75"/>
      <c r="DH4" s="75"/>
      <c r="DI4" s="75"/>
      <c r="DJ4" s="75"/>
      <c r="DK4" s="75"/>
      <c r="DL4" s="75"/>
      <c r="DM4" s="75"/>
      <c r="DN4" s="75"/>
      <c r="DO4" s="75"/>
      <c r="DP4" s="75"/>
      <c r="DQ4" s="75"/>
      <c r="DR4" s="75"/>
      <c r="DS4" s="75"/>
      <c r="DT4" s="75"/>
      <c r="DU4" s="75"/>
      <c r="DV4" s="75"/>
      <c r="DW4" s="75"/>
      <c r="DX4" s="75"/>
      <c r="DY4" s="75"/>
      <c r="DZ4" s="75"/>
      <c r="EA4" s="75"/>
      <c r="EB4" s="75"/>
      <c r="EC4" s="75"/>
      <c r="ED4" s="75"/>
      <c r="EE4" s="75"/>
      <c r="EF4" s="75"/>
      <c r="EG4" s="75"/>
      <c r="EH4" s="75"/>
      <c r="EI4" s="76" t="s">
        <v>228</v>
      </c>
      <c r="EJ4" s="70" t="s">
        <v>228</v>
      </c>
      <c r="EK4" s="107" t="s">
        <v>228</v>
      </c>
      <c r="EL4" s="108" t="s">
        <v>228</v>
      </c>
      <c r="EM4" s="109" t="s">
        <v>228</v>
      </c>
      <c r="EN4" s="63" t="s">
        <v>228</v>
      </c>
      <c r="EO4" s="75" t="s">
        <v>228</v>
      </c>
      <c r="EP4" s="75" t="s">
        <v>228</v>
      </c>
      <c r="EQ4" s="75" t="s">
        <v>228</v>
      </c>
      <c r="ER4" s="75" t="s">
        <v>228</v>
      </c>
      <c r="ES4" s="75" t="s">
        <v>228</v>
      </c>
      <c r="ET4" s="75" t="s">
        <v>228</v>
      </c>
      <c r="EU4" s="75" t="s">
        <v>228</v>
      </c>
      <c r="EV4" s="75" t="s">
        <v>228</v>
      </c>
      <c r="EW4" s="75" t="s">
        <v>228</v>
      </c>
      <c r="EX4" s="75" t="s">
        <v>228</v>
      </c>
      <c r="EY4" s="75" t="s">
        <v>228</v>
      </c>
      <c r="EZ4" s="75" t="s">
        <v>228</v>
      </c>
      <c r="FA4" s="75" t="s">
        <v>228</v>
      </c>
      <c r="FB4" s="75" t="s">
        <v>228</v>
      </c>
      <c r="FC4" s="75" t="s">
        <v>228</v>
      </c>
      <c r="FD4" s="75" t="s">
        <v>228</v>
      </c>
      <c r="FE4" s="75"/>
      <c r="FF4" s="75"/>
      <c r="FG4" s="75"/>
      <c r="FH4" s="75"/>
      <c r="FI4" s="75"/>
      <c r="FJ4" s="75"/>
      <c r="FK4" s="75"/>
      <c r="FL4" s="75"/>
      <c r="FM4" s="75"/>
      <c r="FN4" s="75"/>
      <c r="FO4" s="75"/>
      <c r="FP4" s="75"/>
      <c r="FQ4" s="75"/>
      <c r="FR4" s="75"/>
      <c r="FS4" s="75"/>
      <c r="FT4" s="75"/>
      <c r="FU4" s="75"/>
      <c r="FV4" s="75"/>
      <c r="FW4" s="75"/>
      <c r="FX4" s="75"/>
      <c r="FY4" s="75"/>
      <c r="FZ4" s="75"/>
      <c r="GA4" s="75"/>
      <c r="GB4" s="75"/>
      <c r="GC4" s="75"/>
      <c r="GD4" s="75"/>
      <c r="GE4" s="75"/>
      <c r="GF4" s="71" t="s">
        <v>238</v>
      </c>
      <c r="GG4" s="72" t="s">
        <v>228</v>
      </c>
      <c r="GH4" s="71" t="s">
        <v>228</v>
      </c>
      <c r="GI4" s="73" t="s">
        <v>228</v>
      </c>
      <c r="GJ4" s="86">
        <v>43307</v>
      </c>
      <c r="GK4" s="84">
        <v>45832</v>
      </c>
      <c r="GL4" s="84" t="s">
        <v>228</v>
      </c>
      <c r="GM4" s="126" t="str">
        <f>IFERROR(INT(BJ4 - $AS4)/30,"N/A")</f>
        <v>N/A</v>
      </c>
      <c r="GN4" s="126" t="str">
        <f>IFERROR(INT(BK4 - $AS4)/30,"N/A")</f>
        <v>N/A</v>
      </c>
      <c r="GO4" s="126">
        <f>IFERROR(INT(H4 - $AS4)/30,"N/A")</f>
        <v>1.7666666666666666</v>
      </c>
      <c r="GP4" s="126" t="str">
        <f>IFERROR(INT(K4 - $AS4)/30,"N/A")</f>
        <v>N/A</v>
      </c>
      <c r="GQ4" s="77" t="str">
        <f>IFERROR(INT(P4 - $AS4)/30,"N/A")</f>
        <v>N/A</v>
      </c>
      <c r="GR4" s="77" t="str">
        <f>IFERROR(INT(U4 - $AS4)/30,"N/A")</f>
        <v>N/A</v>
      </c>
      <c r="GS4" s="77" t="str">
        <f>IFERROR(INT(Z4 - $AS4)/30,"N/A")</f>
        <v>N/A</v>
      </c>
      <c r="GT4" s="77" t="str">
        <f>IFERROR(INT(AE4 - $AS4)/30,"N/A")</f>
        <v>N/A</v>
      </c>
      <c r="GU4" s="77" t="str">
        <f>IFERROR(INT(AJ4 - $AS4)/30,"N/A")</f>
        <v>N/A</v>
      </c>
      <c r="GV4" s="126" t="str">
        <f>IFERROR(INT(AO4 - $AS4)/30,"N/A")</f>
        <v>N/A</v>
      </c>
      <c r="GW4" s="126" t="str">
        <f>IFERROR(INT(CP4 - $AS4)/30,"N/A")</f>
        <v>N/A</v>
      </c>
      <c r="GX4" s="126" t="str">
        <f>IFERROR(INT(CQ4 - $AS4)/30,"N/A")</f>
        <v>N/A</v>
      </c>
      <c r="GY4" s="126" t="str">
        <f>IFERROR(INT(EI4 - $AS4)/30,"N/A")</f>
        <v>N/A</v>
      </c>
      <c r="GZ4" s="126" t="str">
        <f>IFERROR(INT(EM4 - $AS4)/30,"N/A")</f>
        <v>N/A</v>
      </c>
      <c r="HA4" s="126" t="str">
        <f>IFERROR(INT(EN4 - $AS4)/30,"N/A")</f>
        <v>N/A</v>
      </c>
      <c r="HB4" s="126" t="str">
        <f t="shared" ref="HB4:HB8" si="0">$GY4</f>
        <v>N/A</v>
      </c>
      <c r="HC4" s="126" t="str">
        <f>IFERROR(INT(GG4 - $AS4)/30,"N/A")</f>
        <v>N/A</v>
      </c>
      <c r="HD4" s="126">
        <f>IFERROR(INT(GJ4 - $AS4)/30,"N/A")</f>
        <v>3.1333333333333333</v>
      </c>
      <c r="HE4" s="126">
        <f>IFERROR(INT(GK4 - $AS4)/30,"N/A")</f>
        <v>87.3</v>
      </c>
      <c r="HF4" s="127">
        <f t="shared" ref="HF4:HF8" si="1">SUM($HC4,$HE4)</f>
        <v>87.3</v>
      </c>
      <c r="HG4" s="127" cm="1">
        <f t="array" ref="HG4">INDEX($HB4:$HD4,MATCH(TRUE,INDEX(ISNUMBER($HB4:$HD4),0),0))</f>
        <v>3.1333333333333333</v>
      </c>
      <c r="HH4" s="128">
        <f t="shared" ref="HH4:HH8" si="2">IF($HB4="N/A",0,1)</f>
        <v>0</v>
      </c>
      <c r="HI4" s="128">
        <f t="shared" ref="HI4:HI8" si="3">IF($GH4="Yes",1,0)</f>
        <v>0</v>
      </c>
      <c r="HJ4" s="128">
        <f t="shared" ref="HJ4:HJ8" si="4">IF($HC4="N/A",0,1)</f>
        <v>0</v>
      </c>
      <c r="HK4" s="130" t="str">
        <f t="shared" ref="HK4:HK8" si="5">IF(OR($HH4=1,$HI4=1),"1","0")</f>
        <v>0</v>
      </c>
    </row>
    <row r="5" spans="1:219" ht="15" customHeight="1" x14ac:dyDescent="0.3">
      <c r="A5" s="108">
        <v>4425695976</v>
      </c>
      <c r="B5" s="92" t="s">
        <v>221</v>
      </c>
      <c r="C5" s="93" t="s">
        <v>222</v>
      </c>
      <c r="D5" s="94" t="s">
        <v>221</v>
      </c>
      <c r="E5" s="48" t="s">
        <v>239</v>
      </c>
      <c r="F5" s="48" t="s">
        <v>240</v>
      </c>
      <c r="G5" s="99" t="s">
        <v>241</v>
      </c>
      <c r="H5" s="110">
        <v>43270</v>
      </c>
      <c r="I5" s="111" t="s">
        <v>242</v>
      </c>
      <c r="J5" s="98" t="s">
        <v>227</v>
      </c>
      <c r="K5" s="98" t="s">
        <v>228</v>
      </c>
      <c r="L5" s="98" t="s">
        <v>228</v>
      </c>
      <c r="M5" s="99" t="s">
        <v>228</v>
      </c>
      <c r="N5" s="99" t="s">
        <v>228</v>
      </c>
      <c r="O5" s="99" t="s">
        <v>228</v>
      </c>
      <c r="P5" s="99" t="s">
        <v>228</v>
      </c>
      <c r="Q5" s="99" t="s">
        <v>228</v>
      </c>
      <c r="R5" s="99" t="s">
        <v>228</v>
      </c>
      <c r="S5" s="99" t="s">
        <v>228</v>
      </c>
      <c r="T5" s="99" t="s">
        <v>228</v>
      </c>
      <c r="U5" s="99" t="s">
        <v>228</v>
      </c>
      <c r="V5" s="99" t="s">
        <v>228</v>
      </c>
      <c r="W5" s="99" t="s">
        <v>228</v>
      </c>
      <c r="X5" s="99" t="s">
        <v>228</v>
      </c>
      <c r="Y5" s="99" t="s">
        <v>228</v>
      </c>
      <c r="Z5" s="99" t="s">
        <v>228</v>
      </c>
      <c r="AA5" s="99" t="s">
        <v>228</v>
      </c>
      <c r="AB5" s="99" t="s">
        <v>228</v>
      </c>
      <c r="AC5" s="99" t="s">
        <v>228</v>
      </c>
      <c r="AD5" s="99" t="s">
        <v>228</v>
      </c>
      <c r="AE5" s="99" t="s">
        <v>228</v>
      </c>
      <c r="AF5" s="99" t="s">
        <v>228</v>
      </c>
      <c r="AG5" s="99" t="s">
        <v>228</v>
      </c>
      <c r="AH5" s="99" t="s">
        <v>228</v>
      </c>
      <c r="AI5" s="99" t="s">
        <v>228</v>
      </c>
      <c r="AJ5" s="99" t="s">
        <v>228</v>
      </c>
      <c r="AK5" s="99" t="s">
        <v>228</v>
      </c>
      <c r="AL5" s="99" t="s">
        <v>228</v>
      </c>
      <c r="AM5" s="99" t="s">
        <v>228</v>
      </c>
      <c r="AN5" s="99" t="s">
        <v>228</v>
      </c>
      <c r="AO5" s="99" t="s">
        <v>228</v>
      </c>
      <c r="AP5" s="99" t="s">
        <v>228</v>
      </c>
      <c r="AQ5" s="100" t="s">
        <v>229</v>
      </c>
      <c r="AR5" s="101">
        <v>15773</v>
      </c>
      <c r="AS5" s="87">
        <v>43270</v>
      </c>
      <c r="AT5" s="58">
        <f t="shared" ref="AT5:AT8" si="6">DATEDIF(AR5, AS5,"Y")</f>
        <v>75</v>
      </c>
      <c r="AU5" s="112" t="s">
        <v>243</v>
      </c>
      <c r="AV5" s="42" t="s">
        <v>231</v>
      </c>
      <c r="AW5" s="104" t="s">
        <v>232</v>
      </c>
      <c r="AX5" s="113">
        <v>2</v>
      </c>
      <c r="AY5" s="113">
        <v>0</v>
      </c>
      <c r="AZ5" s="44" t="s">
        <v>234</v>
      </c>
      <c r="BA5" s="114">
        <v>0</v>
      </c>
      <c r="BB5" s="42" t="s">
        <v>244</v>
      </c>
      <c r="BC5" s="44">
        <v>1</v>
      </c>
      <c r="BD5" s="71" t="s">
        <v>236</v>
      </c>
      <c r="BE5" s="48" t="s">
        <v>245</v>
      </c>
      <c r="BF5" s="71" t="s">
        <v>221</v>
      </c>
      <c r="BG5" s="79" t="s">
        <v>228</v>
      </c>
      <c r="BH5" s="78" t="s">
        <v>228</v>
      </c>
      <c r="BI5" s="78" t="s">
        <v>228</v>
      </c>
      <c r="BJ5" s="78" t="s">
        <v>228</v>
      </c>
      <c r="BK5" s="78" t="s">
        <v>228</v>
      </c>
      <c r="BL5" s="78" t="s">
        <v>228</v>
      </c>
      <c r="BM5" s="78" t="s">
        <v>228</v>
      </c>
      <c r="BN5" s="78" t="s">
        <v>228</v>
      </c>
      <c r="BO5" s="78" t="s">
        <v>228</v>
      </c>
      <c r="BP5" s="78" t="s">
        <v>228</v>
      </c>
      <c r="BQ5" s="78" t="s">
        <v>228</v>
      </c>
      <c r="BR5" s="78" t="s">
        <v>228</v>
      </c>
      <c r="BS5" s="78" t="s">
        <v>228</v>
      </c>
      <c r="BT5" s="78" t="s">
        <v>228</v>
      </c>
      <c r="BU5" s="78" t="s">
        <v>228</v>
      </c>
      <c r="BV5" s="78" t="s">
        <v>228</v>
      </c>
      <c r="BW5" s="78" t="s">
        <v>228</v>
      </c>
      <c r="BX5" s="78" t="s">
        <v>228</v>
      </c>
      <c r="BY5" s="78" t="s">
        <v>228</v>
      </c>
      <c r="BZ5" s="78" t="s">
        <v>228</v>
      </c>
      <c r="CA5" s="78" t="s">
        <v>228</v>
      </c>
      <c r="CB5" s="78" t="s">
        <v>228</v>
      </c>
      <c r="CC5" s="78" t="s">
        <v>228</v>
      </c>
      <c r="CD5" s="78" t="s">
        <v>228</v>
      </c>
      <c r="CE5" s="78" t="s">
        <v>228</v>
      </c>
      <c r="CF5" s="78" t="s">
        <v>228</v>
      </c>
      <c r="CG5" s="78" t="s">
        <v>228</v>
      </c>
      <c r="CH5" s="78" t="s">
        <v>228</v>
      </c>
      <c r="CI5" s="78" t="s">
        <v>228</v>
      </c>
      <c r="CJ5" s="78" t="s">
        <v>228</v>
      </c>
      <c r="CK5" s="78" t="s">
        <v>228</v>
      </c>
      <c r="CL5" s="78" t="s">
        <v>228</v>
      </c>
      <c r="CM5" s="78" t="s">
        <v>228</v>
      </c>
      <c r="CN5" s="81" t="s">
        <v>246</v>
      </c>
      <c r="CO5" s="45" t="s">
        <v>247</v>
      </c>
      <c r="CP5" s="63">
        <v>43322</v>
      </c>
      <c r="CQ5" s="63">
        <v>43347</v>
      </c>
      <c r="CR5" s="45" t="s">
        <v>228</v>
      </c>
      <c r="CS5" s="43" t="s">
        <v>228</v>
      </c>
      <c r="CT5" s="45" t="s">
        <v>228</v>
      </c>
      <c r="CU5" s="45" t="s">
        <v>228</v>
      </c>
      <c r="CV5" s="43" t="s">
        <v>228</v>
      </c>
      <c r="CW5" s="45" t="s">
        <v>228</v>
      </c>
      <c r="CX5" s="45" t="s">
        <v>228</v>
      </c>
      <c r="CY5" s="43"/>
      <c r="CZ5" s="45"/>
      <c r="DA5" s="45"/>
      <c r="DB5" s="43"/>
      <c r="DC5" s="45"/>
      <c r="DD5" s="45"/>
      <c r="DE5" s="43"/>
      <c r="DF5" s="45"/>
      <c r="DG5" s="45"/>
      <c r="DH5" s="43"/>
      <c r="DI5" s="45"/>
      <c r="DJ5" s="45"/>
      <c r="DK5" s="43"/>
      <c r="DL5" s="45"/>
      <c r="DM5" s="45"/>
      <c r="DN5" s="43"/>
      <c r="DO5" s="45"/>
      <c r="DP5" s="45"/>
      <c r="DQ5" s="43"/>
      <c r="DR5" s="45"/>
      <c r="DS5" s="45"/>
      <c r="DT5" s="43"/>
      <c r="DU5" s="45"/>
      <c r="DV5" s="45"/>
      <c r="DW5" s="43"/>
      <c r="DX5" s="45"/>
      <c r="DY5" s="45"/>
      <c r="DZ5" s="43"/>
      <c r="EA5" s="45"/>
      <c r="EB5" s="45"/>
      <c r="EC5" s="43"/>
      <c r="ED5" s="45"/>
      <c r="EE5" s="45"/>
      <c r="EF5" s="43"/>
      <c r="EG5" s="45"/>
      <c r="EH5" s="45"/>
      <c r="EI5" s="63">
        <v>44827</v>
      </c>
      <c r="EJ5" s="45" t="s">
        <v>248</v>
      </c>
      <c r="EK5" s="43" t="s">
        <v>228</v>
      </c>
      <c r="EL5" s="45" t="s">
        <v>228</v>
      </c>
      <c r="EM5" s="63" t="s">
        <v>228</v>
      </c>
      <c r="EN5" s="62" t="s">
        <v>228</v>
      </c>
      <c r="EO5" s="45" t="s">
        <v>228</v>
      </c>
      <c r="EP5" s="43" t="s">
        <v>228</v>
      </c>
      <c r="EQ5" s="45" t="s">
        <v>228</v>
      </c>
      <c r="ER5" s="45" t="s">
        <v>228</v>
      </c>
      <c r="ES5" s="43" t="s">
        <v>228</v>
      </c>
      <c r="ET5" s="45" t="s">
        <v>228</v>
      </c>
      <c r="EU5" s="45" t="s">
        <v>228</v>
      </c>
      <c r="EV5" s="43" t="s">
        <v>228</v>
      </c>
      <c r="EW5" s="45" t="s">
        <v>228</v>
      </c>
      <c r="EX5" s="45" t="s">
        <v>228</v>
      </c>
      <c r="EY5" s="43" t="s">
        <v>228</v>
      </c>
      <c r="EZ5" s="45" t="s">
        <v>228</v>
      </c>
      <c r="FA5" s="45" t="s">
        <v>228</v>
      </c>
      <c r="FB5" s="43" t="s">
        <v>228</v>
      </c>
      <c r="FC5" s="45" t="s">
        <v>228</v>
      </c>
      <c r="FD5" s="45" t="s">
        <v>228</v>
      </c>
      <c r="FE5" s="43"/>
      <c r="FF5" s="45"/>
      <c r="FG5" s="45"/>
      <c r="FH5" s="43"/>
      <c r="FI5" s="45"/>
      <c r="FJ5" s="45"/>
      <c r="FK5" s="43"/>
      <c r="FL5" s="45"/>
      <c r="FM5" s="45"/>
      <c r="FN5" s="43"/>
      <c r="FO5" s="45"/>
      <c r="FP5" s="45"/>
      <c r="FQ5" s="43"/>
      <c r="FR5" s="45"/>
      <c r="FS5" s="45"/>
      <c r="FT5" s="43"/>
      <c r="FU5" s="45"/>
      <c r="FV5" s="45"/>
      <c r="FW5" s="43"/>
      <c r="FX5" s="45"/>
      <c r="FY5" s="45"/>
      <c r="FZ5" s="43"/>
      <c r="GA5" s="45"/>
      <c r="GB5" s="46"/>
      <c r="GC5" s="43"/>
      <c r="GD5" s="47"/>
      <c r="GE5" s="46"/>
      <c r="GF5" s="44" t="s">
        <v>238</v>
      </c>
      <c r="GG5" s="65" t="s">
        <v>228</v>
      </c>
      <c r="GH5" s="42" t="s">
        <v>228</v>
      </c>
      <c r="GI5" s="47" t="s">
        <v>228</v>
      </c>
      <c r="GJ5" s="87">
        <v>45351</v>
      </c>
      <c r="GK5" s="63">
        <v>45827</v>
      </c>
      <c r="GL5" s="85" t="s">
        <v>249</v>
      </c>
      <c r="GM5" s="126" t="str">
        <f t="shared" ref="GM5:GM8" si="7">IFERROR(INT(BJ5 - $AS5)/30,"N/A")</f>
        <v>N/A</v>
      </c>
      <c r="GN5" s="126" t="str">
        <f t="shared" ref="GN5:GN8" si="8">IFERROR(INT(BK5 - $AS5)/30,"N/A")</f>
        <v>N/A</v>
      </c>
      <c r="GO5" s="126">
        <f t="shared" ref="GO5:GO8" si="9">IFERROR(INT(H5 - $AS5)/30,"N/A")</f>
        <v>0</v>
      </c>
      <c r="GP5" s="126" t="str">
        <f t="shared" ref="GP5:GP8" si="10">IFERROR(INT(K5 - $AS5)/30,"N/A")</f>
        <v>N/A</v>
      </c>
      <c r="GQ5" s="77" t="str">
        <f t="shared" ref="GQ5:GQ8" si="11">IFERROR(INT(P5 - $AS5)/30,"N/A")</f>
        <v>N/A</v>
      </c>
      <c r="GR5" s="77" t="str">
        <f t="shared" ref="GR5:GR8" si="12">IFERROR(INT(U5 - $AS5)/30,"N/A")</f>
        <v>N/A</v>
      </c>
      <c r="GS5" s="77" t="str">
        <f t="shared" ref="GS5:GS8" si="13">IFERROR(INT(Z5 - $AS5)/30,"N/A")</f>
        <v>N/A</v>
      </c>
      <c r="GT5" s="77" t="str">
        <f t="shared" ref="GT5:GT8" si="14">IFERROR(INT(AE5 - $AS5)/30,"N/A")</f>
        <v>N/A</v>
      </c>
      <c r="GU5" s="77" t="str">
        <f t="shared" ref="GU5:GU8" si="15">IFERROR(INT(AJ5 - $AS5)/30,"N/A")</f>
        <v>N/A</v>
      </c>
      <c r="GV5" s="126" t="str">
        <f t="shared" ref="GV5:GV8" si="16">IFERROR(INT(AO5 - $AS5)/30,"N/A")</f>
        <v>N/A</v>
      </c>
      <c r="GW5" s="126">
        <f t="shared" ref="GW5:GW8" si="17">IFERROR(INT(CP5 - $AS5)/30,"N/A")</f>
        <v>1.7333333333333334</v>
      </c>
      <c r="GX5" s="126">
        <f t="shared" ref="GX5:GX8" si="18">IFERROR(INT(CQ5 - $AS5)/30,"N/A")</f>
        <v>2.5666666666666669</v>
      </c>
      <c r="GY5" s="126">
        <f t="shared" ref="GY5:GY8" si="19">IFERROR(INT(EI5 - $AS5)/30,"N/A")</f>
        <v>51.9</v>
      </c>
      <c r="GZ5" s="126" t="str">
        <f t="shared" ref="GZ5:GZ8" si="20">IFERROR(INT(EM5 - $AS5)/30,"N/A")</f>
        <v>N/A</v>
      </c>
      <c r="HA5" s="126" t="str">
        <f t="shared" ref="HA5:HA8" si="21">IFERROR(INT(EN5 - $AS5)/30,"N/A")</f>
        <v>N/A</v>
      </c>
      <c r="HB5" s="126">
        <f t="shared" si="0"/>
        <v>51.9</v>
      </c>
      <c r="HC5" s="126" t="str">
        <f t="shared" ref="HC5:HC8" si="22">IFERROR(INT(GG5 - $AS5)/30,"N/A")</f>
        <v>N/A</v>
      </c>
      <c r="HD5" s="126">
        <f t="shared" ref="HD5:HD8" si="23">IFERROR(INT(GJ5 - $AS5)/30,"N/A")</f>
        <v>69.36666666666666</v>
      </c>
      <c r="HE5" s="126">
        <f t="shared" ref="HE5:HE8" si="24">IFERROR(INT(GK5 - $AS5)/30,"N/A")</f>
        <v>85.233333333333334</v>
      </c>
      <c r="HF5" s="127">
        <f t="shared" si="1"/>
        <v>85.233333333333334</v>
      </c>
      <c r="HG5" s="127" cm="1">
        <f t="array" ref="HG5">INDEX($HB5:$HD5,MATCH(TRUE,INDEX(ISNUMBER($HB5:$HD5),0),0))</f>
        <v>51.9</v>
      </c>
      <c r="HH5" s="128">
        <f t="shared" si="2"/>
        <v>1</v>
      </c>
      <c r="HI5" s="128">
        <f t="shared" si="3"/>
        <v>0</v>
      </c>
      <c r="HJ5" s="128">
        <f t="shared" si="4"/>
        <v>0</v>
      </c>
      <c r="HK5" s="130" t="str">
        <f t="shared" si="5"/>
        <v>1</v>
      </c>
    </row>
    <row r="6" spans="1:219" ht="15" customHeight="1" x14ac:dyDescent="0.3">
      <c r="A6" s="113">
        <v>4381015940</v>
      </c>
      <c r="B6" s="92" t="s">
        <v>221</v>
      </c>
      <c r="C6" s="93" t="s">
        <v>222</v>
      </c>
      <c r="D6" s="94" t="s">
        <v>221</v>
      </c>
      <c r="E6" s="48" t="s">
        <v>250</v>
      </c>
      <c r="F6" s="48" t="s">
        <v>251</v>
      </c>
      <c r="G6" s="99" t="s">
        <v>252</v>
      </c>
      <c r="H6" s="96">
        <v>43279</v>
      </c>
      <c r="I6" s="111" t="s">
        <v>253</v>
      </c>
      <c r="J6" s="98" t="s">
        <v>254</v>
      </c>
      <c r="K6" s="98" t="s">
        <v>228</v>
      </c>
      <c r="L6" s="98" t="s">
        <v>228</v>
      </c>
      <c r="M6" s="99" t="s">
        <v>228</v>
      </c>
      <c r="N6" s="99" t="s">
        <v>228</v>
      </c>
      <c r="O6" s="99" t="s">
        <v>228</v>
      </c>
      <c r="P6" s="99" t="s">
        <v>228</v>
      </c>
      <c r="Q6" s="99" t="s">
        <v>228</v>
      </c>
      <c r="R6" s="99" t="s">
        <v>228</v>
      </c>
      <c r="S6" s="99" t="s">
        <v>228</v>
      </c>
      <c r="T6" s="99" t="s">
        <v>228</v>
      </c>
      <c r="U6" s="99" t="s">
        <v>228</v>
      </c>
      <c r="V6" s="99" t="s">
        <v>228</v>
      </c>
      <c r="W6" s="99" t="s">
        <v>228</v>
      </c>
      <c r="X6" s="99" t="s">
        <v>228</v>
      </c>
      <c r="Y6" s="99" t="s">
        <v>228</v>
      </c>
      <c r="Z6" s="99" t="s">
        <v>228</v>
      </c>
      <c r="AA6" s="99" t="s">
        <v>228</v>
      </c>
      <c r="AB6" s="99" t="s">
        <v>228</v>
      </c>
      <c r="AC6" s="99" t="s">
        <v>228</v>
      </c>
      <c r="AD6" s="99" t="s">
        <v>228</v>
      </c>
      <c r="AE6" s="99" t="s">
        <v>228</v>
      </c>
      <c r="AF6" s="99" t="s">
        <v>228</v>
      </c>
      <c r="AG6" s="99" t="s">
        <v>228</v>
      </c>
      <c r="AH6" s="99" t="s">
        <v>228</v>
      </c>
      <c r="AI6" s="99" t="s">
        <v>228</v>
      </c>
      <c r="AJ6" s="99" t="s">
        <v>228</v>
      </c>
      <c r="AK6" s="99" t="s">
        <v>228</v>
      </c>
      <c r="AL6" s="99" t="s">
        <v>228</v>
      </c>
      <c r="AM6" s="99" t="s">
        <v>228</v>
      </c>
      <c r="AN6" s="99" t="s">
        <v>228</v>
      </c>
      <c r="AO6" s="99" t="s">
        <v>228</v>
      </c>
      <c r="AP6" s="99" t="s">
        <v>228</v>
      </c>
      <c r="AQ6" s="90" t="s">
        <v>229</v>
      </c>
      <c r="AR6" s="101">
        <v>15162</v>
      </c>
      <c r="AS6" s="87">
        <v>43242</v>
      </c>
      <c r="AT6" s="58">
        <f t="shared" si="6"/>
        <v>76</v>
      </c>
      <c r="AU6" s="112" t="s">
        <v>255</v>
      </c>
      <c r="AV6" s="42" t="s">
        <v>231</v>
      </c>
      <c r="AW6" s="104" t="s">
        <v>234</v>
      </c>
      <c r="AX6" s="44" t="s">
        <v>233</v>
      </c>
      <c r="AY6" s="105" t="s">
        <v>234</v>
      </c>
      <c r="AZ6" s="44" t="s">
        <v>234</v>
      </c>
      <c r="BA6" s="106">
        <v>0</v>
      </c>
      <c r="BB6" s="42" t="s">
        <v>235</v>
      </c>
      <c r="BC6" s="44">
        <v>2</v>
      </c>
      <c r="BD6" s="71" t="s">
        <v>236</v>
      </c>
      <c r="BE6" s="48" t="s">
        <v>237</v>
      </c>
      <c r="BF6" s="71" t="s">
        <v>221</v>
      </c>
      <c r="BG6" s="79" t="s">
        <v>228</v>
      </c>
      <c r="BH6" s="78" t="s">
        <v>228</v>
      </c>
      <c r="BI6" s="78" t="s">
        <v>228</v>
      </c>
      <c r="BJ6" s="78" t="s">
        <v>228</v>
      </c>
      <c r="BK6" s="78" t="s">
        <v>228</v>
      </c>
      <c r="BL6" s="78" t="s">
        <v>228</v>
      </c>
      <c r="BM6" s="78" t="s">
        <v>228</v>
      </c>
      <c r="BN6" s="78" t="s">
        <v>228</v>
      </c>
      <c r="BO6" s="78" t="s">
        <v>228</v>
      </c>
      <c r="BP6" s="78" t="s">
        <v>228</v>
      </c>
      <c r="BQ6" s="78" t="s">
        <v>228</v>
      </c>
      <c r="BR6" s="78" t="s">
        <v>228</v>
      </c>
      <c r="BS6" s="78" t="s">
        <v>228</v>
      </c>
      <c r="BT6" s="78" t="s">
        <v>228</v>
      </c>
      <c r="BU6" s="78" t="s">
        <v>228</v>
      </c>
      <c r="BV6" s="78" t="s">
        <v>228</v>
      </c>
      <c r="BW6" s="78" t="s">
        <v>228</v>
      </c>
      <c r="BX6" s="78" t="s">
        <v>228</v>
      </c>
      <c r="BY6" s="78" t="s">
        <v>228</v>
      </c>
      <c r="BZ6" s="78" t="s">
        <v>228</v>
      </c>
      <c r="CA6" s="78" t="s">
        <v>228</v>
      </c>
      <c r="CB6" s="78" t="s">
        <v>228</v>
      </c>
      <c r="CC6" s="78" t="s">
        <v>228</v>
      </c>
      <c r="CD6" s="78" t="s">
        <v>228</v>
      </c>
      <c r="CE6" s="78" t="s">
        <v>228</v>
      </c>
      <c r="CF6" s="78" t="s">
        <v>228</v>
      </c>
      <c r="CG6" s="78" t="s">
        <v>228</v>
      </c>
      <c r="CH6" s="78" t="s">
        <v>228</v>
      </c>
      <c r="CI6" s="78" t="s">
        <v>228</v>
      </c>
      <c r="CJ6" s="78" t="s">
        <v>228</v>
      </c>
      <c r="CK6" s="78" t="s">
        <v>228</v>
      </c>
      <c r="CL6" s="78" t="s">
        <v>228</v>
      </c>
      <c r="CM6" s="78" t="s">
        <v>228</v>
      </c>
      <c r="CN6" s="81" t="s">
        <v>228</v>
      </c>
      <c r="CO6" s="45" t="s">
        <v>228</v>
      </c>
      <c r="CP6" s="63" t="s">
        <v>228</v>
      </c>
      <c r="CQ6" s="63" t="s">
        <v>228</v>
      </c>
      <c r="CR6" s="45" t="s">
        <v>228</v>
      </c>
      <c r="CS6" s="43" t="s">
        <v>228</v>
      </c>
      <c r="CT6" s="45" t="s">
        <v>228</v>
      </c>
      <c r="CU6" s="45" t="s">
        <v>228</v>
      </c>
      <c r="CV6" s="43" t="s">
        <v>228</v>
      </c>
      <c r="CW6" s="45" t="s">
        <v>228</v>
      </c>
      <c r="CX6" s="45" t="s">
        <v>228</v>
      </c>
      <c r="CY6" s="43"/>
      <c r="CZ6" s="45"/>
      <c r="DA6" s="45"/>
      <c r="DB6" s="43"/>
      <c r="DC6" s="45"/>
      <c r="DD6" s="45"/>
      <c r="DE6" s="43"/>
      <c r="DF6" s="45"/>
      <c r="DG6" s="45"/>
      <c r="DH6" s="43"/>
      <c r="DI6" s="45"/>
      <c r="DJ6" s="45"/>
      <c r="DK6" s="43"/>
      <c r="DL6" s="45"/>
      <c r="DM6" s="45"/>
      <c r="DN6" s="43"/>
      <c r="DO6" s="45"/>
      <c r="DP6" s="45"/>
      <c r="DQ6" s="43"/>
      <c r="DR6" s="45"/>
      <c r="DS6" s="45"/>
      <c r="DT6" s="43"/>
      <c r="DU6" s="45"/>
      <c r="DV6" s="45"/>
      <c r="DW6" s="43"/>
      <c r="DX6" s="45"/>
      <c r="DY6" s="45"/>
      <c r="DZ6" s="43"/>
      <c r="EA6" s="45"/>
      <c r="EB6" s="45"/>
      <c r="EC6" s="43"/>
      <c r="ED6" s="45"/>
      <c r="EE6" s="45"/>
      <c r="EF6" s="43"/>
      <c r="EG6" s="45"/>
      <c r="EH6" s="45"/>
      <c r="EI6" s="63">
        <v>43775</v>
      </c>
      <c r="EJ6" s="45" t="s">
        <v>256</v>
      </c>
      <c r="EK6" s="43" t="s">
        <v>257</v>
      </c>
      <c r="EL6" s="45" t="s">
        <v>258</v>
      </c>
      <c r="EM6" s="63">
        <v>43802</v>
      </c>
      <c r="EN6" s="63">
        <v>43948</v>
      </c>
      <c r="EO6" s="45" t="s">
        <v>259</v>
      </c>
      <c r="EP6" s="43" t="s">
        <v>246</v>
      </c>
      <c r="EQ6" s="45" t="s">
        <v>260</v>
      </c>
      <c r="ER6" s="45" t="s">
        <v>259</v>
      </c>
      <c r="ES6" s="43" t="s">
        <v>257</v>
      </c>
      <c r="ET6" s="45" t="s">
        <v>261</v>
      </c>
      <c r="EU6" s="45" t="s">
        <v>259</v>
      </c>
      <c r="EV6" s="43" t="s">
        <v>228</v>
      </c>
      <c r="EW6" s="45" t="s">
        <v>228</v>
      </c>
      <c r="EX6" s="45" t="s">
        <v>228</v>
      </c>
      <c r="EY6" s="43" t="s">
        <v>228</v>
      </c>
      <c r="EZ6" s="45" t="s">
        <v>228</v>
      </c>
      <c r="FA6" s="45" t="s">
        <v>228</v>
      </c>
      <c r="FB6" s="43" t="s">
        <v>228</v>
      </c>
      <c r="FC6" s="45" t="s">
        <v>228</v>
      </c>
      <c r="FD6" s="45" t="s">
        <v>228</v>
      </c>
      <c r="FE6" s="43"/>
      <c r="FF6" s="45"/>
      <c r="FG6" s="45"/>
      <c r="FH6" s="43"/>
      <c r="FI6" s="45"/>
      <c r="FJ6" s="45"/>
      <c r="FK6" s="43"/>
      <c r="FL6" s="45"/>
      <c r="FM6" s="45"/>
      <c r="FN6" s="43"/>
      <c r="FO6" s="45"/>
      <c r="FP6" s="45"/>
      <c r="FQ6" s="43"/>
      <c r="FR6" s="45"/>
      <c r="FS6" s="45"/>
      <c r="FT6" s="43"/>
      <c r="FU6" s="45"/>
      <c r="FV6" s="45"/>
      <c r="FW6" s="43"/>
      <c r="FX6" s="45"/>
      <c r="FY6" s="45"/>
      <c r="FZ6" s="43"/>
      <c r="GA6" s="45"/>
      <c r="GB6" s="46"/>
      <c r="GC6" s="43"/>
      <c r="GD6" s="47"/>
      <c r="GE6" s="46"/>
      <c r="GF6" s="44" t="s">
        <v>262</v>
      </c>
      <c r="GG6" s="65">
        <v>44081</v>
      </c>
      <c r="GH6" s="42" t="s">
        <v>232</v>
      </c>
      <c r="GI6" s="47" t="s">
        <v>263</v>
      </c>
      <c r="GJ6" s="63">
        <v>43993</v>
      </c>
      <c r="GK6" s="89" t="s">
        <v>228</v>
      </c>
      <c r="GL6" s="89" t="s">
        <v>228</v>
      </c>
      <c r="GM6" s="126" t="str">
        <f t="shared" si="7"/>
        <v>N/A</v>
      </c>
      <c r="GN6" s="126" t="str">
        <f t="shared" si="8"/>
        <v>N/A</v>
      </c>
      <c r="GO6" s="126">
        <f t="shared" si="9"/>
        <v>1.2333333333333334</v>
      </c>
      <c r="GP6" s="126" t="str">
        <f t="shared" si="10"/>
        <v>N/A</v>
      </c>
      <c r="GQ6" s="77" t="str">
        <f t="shared" si="11"/>
        <v>N/A</v>
      </c>
      <c r="GR6" s="77" t="str">
        <f t="shared" si="12"/>
        <v>N/A</v>
      </c>
      <c r="GS6" s="77" t="str">
        <f t="shared" si="13"/>
        <v>N/A</v>
      </c>
      <c r="GT6" s="77" t="str">
        <f t="shared" si="14"/>
        <v>N/A</v>
      </c>
      <c r="GU6" s="77" t="str">
        <f t="shared" si="15"/>
        <v>N/A</v>
      </c>
      <c r="GV6" s="126" t="str">
        <f t="shared" si="16"/>
        <v>N/A</v>
      </c>
      <c r="GW6" s="126" t="str">
        <f t="shared" si="17"/>
        <v>N/A</v>
      </c>
      <c r="GX6" s="126" t="str">
        <f t="shared" si="18"/>
        <v>N/A</v>
      </c>
      <c r="GY6" s="126">
        <f t="shared" si="19"/>
        <v>17.766666666666666</v>
      </c>
      <c r="GZ6" s="126">
        <f t="shared" si="20"/>
        <v>18.666666666666668</v>
      </c>
      <c r="HA6" s="126">
        <f t="shared" si="21"/>
        <v>23.533333333333335</v>
      </c>
      <c r="HB6" s="126">
        <f t="shared" si="0"/>
        <v>17.766666666666666</v>
      </c>
      <c r="HC6" s="126">
        <f t="shared" si="22"/>
        <v>27.966666666666665</v>
      </c>
      <c r="HD6" s="126">
        <f t="shared" si="23"/>
        <v>25.033333333333335</v>
      </c>
      <c r="HE6" s="126" t="str">
        <f t="shared" si="24"/>
        <v>N/A</v>
      </c>
      <c r="HF6" s="127">
        <f t="shared" si="1"/>
        <v>27.966666666666665</v>
      </c>
      <c r="HG6" s="127" cm="1">
        <f t="array" ref="HG6">INDEX($HB6:$HD6,MATCH(TRUE,INDEX(ISNUMBER($HB6:$HD6),0),0))</f>
        <v>17.766666666666666</v>
      </c>
      <c r="HH6" s="128">
        <f t="shared" si="2"/>
        <v>1</v>
      </c>
      <c r="HI6" s="128">
        <f t="shared" si="3"/>
        <v>1</v>
      </c>
      <c r="HJ6" s="128">
        <f t="shared" si="4"/>
        <v>1</v>
      </c>
      <c r="HK6" s="130" t="str">
        <f t="shared" si="5"/>
        <v>1</v>
      </c>
    </row>
    <row r="7" spans="1:219" ht="15" customHeight="1" x14ac:dyDescent="0.3">
      <c r="A7" s="113">
        <v>4269850612</v>
      </c>
      <c r="B7" s="92" t="s">
        <v>221</v>
      </c>
      <c r="C7" s="115" t="s">
        <v>222</v>
      </c>
      <c r="D7" s="94" t="s">
        <v>221</v>
      </c>
      <c r="E7" s="116" t="s">
        <v>264</v>
      </c>
      <c r="F7" s="116" t="s">
        <v>240</v>
      </c>
      <c r="G7" s="117" t="s">
        <v>225</v>
      </c>
      <c r="H7" s="118">
        <v>43285</v>
      </c>
      <c r="I7" s="119" t="s">
        <v>265</v>
      </c>
      <c r="J7" s="98" t="s">
        <v>227</v>
      </c>
      <c r="K7" s="98" t="s">
        <v>228</v>
      </c>
      <c r="L7" s="98" t="s">
        <v>228</v>
      </c>
      <c r="M7" s="117" t="s">
        <v>228</v>
      </c>
      <c r="N7" s="117" t="s">
        <v>228</v>
      </c>
      <c r="O7" s="117" t="s">
        <v>228</v>
      </c>
      <c r="P7" s="117" t="s">
        <v>228</v>
      </c>
      <c r="Q7" s="117" t="s">
        <v>228</v>
      </c>
      <c r="R7" s="117" t="s">
        <v>228</v>
      </c>
      <c r="S7" s="117" t="s">
        <v>228</v>
      </c>
      <c r="T7" s="117" t="s">
        <v>228</v>
      </c>
      <c r="U7" s="117" t="s">
        <v>228</v>
      </c>
      <c r="V7" s="117" t="s">
        <v>228</v>
      </c>
      <c r="W7" s="117" t="s">
        <v>228</v>
      </c>
      <c r="X7" s="117" t="s">
        <v>228</v>
      </c>
      <c r="Y7" s="117" t="s">
        <v>228</v>
      </c>
      <c r="Z7" s="117" t="s">
        <v>228</v>
      </c>
      <c r="AA7" s="117" t="s">
        <v>228</v>
      </c>
      <c r="AB7" s="117" t="s">
        <v>228</v>
      </c>
      <c r="AC7" s="117" t="s">
        <v>228</v>
      </c>
      <c r="AD7" s="117" t="s">
        <v>228</v>
      </c>
      <c r="AE7" s="117" t="s">
        <v>228</v>
      </c>
      <c r="AF7" s="117" t="s">
        <v>228</v>
      </c>
      <c r="AG7" s="117" t="s">
        <v>228</v>
      </c>
      <c r="AH7" s="117" t="s">
        <v>228</v>
      </c>
      <c r="AI7" s="117" t="s">
        <v>228</v>
      </c>
      <c r="AJ7" s="117" t="s">
        <v>228</v>
      </c>
      <c r="AK7" s="117" t="s">
        <v>228</v>
      </c>
      <c r="AL7" s="117" t="s">
        <v>228</v>
      </c>
      <c r="AM7" s="117" t="s">
        <v>228</v>
      </c>
      <c r="AN7" s="117" t="s">
        <v>228</v>
      </c>
      <c r="AO7" s="117" t="s">
        <v>228</v>
      </c>
      <c r="AP7" s="117" t="s">
        <v>228</v>
      </c>
      <c r="AQ7" s="120" t="s">
        <v>229</v>
      </c>
      <c r="AR7" s="121">
        <v>14880</v>
      </c>
      <c r="AS7" s="122">
        <v>43243</v>
      </c>
      <c r="AT7" s="58">
        <f t="shared" si="6"/>
        <v>77</v>
      </c>
      <c r="AU7" s="112" t="s">
        <v>266</v>
      </c>
      <c r="AV7" s="42" t="s">
        <v>231</v>
      </c>
      <c r="AW7" s="104" t="s">
        <v>232</v>
      </c>
      <c r="AX7" s="44" t="s">
        <v>233</v>
      </c>
      <c r="AY7" s="105" t="s">
        <v>234</v>
      </c>
      <c r="AZ7" s="44" t="s">
        <v>234</v>
      </c>
      <c r="BA7" s="106">
        <v>0</v>
      </c>
      <c r="BB7" s="42" t="s">
        <v>235</v>
      </c>
      <c r="BC7" s="44">
        <v>3</v>
      </c>
      <c r="BD7" s="71" t="s">
        <v>236</v>
      </c>
      <c r="BE7" s="48" t="s">
        <v>237</v>
      </c>
      <c r="BF7" s="71" t="s">
        <v>221</v>
      </c>
      <c r="BG7" s="79" t="s">
        <v>228</v>
      </c>
      <c r="BH7" s="78" t="s">
        <v>228</v>
      </c>
      <c r="BI7" s="78" t="s">
        <v>228</v>
      </c>
      <c r="BJ7" s="78" t="s">
        <v>228</v>
      </c>
      <c r="BK7" s="78" t="s">
        <v>228</v>
      </c>
      <c r="BL7" s="78" t="s">
        <v>228</v>
      </c>
      <c r="BM7" s="78" t="s">
        <v>228</v>
      </c>
      <c r="BN7" s="78" t="s">
        <v>228</v>
      </c>
      <c r="BO7" s="78" t="s">
        <v>228</v>
      </c>
      <c r="BP7" s="78" t="s">
        <v>228</v>
      </c>
      <c r="BQ7" s="78" t="s">
        <v>228</v>
      </c>
      <c r="BR7" s="78" t="s">
        <v>228</v>
      </c>
      <c r="BS7" s="78" t="s">
        <v>228</v>
      </c>
      <c r="BT7" s="78" t="s">
        <v>228</v>
      </c>
      <c r="BU7" s="78" t="s">
        <v>228</v>
      </c>
      <c r="BV7" s="78" t="s">
        <v>228</v>
      </c>
      <c r="BW7" s="78" t="s">
        <v>228</v>
      </c>
      <c r="BX7" s="78" t="s">
        <v>228</v>
      </c>
      <c r="BY7" s="78" t="s">
        <v>228</v>
      </c>
      <c r="BZ7" s="78" t="s">
        <v>228</v>
      </c>
      <c r="CA7" s="78" t="s">
        <v>228</v>
      </c>
      <c r="CB7" s="78" t="s">
        <v>228</v>
      </c>
      <c r="CC7" s="78" t="s">
        <v>228</v>
      </c>
      <c r="CD7" s="78" t="s">
        <v>228</v>
      </c>
      <c r="CE7" s="78" t="s">
        <v>228</v>
      </c>
      <c r="CF7" s="78" t="s">
        <v>228</v>
      </c>
      <c r="CG7" s="78" t="s">
        <v>228</v>
      </c>
      <c r="CH7" s="78" t="s">
        <v>228</v>
      </c>
      <c r="CI7" s="78" t="s">
        <v>228</v>
      </c>
      <c r="CJ7" s="78" t="s">
        <v>228</v>
      </c>
      <c r="CK7" s="78" t="s">
        <v>228</v>
      </c>
      <c r="CL7" s="78" t="s">
        <v>228</v>
      </c>
      <c r="CM7" s="78" t="s">
        <v>228</v>
      </c>
      <c r="CN7" s="81" t="s">
        <v>228</v>
      </c>
      <c r="CO7" s="45" t="s">
        <v>228</v>
      </c>
      <c r="CP7" s="63" t="s">
        <v>228</v>
      </c>
      <c r="CQ7" s="63" t="s">
        <v>228</v>
      </c>
      <c r="CR7" s="45" t="s">
        <v>228</v>
      </c>
      <c r="CS7" s="43" t="s">
        <v>228</v>
      </c>
      <c r="CT7" s="45" t="s">
        <v>228</v>
      </c>
      <c r="CU7" s="45" t="s">
        <v>228</v>
      </c>
      <c r="CV7" s="43" t="s">
        <v>228</v>
      </c>
      <c r="CW7" s="45" t="s">
        <v>228</v>
      </c>
      <c r="CX7" s="45" t="s">
        <v>228</v>
      </c>
      <c r="CY7" s="43"/>
      <c r="CZ7" s="45"/>
      <c r="DA7" s="45"/>
      <c r="DB7" s="43"/>
      <c r="DC7" s="45"/>
      <c r="DD7" s="45"/>
      <c r="DE7" s="43"/>
      <c r="DF7" s="45"/>
      <c r="DG7" s="45"/>
      <c r="DH7" s="43"/>
      <c r="DI7" s="45"/>
      <c r="DJ7" s="45"/>
      <c r="DK7" s="43"/>
      <c r="DL7" s="45"/>
      <c r="DM7" s="45"/>
      <c r="DN7" s="43"/>
      <c r="DO7" s="45"/>
      <c r="DP7" s="45"/>
      <c r="DQ7" s="43"/>
      <c r="DR7" s="45"/>
      <c r="DS7" s="45"/>
      <c r="DT7" s="43"/>
      <c r="DU7" s="45"/>
      <c r="DV7" s="45"/>
      <c r="DW7" s="43"/>
      <c r="DX7" s="45"/>
      <c r="DY7" s="45"/>
      <c r="DZ7" s="43"/>
      <c r="EA7" s="45"/>
      <c r="EB7" s="45"/>
      <c r="EC7" s="43"/>
      <c r="ED7" s="45"/>
      <c r="EE7" s="45"/>
      <c r="EF7" s="43"/>
      <c r="EG7" s="45"/>
      <c r="EH7" s="45"/>
      <c r="EI7" s="63">
        <v>43503</v>
      </c>
      <c r="EJ7" s="45" t="s">
        <v>267</v>
      </c>
      <c r="EK7" s="43" t="s">
        <v>246</v>
      </c>
      <c r="EL7" s="45" t="s">
        <v>268</v>
      </c>
      <c r="EM7" s="63">
        <v>43563</v>
      </c>
      <c r="EN7" s="63">
        <v>43567</v>
      </c>
      <c r="EO7" s="45" t="s">
        <v>269</v>
      </c>
      <c r="EP7" s="43" t="s">
        <v>228</v>
      </c>
      <c r="EQ7" s="45" t="s">
        <v>228</v>
      </c>
      <c r="ER7" s="45" t="s">
        <v>228</v>
      </c>
      <c r="ES7" s="43" t="s">
        <v>228</v>
      </c>
      <c r="ET7" s="45" t="s">
        <v>228</v>
      </c>
      <c r="EU7" s="45" t="s">
        <v>228</v>
      </c>
      <c r="EV7" s="43" t="s">
        <v>228</v>
      </c>
      <c r="EW7" s="45" t="s">
        <v>228</v>
      </c>
      <c r="EX7" s="45" t="s">
        <v>228</v>
      </c>
      <c r="EY7" s="43" t="s">
        <v>228</v>
      </c>
      <c r="EZ7" s="45" t="s">
        <v>228</v>
      </c>
      <c r="FA7" s="45" t="s">
        <v>228</v>
      </c>
      <c r="FB7" s="43" t="s">
        <v>228</v>
      </c>
      <c r="FC7" s="45" t="s">
        <v>228</v>
      </c>
      <c r="FD7" s="45" t="s">
        <v>228</v>
      </c>
      <c r="FE7" s="43"/>
      <c r="FF7" s="45"/>
      <c r="FG7" s="45"/>
      <c r="FH7" s="43"/>
      <c r="FI7" s="45"/>
      <c r="FJ7" s="45"/>
      <c r="FK7" s="43"/>
      <c r="FL7" s="45"/>
      <c r="FM7" s="45"/>
      <c r="FN7" s="43"/>
      <c r="FO7" s="45"/>
      <c r="FP7" s="45"/>
      <c r="FQ7" s="43"/>
      <c r="FR7" s="45"/>
      <c r="FS7" s="45"/>
      <c r="FT7" s="43"/>
      <c r="FU7" s="45"/>
      <c r="FV7" s="45"/>
      <c r="FW7" s="43"/>
      <c r="FX7" s="45"/>
      <c r="FY7" s="45"/>
      <c r="FZ7" s="43"/>
      <c r="GA7" s="45"/>
      <c r="GB7" s="46"/>
      <c r="GC7" s="43"/>
      <c r="GD7" s="47"/>
      <c r="GE7" s="46"/>
      <c r="GF7" s="44" t="s">
        <v>262</v>
      </c>
      <c r="GG7" s="65">
        <v>43971</v>
      </c>
      <c r="GH7" s="42" t="s">
        <v>232</v>
      </c>
      <c r="GI7" s="47" t="s">
        <v>263</v>
      </c>
      <c r="GJ7" s="63">
        <v>43914</v>
      </c>
      <c r="GK7" s="63" t="s">
        <v>228</v>
      </c>
      <c r="GL7" s="63" t="s">
        <v>228</v>
      </c>
      <c r="GM7" s="126" t="str">
        <f t="shared" si="7"/>
        <v>N/A</v>
      </c>
      <c r="GN7" s="126" t="str">
        <f t="shared" si="8"/>
        <v>N/A</v>
      </c>
      <c r="GO7" s="126">
        <f t="shared" si="9"/>
        <v>1.4</v>
      </c>
      <c r="GP7" s="126" t="str">
        <f t="shared" si="10"/>
        <v>N/A</v>
      </c>
      <c r="GQ7" s="77" t="str">
        <f t="shared" si="11"/>
        <v>N/A</v>
      </c>
      <c r="GR7" s="77" t="str">
        <f t="shared" si="12"/>
        <v>N/A</v>
      </c>
      <c r="GS7" s="77" t="str">
        <f t="shared" si="13"/>
        <v>N/A</v>
      </c>
      <c r="GT7" s="77" t="str">
        <f t="shared" si="14"/>
        <v>N/A</v>
      </c>
      <c r="GU7" s="77" t="str">
        <f t="shared" si="15"/>
        <v>N/A</v>
      </c>
      <c r="GV7" s="126" t="str">
        <f t="shared" si="16"/>
        <v>N/A</v>
      </c>
      <c r="GW7" s="126" t="str">
        <f t="shared" si="17"/>
        <v>N/A</v>
      </c>
      <c r="GX7" s="126" t="str">
        <f t="shared" si="18"/>
        <v>N/A</v>
      </c>
      <c r="GY7" s="126">
        <f t="shared" si="19"/>
        <v>8.6666666666666661</v>
      </c>
      <c r="GZ7" s="126">
        <f t="shared" si="20"/>
        <v>10.666666666666666</v>
      </c>
      <c r="HA7" s="126">
        <f t="shared" si="21"/>
        <v>10.8</v>
      </c>
      <c r="HB7" s="126">
        <f t="shared" si="0"/>
        <v>8.6666666666666661</v>
      </c>
      <c r="HC7" s="126">
        <f t="shared" si="22"/>
        <v>24.266666666666666</v>
      </c>
      <c r="HD7" s="126">
        <f t="shared" si="23"/>
        <v>22.366666666666667</v>
      </c>
      <c r="HE7" s="126" t="str">
        <f t="shared" si="24"/>
        <v>N/A</v>
      </c>
      <c r="HF7" s="127">
        <f t="shared" si="1"/>
        <v>24.266666666666666</v>
      </c>
      <c r="HG7" s="127" cm="1">
        <f t="array" ref="HG7">INDEX($HB7:$HD7,MATCH(TRUE,INDEX(ISNUMBER($HB7:$HD7),0),0))</f>
        <v>8.6666666666666661</v>
      </c>
      <c r="HH7" s="128">
        <f t="shared" si="2"/>
        <v>1</v>
      </c>
      <c r="HI7" s="128">
        <f t="shared" si="3"/>
        <v>1</v>
      </c>
      <c r="HJ7" s="128">
        <f t="shared" si="4"/>
        <v>1</v>
      </c>
      <c r="HK7" s="130" t="str">
        <f t="shared" si="5"/>
        <v>1</v>
      </c>
    </row>
    <row r="8" spans="1:219" ht="15" customHeight="1" x14ac:dyDescent="0.3">
      <c r="A8" s="114">
        <v>4387993316</v>
      </c>
      <c r="B8" s="42" t="s">
        <v>221</v>
      </c>
      <c r="C8" s="123" t="s">
        <v>222</v>
      </c>
      <c r="D8" s="42" t="s">
        <v>221</v>
      </c>
      <c r="E8" s="48" t="s">
        <v>270</v>
      </c>
      <c r="F8" s="48" t="s">
        <v>271</v>
      </c>
      <c r="G8" s="113" t="s">
        <v>228</v>
      </c>
      <c r="H8" s="96">
        <v>43286</v>
      </c>
      <c r="I8" s="111" t="s">
        <v>272</v>
      </c>
      <c r="J8" s="42" t="s">
        <v>227</v>
      </c>
      <c r="K8" s="42" t="s">
        <v>228</v>
      </c>
      <c r="L8" s="42" t="s">
        <v>228</v>
      </c>
      <c r="M8" s="113" t="s">
        <v>228</v>
      </c>
      <c r="N8" s="113" t="s">
        <v>228</v>
      </c>
      <c r="O8" s="113" t="s">
        <v>228</v>
      </c>
      <c r="P8" s="113" t="s">
        <v>228</v>
      </c>
      <c r="Q8" s="113" t="s">
        <v>228</v>
      </c>
      <c r="R8" s="113" t="s">
        <v>228</v>
      </c>
      <c r="S8" s="113" t="s">
        <v>228</v>
      </c>
      <c r="T8" s="113" t="s">
        <v>228</v>
      </c>
      <c r="U8" s="113" t="s">
        <v>228</v>
      </c>
      <c r="V8" s="113" t="s">
        <v>228</v>
      </c>
      <c r="W8" s="113" t="s">
        <v>228</v>
      </c>
      <c r="X8" s="113" t="s">
        <v>228</v>
      </c>
      <c r="Y8" s="113" t="s">
        <v>228</v>
      </c>
      <c r="Z8" s="113" t="s">
        <v>228</v>
      </c>
      <c r="AA8" s="113" t="s">
        <v>228</v>
      </c>
      <c r="AB8" s="113" t="s">
        <v>228</v>
      </c>
      <c r="AC8" s="113" t="s">
        <v>228</v>
      </c>
      <c r="AD8" s="113" t="s">
        <v>228</v>
      </c>
      <c r="AE8" s="113" t="s">
        <v>228</v>
      </c>
      <c r="AF8" s="113" t="s">
        <v>228</v>
      </c>
      <c r="AG8" s="113" t="s">
        <v>228</v>
      </c>
      <c r="AH8" s="113" t="s">
        <v>228</v>
      </c>
      <c r="AI8" s="113" t="s">
        <v>228</v>
      </c>
      <c r="AJ8" s="113" t="s">
        <v>228</v>
      </c>
      <c r="AK8" s="113" t="s">
        <v>228</v>
      </c>
      <c r="AL8" s="113" t="s">
        <v>228</v>
      </c>
      <c r="AM8" s="113" t="s">
        <v>228</v>
      </c>
      <c r="AN8" s="113" t="s">
        <v>228</v>
      </c>
      <c r="AO8" s="113" t="s">
        <v>228</v>
      </c>
      <c r="AP8" s="113" t="s">
        <v>228</v>
      </c>
      <c r="AQ8" s="90" t="s">
        <v>229</v>
      </c>
      <c r="AR8" s="101">
        <v>17265</v>
      </c>
      <c r="AS8" s="63">
        <v>43255</v>
      </c>
      <c r="AT8" s="124">
        <f t="shared" si="6"/>
        <v>71</v>
      </c>
      <c r="AU8" s="112" t="s">
        <v>255</v>
      </c>
      <c r="AV8" s="42" t="s">
        <v>231</v>
      </c>
      <c r="AW8" s="104" t="s">
        <v>234</v>
      </c>
      <c r="AX8" s="113" t="s">
        <v>273</v>
      </c>
      <c r="AY8" s="125" t="s">
        <v>234</v>
      </c>
      <c r="AZ8" s="44" t="s">
        <v>234</v>
      </c>
      <c r="BA8" s="114">
        <v>0</v>
      </c>
      <c r="BB8" s="42" t="s">
        <v>274</v>
      </c>
      <c r="BC8" s="44">
        <v>1</v>
      </c>
      <c r="BD8" s="71" t="s">
        <v>236</v>
      </c>
      <c r="BE8" s="48" t="s">
        <v>275</v>
      </c>
      <c r="BF8" s="71" t="s">
        <v>221</v>
      </c>
      <c r="BG8" s="79" t="s">
        <v>228</v>
      </c>
      <c r="BH8" s="78" t="s">
        <v>228</v>
      </c>
      <c r="BI8" s="78" t="s">
        <v>228</v>
      </c>
      <c r="BJ8" s="78" t="s">
        <v>228</v>
      </c>
      <c r="BK8" s="78" t="s">
        <v>228</v>
      </c>
      <c r="BL8" s="78" t="s">
        <v>228</v>
      </c>
      <c r="BM8" s="78" t="s">
        <v>228</v>
      </c>
      <c r="BN8" s="78" t="s">
        <v>228</v>
      </c>
      <c r="BO8" s="78" t="s">
        <v>228</v>
      </c>
      <c r="BP8" s="78" t="s">
        <v>228</v>
      </c>
      <c r="BQ8" s="78" t="s">
        <v>228</v>
      </c>
      <c r="BR8" s="78" t="s">
        <v>228</v>
      </c>
      <c r="BS8" s="78" t="s">
        <v>228</v>
      </c>
      <c r="BT8" s="78" t="s">
        <v>228</v>
      </c>
      <c r="BU8" s="78" t="s">
        <v>228</v>
      </c>
      <c r="BV8" s="78" t="s">
        <v>228</v>
      </c>
      <c r="BW8" s="78" t="s">
        <v>228</v>
      </c>
      <c r="BX8" s="78" t="s">
        <v>228</v>
      </c>
      <c r="BY8" s="78" t="s">
        <v>228</v>
      </c>
      <c r="BZ8" s="78" t="s">
        <v>228</v>
      </c>
      <c r="CA8" s="78" t="s">
        <v>228</v>
      </c>
      <c r="CB8" s="78" t="s">
        <v>228</v>
      </c>
      <c r="CC8" s="78" t="s">
        <v>228</v>
      </c>
      <c r="CD8" s="78" t="s">
        <v>228</v>
      </c>
      <c r="CE8" s="78" t="s">
        <v>228</v>
      </c>
      <c r="CF8" s="78" t="s">
        <v>228</v>
      </c>
      <c r="CG8" s="78" t="s">
        <v>228</v>
      </c>
      <c r="CH8" s="78" t="s">
        <v>228</v>
      </c>
      <c r="CI8" s="78" t="s">
        <v>228</v>
      </c>
      <c r="CJ8" s="78" t="s">
        <v>228</v>
      </c>
      <c r="CK8" s="78" t="s">
        <v>228</v>
      </c>
      <c r="CL8" s="78" t="s">
        <v>228</v>
      </c>
      <c r="CM8" s="78" t="s">
        <v>228</v>
      </c>
      <c r="CN8" s="81" t="s">
        <v>228</v>
      </c>
      <c r="CO8" s="45" t="s">
        <v>228</v>
      </c>
      <c r="CP8" s="45" t="s">
        <v>228</v>
      </c>
      <c r="CQ8" s="45" t="s">
        <v>228</v>
      </c>
      <c r="CR8" s="45" t="s">
        <v>228</v>
      </c>
      <c r="CS8" s="45" t="s">
        <v>228</v>
      </c>
      <c r="CT8" s="45" t="s">
        <v>228</v>
      </c>
      <c r="CU8" s="45" t="s">
        <v>228</v>
      </c>
      <c r="CV8" s="45" t="s">
        <v>228</v>
      </c>
      <c r="CW8" s="45" t="s">
        <v>228</v>
      </c>
      <c r="CX8" s="45" t="s">
        <v>228</v>
      </c>
      <c r="CY8" s="45" t="s">
        <v>228</v>
      </c>
      <c r="CZ8" s="45" t="s">
        <v>228</v>
      </c>
      <c r="DA8" s="45" t="s">
        <v>228</v>
      </c>
      <c r="DB8" s="45" t="s">
        <v>228</v>
      </c>
      <c r="DC8" s="45" t="s">
        <v>228</v>
      </c>
      <c r="DD8" s="45" t="s">
        <v>228</v>
      </c>
      <c r="DE8" s="45" t="s">
        <v>228</v>
      </c>
      <c r="DF8" s="45" t="s">
        <v>228</v>
      </c>
      <c r="DG8" s="45" t="s">
        <v>228</v>
      </c>
      <c r="DH8" s="45" t="s">
        <v>228</v>
      </c>
      <c r="DI8" s="45" t="s">
        <v>228</v>
      </c>
      <c r="DJ8" s="45" t="s">
        <v>228</v>
      </c>
      <c r="DK8" s="45" t="s">
        <v>228</v>
      </c>
      <c r="DL8" s="45" t="s">
        <v>228</v>
      </c>
      <c r="DM8" s="45" t="s">
        <v>228</v>
      </c>
      <c r="DN8" s="45" t="s">
        <v>228</v>
      </c>
      <c r="DO8" s="45" t="s">
        <v>228</v>
      </c>
      <c r="DP8" s="45" t="s">
        <v>228</v>
      </c>
      <c r="DQ8" s="45" t="s">
        <v>228</v>
      </c>
      <c r="DR8" s="45" t="s">
        <v>228</v>
      </c>
      <c r="DS8" s="45" t="s">
        <v>228</v>
      </c>
      <c r="DT8" s="45" t="s">
        <v>228</v>
      </c>
      <c r="DU8" s="45" t="s">
        <v>228</v>
      </c>
      <c r="DV8" s="45" t="s">
        <v>228</v>
      </c>
      <c r="DW8" s="45" t="s">
        <v>228</v>
      </c>
      <c r="DX8" s="45" t="s">
        <v>228</v>
      </c>
      <c r="DY8" s="45" t="s">
        <v>228</v>
      </c>
      <c r="DZ8" s="45" t="s">
        <v>228</v>
      </c>
      <c r="EA8" s="45" t="s">
        <v>228</v>
      </c>
      <c r="EB8" s="45" t="s">
        <v>228</v>
      </c>
      <c r="EC8" s="45" t="s">
        <v>228</v>
      </c>
      <c r="ED8" s="45" t="s">
        <v>228</v>
      </c>
      <c r="EE8" s="45" t="s">
        <v>228</v>
      </c>
      <c r="EF8" s="45" t="s">
        <v>228</v>
      </c>
      <c r="EG8" s="45" t="s">
        <v>228</v>
      </c>
      <c r="EH8" s="45" t="s">
        <v>228</v>
      </c>
      <c r="EI8" s="45" t="s">
        <v>228</v>
      </c>
      <c r="EJ8" s="45" t="s">
        <v>228</v>
      </c>
      <c r="EK8" s="45" t="s">
        <v>228</v>
      </c>
      <c r="EL8" s="45" t="s">
        <v>228</v>
      </c>
      <c r="EM8" s="45" t="s">
        <v>228</v>
      </c>
      <c r="EN8" s="45" t="s">
        <v>228</v>
      </c>
      <c r="EO8" s="45" t="s">
        <v>228</v>
      </c>
      <c r="EP8" s="45" t="s">
        <v>228</v>
      </c>
      <c r="EQ8" s="45" t="s">
        <v>228</v>
      </c>
      <c r="ER8" s="45" t="s">
        <v>228</v>
      </c>
      <c r="ES8" s="45" t="s">
        <v>228</v>
      </c>
      <c r="ET8" s="45" t="s">
        <v>228</v>
      </c>
      <c r="EU8" s="45" t="s">
        <v>228</v>
      </c>
      <c r="EV8" s="45" t="s">
        <v>228</v>
      </c>
      <c r="EW8" s="45" t="s">
        <v>228</v>
      </c>
      <c r="EX8" s="45" t="s">
        <v>228</v>
      </c>
      <c r="EY8" s="45" t="s">
        <v>228</v>
      </c>
      <c r="EZ8" s="45" t="s">
        <v>228</v>
      </c>
      <c r="FA8" s="45" t="s">
        <v>228</v>
      </c>
      <c r="FB8" s="45" t="s">
        <v>228</v>
      </c>
      <c r="FC8" s="45" t="s">
        <v>228</v>
      </c>
      <c r="FD8" s="45" t="s">
        <v>228</v>
      </c>
      <c r="FE8" s="43"/>
      <c r="FF8" s="45"/>
      <c r="FG8" s="45"/>
      <c r="FH8" s="43"/>
      <c r="FI8" s="45"/>
      <c r="FJ8" s="45"/>
      <c r="FK8" s="43"/>
      <c r="FL8" s="45"/>
      <c r="FM8" s="45"/>
      <c r="FN8" s="43"/>
      <c r="FO8" s="45"/>
      <c r="FP8" s="45"/>
      <c r="FQ8" s="43"/>
      <c r="FR8" s="45"/>
      <c r="FS8" s="45"/>
      <c r="FT8" s="43"/>
      <c r="FU8" s="45"/>
      <c r="FV8" s="45"/>
      <c r="FW8" s="43"/>
      <c r="FX8" s="45"/>
      <c r="FY8" s="45"/>
      <c r="FZ8" s="43"/>
      <c r="GA8" s="45"/>
      <c r="GB8" s="46"/>
      <c r="GC8" s="43"/>
      <c r="GD8" s="47"/>
      <c r="GE8" s="46"/>
      <c r="GF8" s="44" t="s">
        <v>262</v>
      </c>
      <c r="GG8" s="65">
        <v>45144</v>
      </c>
      <c r="GH8" s="42" t="s">
        <v>234</v>
      </c>
      <c r="GI8" s="47" t="s">
        <v>234</v>
      </c>
      <c r="GJ8" s="63">
        <v>43444</v>
      </c>
      <c r="GK8" s="63" t="s">
        <v>228</v>
      </c>
      <c r="GL8" s="63" t="s">
        <v>228</v>
      </c>
      <c r="GM8" s="126" t="str">
        <f t="shared" si="7"/>
        <v>N/A</v>
      </c>
      <c r="GN8" s="126" t="str">
        <f t="shared" si="8"/>
        <v>N/A</v>
      </c>
      <c r="GO8" s="126">
        <f t="shared" si="9"/>
        <v>1.0333333333333334</v>
      </c>
      <c r="GP8" s="126" t="str">
        <f t="shared" si="10"/>
        <v>N/A</v>
      </c>
      <c r="GQ8" s="77" t="str">
        <f t="shared" si="11"/>
        <v>N/A</v>
      </c>
      <c r="GR8" s="77" t="str">
        <f t="shared" si="12"/>
        <v>N/A</v>
      </c>
      <c r="GS8" s="77" t="str">
        <f t="shared" si="13"/>
        <v>N/A</v>
      </c>
      <c r="GT8" s="77" t="str">
        <f t="shared" si="14"/>
        <v>N/A</v>
      </c>
      <c r="GU8" s="77" t="str">
        <f t="shared" si="15"/>
        <v>N/A</v>
      </c>
      <c r="GV8" s="126" t="str">
        <f t="shared" si="16"/>
        <v>N/A</v>
      </c>
      <c r="GW8" s="126" t="str">
        <f t="shared" si="17"/>
        <v>N/A</v>
      </c>
      <c r="GX8" s="126" t="str">
        <f t="shared" si="18"/>
        <v>N/A</v>
      </c>
      <c r="GY8" s="126" t="str">
        <f t="shared" si="19"/>
        <v>N/A</v>
      </c>
      <c r="GZ8" s="126" t="str">
        <f t="shared" si="20"/>
        <v>N/A</v>
      </c>
      <c r="HA8" s="126" t="str">
        <f t="shared" si="21"/>
        <v>N/A</v>
      </c>
      <c r="HB8" s="126" t="str">
        <f t="shared" si="0"/>
        <v>N/A</v>
      </c>
      <c r="HC8" s="126">
        <f t="shared" si="22"/>
        <v>62.966666666666669</v>
      </c>
      <c r="HD8" s="126">
        <f t="shared" si="23"/>
        <v>6.3</v>
      </c>
      <c r="HE8" s="126" t="str">
        <f t="shared" si="24"/>
        <v>N/A</v>
      </c>
      <c r="HF8" s="127">
        <f t="shared" si="1"/>
        <v>62.966666666666669</v>
      </c>
      <c r="HG8" s="127" cm="1">
        <f t="array" ref="HG8">INDEX($HB8:$HD8,MATCH(TRUE,INDEX(ISNUMBER($HB8:$HD8),0),0))</f>
        <v>62.966666666666669</v>
      </c>
      <c r="HH8" s="128">
        <f t="shared" si="2"/>
        <v>0</v>
      </c>
      <c r="HI8" s="128">
        <f t="shared" si="3"/>
        <v>0</v>
      </c>
      <c r="HJ8" s="128">
        <f t="shared" si="4"/>
        <v>1</v>
      </c>
      <c r="HK8" s="130" t="str">
        <f t="shared" si="5"/>
        <v>0</v>
      </c>
    </row>
  </sheetData>
  <conditionalFormatting sqref="A1:A3 E1:E3 E9:E1048576 A9:A1048576">
    <cfRule type="duplicateValues" dxfId="221" priority="5"/>
  </conditionalFormatting>
  <conditionalFormatting sqref="A4">
    <cfRule type="duplicateValues" dxfId="220" priority="1"/>
  </conditionalFormatting>
  <conditionalFormatting sqref="E4:E8">
    <cfRule type="duplicateValues" dxfId="219" priority="2"/>
  </conditionalFormatting>
  <dataValidations count="1">
    <dataValidation type="list" allowBlank="1" showInputMessage="1" showErrorMessage="1" sqref="GF4:GF8" xr:uid="{66257367-C725-43AF-996E-B752A2E1118E}">
      <formula1>"Alive, Deceased"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0CE9489-21B9-4AF7-8AD5-582F61E8EFA0}">
          <x14:formula1>
            <xm:f>'Calculations &amp; Lists'!$F$2:$F$5</xm:f>
          </x14:formula1>
          <xm:sqref>GH4:GH8 B4:B8 D4:D8 AW4:AW8 BF4:BF8</xm:sqref>
        </x14:dataValidation>
        <x14:dataValidation type="list" allowBlank="1" showInputMessage="1" showErrorMessage="1" xr:uid="{093CD397-5176-4DF9-B49A-C26FAAA98932}">
          <x14:formula1>
            <xm:f>'Calculations &amp; Lists'!$H$2:$H$6</xm:f>
          </x14:formula1>
          <xm:sqref>AV4:AV8</xm:sqref>
        </x14:dataValidation>
        <x14:dataValidation type="list" allowBlank="1" showInputMessage="1" showErrorMessage="1" xr:uid="{9873B8BB-C2ED-451F-8F20-133049F4F09A}">
          <x14:formula1>
            <xm:f>'Calculations &amp; Lists'!$E$2:$E$9</xm:f>
          </x14:formula1>
          <xm:sqref>FH5:FH8 FK5:FK8 FN5:FN8 FQ5:FQ8 FT5:FT8 FW5:FW8 FZ5:FZ8 GC5:GC8 CV5:CV7 CN4:CN8 CY5:CY7 DB5:DB7 DE5:DE7 DH5:DH7 DK5:DK7 DQ5:DQ7 DN5:DN7 DT5:DT7 DW5:DW7 DZ5:DZ7 EC5:EC7 EF5:EF7 EP5:EP7 EK4:EK7 ES5:ES7 EV5:EV7 EY5:EY7 FB5:FB7 FE5:FE8 CS5:CS7</xm:sqref>
        </x14:dataValidation>
        <x14:dataValidation type="list" allowBlank="1" showInputMessage="1" showErrorMessage="1" xr:uid="{FC1FA70A-B770-4674-821E-833C79035C90}">
          <x14:formula1>
            <xm:f>'Calculations &amp; Lists'!$G$2:$G$7</xm:f>
          </x14:formula1>
          <xm:sqref>Q4:Q8 C4:C8 V5:AP8</xm:sqref>
        </x14:dataValidation>
        <x14:dataValidation type="list" allowBlank="1" showInputMessage="1" showErrorMessage="1" xr:uid="{F0D1E866-6DF8-4277-9AE6-D782031E80BC}">
          <x14:formula1>
            <xm:f>'Calculations &amp; Lists'!$I$2:$I$10</xm:f>
          </x14:formula1>
          <xm:sqref>BD4:BD8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CDCDE-6648-41FE-8F0D-ADD710C198FB}">
  <sheetPr codeName="Sheet4"/>
  <dimension ref="B1:L419"/>
  <sheetViews>
    <sheetView topLeftCell="B1" workbookViewId="0">
      <selection activeCell="G25" sqref="G25"/>
    </sheetView>
  </sheetViews>
  <sheetFormatPr defaultColWidth="9.1796875" defaultRowHeight="15" customHeight="1" x14ac:dyDescent="0.3"/>
  <cols>
    <col min="1" max="1" width="9.1796875" style="49"/>
    <col min="2" max="2" width="43.453125" style="49" bestFit="1" customWidth="1"/>
    <col min="3" max="3" width="112.81640625" style="49" customWidth="1"/>
    <col min="4" max="4" width="9.1796875" style="49"/>
    <col min="5" max="6" width="15.81640625" style="49" customWidth="1"/>
    <col min="7" max="7" width="37.26953125" style="49" bestFit="1" customWidth="1"/>
    <col min="8" max="8" width="31.81640625" style="49" bestFit="1" customWidth="1"/>
    <col min="9" max="9" width="17.1796875" style="49" bestFit="1" customWidth="1"/>
    <col min="10" max="10" width="9.1796875" style="49"/>
    <col min="11" max="11" width="42.7265625" style="49" bestFit="1" customWidth="1"/>
    <col min="12" max="12" width="8" style="49" bestFit="1" customWidth="1"/>
    <col min="13" max="16384" width="9.1796875" style="49"/>
  </cols>
  <sheetData>
    <row r="1" spans="2:12" ht="18.75" customHeight="1" x14ac:dyDescent="0.3">
      <c r="E1" s="50" t="s">
        <v>276</v>
      </c>
      <c r="F1" s="50" t="s">
        <v>277</v>
      </c>
      <c r="G1" s="50" t="s">
        <v>43</v>
      </c>
      <c r="H1" s="50" t="s">
        <v>49</v>
      </c>
      <c r="I1" s="50" t="s">
        <v>57</v>
      </c>
    </row>
    <row r="2" spans="2:12" ht="15" customHeight="1" x14ac:dyDescent="0.3">
      <c r="B2" s="48" t="s">
        <v>278</v>
      </c>
      <c r="C2" s="48"/>
      <c r="E2" s="49" t="s">
        <v>246</v>
      </c>
      <c r="F2" s="49" t="s">
        <v>232</v>
      </c>
      <c r="G2" s="49" t="s">
        <v>222</v>
      </c>
      <c r="H2" s="49" t="s">
        <v>231</v>
      </c>
      <c r="I2" s="49" t="s">
        <v>279</v>
      </c>
    </row>
    <row r="3" spans="2:12" ht="15" customHeight="1" x14ac:dyDescent="0.3">
      <c r="B3" s="48" t="s">
        <v>280</v>
      </c>
      <c r="C3" s="48"/>
      <c r="E3" s="49" t="s">
        <v>281</v>
      </c>
      <c r="F3" s="49" t="s">
        <v>221</v>
      </c>
      <c r="G3" s="49" t="s">
        <v>282</v>
      </c>
      <c r="H3" s="49" t="s">
        <v>283</v>
      </c>
      <c r="I3" s="49" t="s">
        <v>284</v>
      </c>
      <c r="K3" s="51" t="s">
        <v>285</v>
      </c>
      <c r="L3" s="51" t="s">
        <v>286</v>
      </c>
    </row>
    <row r="4" spans="2:12" ht="15" customHeight="1" x14ac:dyDescent="0.3">
      <c r="B4" s="48"/>
      <c r="C4" s="48"/>
      <c r="E4" s="49" t="s">
        <v>287</v>
      </c>
      <c r="F4" s="49" t="s">
        <v>228</v>
      </c>
      <c r="G4" s="49" t="s">
        <v>288</v>
      </c>
      <c r="H4" s="49" t="s">
        <v>289</v>
      </c>
      <c r="I4" s="49" t="s">
        <v>290</v>
      </c>
      <c r="K4" s="4" t="s">
        <v>2</v>
      </c>
      <c r="L4" s="52" t="s">
        <v>291</v>
      </c>
    </row>
    <row r="5" spans="2:12" ht="15" customHeight="1" x14ac:dyDescent="0.3">
      <c r="B5" s="48"/>
      <c r="C5" s="48"/>
      <c r="E5" s="49" t="s">
        <v>292</v>
      </c>
      <c r="F5" s="49" t="s">
        <v>234</v>
      </c>
      <c r="G5" s="49" t="s">
        <v>293</v>
      </c>
      <c r="H5" s="49" t="s">
        <v>228</v>
      </c>
      <c r="I5" s="49" t="s">
        <v>294</v>
      </c>
      <c r="K5" s="4" t="s">
        <v>3</v>
      </c>
      <c r="L5" s="52" t="s">
        <v>295</v>
      </c>
    </row>
    <row r="6" spans="2:12" ht="15" customHeight="1" x14ac:dyDescent="0.3">
      <c r="B6" s="57" t="s">
        <v>296</v>
      </c>
      <c r="C6" s="58" t="s">
        <v>297</v>
      </c>
      <c r="E6" s="49" t="s">
        <v>257</v>
      </c>
      <c r="G6" s="49" t="s">
        <v>228</v>
      </c>
      <c r="H6" s="49" t="s">
        <v>234</v>
      </c>
      <c r="I6" s="49" t="s">
        <v>298</v>
      </c>
      <c r="K6" s="4" t="s">
        <v>4</v>
      </c>
      <c r="L6" s="52" t="s">
        <v>299</v>
      </c>
    </row>
    <row r="7" spans="2:12" ht="15" customHeight="1" x14ac:dyDescent="0.3">
      <c r="B7" s="57" t="s">
        <v>300</v>
      </c>
      <c r="C7" s="58" t="s">
        <v>301</v>
      </c>
      <c r="E7" s="49" t="s">
        <v>302</v>
      </c>
      <c r="G7" s="49" t="s">
        <v>234</v>
      </c>
      <c r="I7" s="49" t="s">
        <v>236</v>
      </c>
      <c r="K7" s="5" t="s">
        <v>5</v>
      </c>
      <c r="L7" s="52" t="s">
        <v>303</v>
      </c>
    </row>
    <row r="8" spans="2:12" ht="15" customHeight="1" x14ac:dyDescent="0.3">
      <c r="B8" s="59" t="s">
        <v>304</v>
      </c>
      <c r="C8" s="60" t="s">
        <v>305</v>
      </c>
      <c r="E8" s="49" t="s">
        <v>306</v>
      </c>
      <c r="I8" s="49" t="s">
        <v>228</v>
      </c>
      <c r="K8" s="5" t="s">
        <v>6</v>
      </c>
      <c r="L8" s="52" t="s">
        <v>307</v>
      </c>
    </row>
    <row r="9" spans="2:12" ht="15" customHeight="1" x14ac:dyDescent="0.3">
      <c r="B9" s="59" t="s">
        <v>308</v>
      </c>
      <c r="C9" s="58" t="s">
        <v>309</v>
      </c>
      <c r="E9" s="49" t="s">
        <v>228</v>
      </c>
      <c r="I9" s="49" t="s">
        <v>234</v>
      </c>
      <c r="K9" s="5" t="s">
        <v>7</v>
      </c>
      <c r="L9" s="52" t="s">
        <v>229</v>
      </c>
    </row>
    <row r="10" spans="2:12" ht="15" customHeight="1" x14ac:dyDescent="0.3">
      <c r="B10" s="59" t="s">
        <v>310</v>
      </c>
      <c r="C10" s="58" t="s">
        <v>311</v>
      </c>
      <c r="E10" s="49" t="s">
        <v>234</v>
      </c>
      <c r="K10" s="5" t="s">
        <v>8</v>
      </c>
      <c r="L10" s="52" t="s">
        <v>312</v>
      </c>
    </row>
    <row r="11" spans="2:12" ht="15" customHeight="1" x14ac:dyDescent="0.3">
      <c r="B11" s="61" t="s">
        <v>217</v>
      </c>
      <c r="C11" s="58" t="s">
        <v>313</v>
      </c>
      <c r="K11" s="6" t="s">
        <v>9</v>
      </c>
      <c r="L11" s="52" t="s">
        <v>314</v>
      </c>
    </row>
    <row r="12" spans="2:12" ht="15" customHeight="1" x14ac:dyDescent="0.3">
      <c r="B12" s="61" t="s">
        <v>218</v>
      </c>
      <c r="C12" s="58" t="s">
        <v>315</v>
      </c>
      <c r="K12" s="7" t="s">
        <v>10</v>
      </c>
      <c r="L12" s="52" t="s">
        <v>316</v>
      </c>
    </row>
    <row r="13" spans="2:12" ht="15" customHeight="1" x14ac:dyDescent="0.3">
      <c r="B13" s="61" t="s">
        <v>219</v>
      </c>
      <c r="C13" s="58" t="s">
        <v>317</v>
      </c>
      <c r="K13" s="7" t="s">
        <v>11</v>
      </c>
      <c r="L13" s="52" t="s">
        <v>318</v>
      </c>
    </row>
    <row r="14" spans="2:12" ht="15" customHeight="1" x14ac:dyDescent="0.3">
      <c r="B14" s="61" t="s">
        <v>220</v>
      </c>
      <c r="C14" s="58" t="s">
        <v>319</v>
      </c>
      <c r="K14" s="5" t="s">
        <v>12</v>
      </c>
      <c r="L14" s="52" t="s">
        <v>320</v>
      </c>
    </row>
    <row r="15" spans="2:12" ht="15" customHeight="1" x14ac:dyDescent="0.3">
      <c r="B15" s="61" t="s">
        <v>321</v>
      </c>
      <c r="C15" s="58" t="s">
        <v>322</v>
      </c>
      <c r="K15" s="4" t="s">
        <v>13</v>
      </c>
      <c r="L15" s="52" t="s">
        <v>323</v>
      </c>
    </row>
    <row r="16" spans="2:12" ht="15" customHeight="1" x14ac:dyDescent="0.3">
      <c r="B16" s="61" t="s">
        <v>324</v>
      </c>
      <c r="C16" s="58" t="s">
        <v>325</v>
      </c>
      <c r="K16" s="8" t="s">
        <v>14</v>
      </c>
      <c r="L16" s="52" t="s">
        <v>326</v>
      </c>
    </row>
    <row r="17" spans="3:12" ht="15" customHeight="1" x14ac:dyDescent="0.3">
      <c r="K17" s="8" t="s">
        <v>15</v>
      </c>
      <c r="L17" s="52" t="s">
        <v>327</v>
      </c>
    </row>
    <row r="18" spans="3:12" ht="15" customHeight="1" x14ac:dyDescent="0.3">
      <c r="K18" s="8" t="s">
        <v>16</v>
      </c>
      <c r="L18" s="52" t="s">
        <v>328</v>
      </c>
    </row>
    <row r="19" spans="3:12" ht="15" customHeight="1" x14ac:dyDescent="0.3">
      <c r="K19" s="9" t="s">
        <v>17</v>
      </c>
      <c r="L19" s="52" t="s">
        <v>329</v>
      </c>
    </row>
    <row r="20" spans="3:12" ht="15" customHeight="1" x14ac:dyDescent="0.3">
      <c r="C20" s="53"/>
      <c r="K20" s="4" t="s">
        <v>18</v>
      </c>
      <c r="L20" s="52" t="s">
        <v>330</v>
      </c>
    </row>
    <row r="21" spans="3:12" ht="15" customHeight="1" x14ac:dyDescent="0.3">
      <c r="C21"/>
      <c r="K21" s="8" t="s">
        <v>19</v>
      </c>
      <c r="L21" s="52" t="s">
        <v>331</v>
      </c>
    </row>
    <row r="22" spans="3:12" ht="15" customHeight="1" x14ac:dyDescent="0.3">
      <c r="K22" s="8" t="s">
        <v>20</v>
      </c>
      <c r="L22" s="52" t="s">
        <v>332</v>
      </c>
    </row>
    <row r="23" spans="3:12" ht="15" customHeight="1" x14ac:dyDescent="0.3">
      <c r="C23"/>
      <c r="D23"/>
      <c r="K23" s="8" t="s">
        <v>21</v>
      </c>
      <c r="L23" s="52" t="s">
        <v>333</v>
      </c>
    </row>
    <row r="24" spans="3:12" ht="15" customHeight="1" x14ac:dyDescent="0.3">
      <c r="K24" s="9" t="s">
        <v>22</v>
      </c>
      <c r="L24" s="52" t="s">
        <v>334</v>
      </c>
    </row>
    <row r="25" spans="3:12" ht="15" customHeight="1" x14ac:dyDescent="0.3">
      <c r="K25" s="4" t="s">
        <v>23</v>
      </c>
      <c r="L25" s="52" t="s">
        <v>335</v>
      </c>
    </row>
    <row r="26" spans="3:12" ht="15" customHeight="1" x14ac:dyDescent="0.35">
      <c r="D26" s="54"/>
      <c r="F26" s="54"/>
      <c r="K26" s="8" t="s">
        <v>24</v>
      </c>
      <c r="L26" s="52" t="s">
        <v>336</v>
      </c>
    </row>
    <row r="27" spans="3:12" ht="15" customHeight="1" x14ac:dyDescent="0.35">
      <c r="D27" s="54"/>
      <c r="E27" s="54"/>
      <c r="F27" s="54"/>
      <c r="G27" s="54"/>
      <c r="K27" s="8" t="s">
        <v>25</v>
      </c>
      <c r="L27" s="52" t="s">
        <v>337</v>
      </c>
    </row>
    <row r="28" spans="3:12" ht="15" customHeight="1" x14ac:dyDescent="0.35">
      <c r="D28" s="54"/>
      <c r="E28" s="54"/>
      <c r="F28" s="54"/>
      <c r="G28" s="54"/>
      <c r="K28" s="8" t="s">
        <v>26</v>
      </c>
      <c r="L28" s="52" t="s">
        <v>338</v>
      </c>
    </row>
    <row r="29" spans="3:12" ht="15" customHeight="1" x14ac:dyDescent="0.35">
      <c r="D29" s="54"/>
      <c r="E29" s="54"/>
      <c r="F29" s="54"/>
      <c r="G29" s="54"/>
      <c r="K29" s="9" t="s">
        <v>27</v>
      </c>
      <c r="L29" s="52" t="s">
        <v>339</v>
      </c>
    </row>
    <row r="30" spans="3:12" ht="15" customHeight="1" x14ac:dyDescent="0.35">
      <c r="D30" s="54"/>
      <c r="E30" s="54"/>
      <c r="F30" s="54"/>
      <c r="G30" s="54"/>
      <c r="K30" s="4" t="s">
        <v>28</v>
      </c>
      <c r="L30" s="52" t="s">
        <v>340</v>
      </c>
    </row>
    <row r="31" spans="3:12" ht="15" customHeight="1" x14ac:dyDescent="0.35">
      <c r="D31" s="54"/>
      <c r="E31" s="54"/>
      <c r="F31" s="54"/>
      <c r="G31" s="54"/>
      <c r="K31" s="8" t="s">
        <v>29</v>
      </c>
      <c r="L31" s="52" t="s">
        <v>341</v>
      </c>
    </row>
    <row r="32" spans="3:12" ht="15" customHeight="1" x14ac:dyDescent="0.35">
      <c r="D32" s="54"/>
      <c r="E32" s="54"/>
      <c r="F32" s="54"/>
      <c r="G32" s="54"/>
      <c r="K32" s="8" t="s">
        <v>30</v>
      </c>
      <c r="L32" s="52" t="s">
        <v>342</v>
      </c>
    </row>
    <row r="33" spans="4:12" ht="15" customHeight="1" x14ac:dyDescent="0.35">
      <c r="D33" s="54"/>
      <c r="E33" s="54"/>
      <c r="F33" s="54"/>
      <c r="G33" s="54"/>
      <c r="K33" s="8" t="s">
        <v>31</v>
      </c>
      <c r="L33" s="52" t="s">
        <v>343</v>
      </c>
    </row>
    <row r="34" spans="4:12" ht="15" customHeight="1" x14ac:dyDescent="0.35">
      <c r="D34" s="54"/>
      <c r="E34" s="54"/>
      <c r="K34" s="9" t="s">
        <v>32</v>
      </c>
      <c r="L34" s="52" t="s">
        <v>344</v>
      </c>
    </row>
    <row r="35" spans="4:12" ht="15" customHeight="1" x14ac:dyDescent="0.35">
      <c r="D35" s="54"/>
      <c r="E35" s="54"/>
      <c r="F35" s="54"/>
      <c r="K35" s="4" t="s">
        <v>33</v>
      </c>
      <c r="L35" s="52" t="s">
        <v>345</v>
      </c>
    </row>
    <row r="36" spans="4:12" ht="15" customHeight="1" x14ac:dyDescent="0.35">
      <c r="D36" s="54"/>
      <c r="E36" s="54"/>
      <c r="F36" s="54"/>
      <c r="G36" s="54"/>
      <c r="K36" s="8" t="s">
        <v>34</v>
      </c>
      <c r="L36" s="52" t="s">
        <v>346</v>
      </c>
    </row>
    <row r="37" spans="4:12" ht="15" customHeight="1" x14ac:dyDescent="0.35">
      <c r="D37" s="54"/>
      <c r="E37" s="54"/>
      <c r="F37" s="54"/>
      <c r="G37" s="54"/>
      <c r="K37" s="8" t="s">
        <v>35</v>
      </c>
      <c r="L37" s="52" t="s">
        <v>347</v>
      </c>
    </row>
    <row r="38" spans="4:12" ht="15" customHeight="1" x14ac:dyDescent="0.35">
      <c r="D38" s="54"/>
      <c r="E38" s="54"/>
      <c r="F38" s="54"/>
      <c r="G38" s="54"/>
      <c r="K38" s="8" t="s">
        <v>36</v>
      </c>
      <c r="L38" s="52" t="s">
        <v>348</v>
      </c>
    </row>
    <row r="39" spans="4:12" ht="15" customHeight="1" x14ac:dyDescent="0.35">
      <c r="D39" s="54"/>
      <c r="E39" s="54"/>
      <c r="F39" s="54"/>
      <c r="G39" s="54"/>
      <c r="K39" s="9" t="s">
        <v>37</v>
      </c>
      <c r="L39" s="52" t="s">
        <v>349</v>
      </c>
    </row>
    <row r="40" spans="4:12" ht="15" customHeight="1" x14ac:dyDescent="0.35">
      <c r="D40" s="54"/>
      <c r="E40" s="54"/>
      <c r="F40" s="54"/>
      <c r="G40" s="54"/>
      <c r="K40" s="4" t="s">
        <v>38</v>
      </c>
      <c r="L40" s="52" t="s">
        <v>350</v>
      </c>
    </row>
    <row r="41" spans="4:12" ht="15" customHeight="1" x14ac:dyDescent="0.35">
      <c r="D41" s="54"/>
      <c r="E41" s="54"/>
      <c r="F41" s="54"/>
      <c r="G41" s="54"/>
      <c r="K41" s="8" t="s">
        <v>39</v>
      </c>
      <c r="L41" s="52" t="s">
        <v>351</v>
      </c>
    </row>
    <row r="42" spans="4:12" ht="15" customHeight="1" x14ac:dyDescent="0.35">
      <c r="D42" s="54"/>
      <c r="E42" s="54"/>
      <c r="K42" s="8" t="s">
        <v>40</v>
      </c>
      <c r="L42" s="52" t="s">
        <v>352</v>
      </c>
    </row>
    <row r="43" spans="4:12" ht="15" customHeight="1" x14ac:dyDescent="0.35">
      <c r="D43" s="54"/>
      <c r="E43" s="54"/>
      <c r="F43" s="54"/>
      <c r="K43" s="8" t="s">
        <v>41</v>
      </c>
      <c r="L43" s="52" t="s">
        <v>353</v>
      </c>
    </row>
    <row r="44" spans="4:12" ht="15" customHeight="1" x14ac:dyDescent="0.35">
      <c r="D44" s="54"/>
      <c r="E44" s="54"/>
      <c r="F44" s="54"/>
      <c r="K44" s="9" t="s">
        <v>42</v>
      </c>
      <c r="L44" s="52" t="s">
        <v>354</v>
      </c>
    </row>
    <row r="45" spans="4:12" ht="15" customHeight="1" x14ac:dyDescent="0.35">
      <c r="E45" s="54"/>
      <c r="F45" s="54"/>
      <c r="K45" s="4" t="s">
        <v>43</v>
      </c>
      <c r="L45" s="52" t="s">
        <v>355</v>
      </c>
    </row>
    <row r="46" spans="4:12" ht="15" customHeight="1" x14ac:dyDescent="0.35">
      <c r="F46" s="54"/>
      <c r="K46" s="5" t="s">
        <v>44</v>
      </c>
      <c r="L46" s="52" t="s">
        <v>356</v>
      </c>
    </row>
    <row r="47" spans="4:12" ht="15" customHeight="1" x14ac:dyDescent="0.3">
      <c r="K47" s="10" t="s">
        <v>45</v>
      </c>
      <c r="L47" s="52" t="s">
        <v>357</v>
      </c>
    </row>
    <row r="48" spans="4:12" ht="15" customHeight="1" x14ac:dyDescent="0.3">
      <c r="K48" s="11" t="s">
        <v>46</v>
      </c>
      <c r="L48" s="52" t="s">
        <v>358</v>
      </c>
    </row>
    <row r="49" spans="11:12" ht="15" customHeight="1" x14ac:dyDescent="0.3">
      <c r="K49" s="12" t="s">
        <v>47</v>
      </c>
      <c r="L49" s="52" t="s">
        <v>359</v>
      </c>
    </row>
    <row r="50" spans="11:12" ht="15" customHeight="1" x14ac:dyDescent="0.3">
      <c r="K50" s="13" t="s">
        <v>48</v>
      </c>
      <c r="L50" s="52" t="s">
        <v>360</v>
      </c>
    </row>
    <row r="51" spans="11:12" ht="15" customHeight="1" x14ac:dyDescent="0.3">
      <c r="K51" s="14" t="s">
        <v>49</v>
      </c>
      <c r="L51" s="52" t="s">
        <v>361</v>
      </c>
    </row>
    <row r="52" spans="11:12" ht="15" customHeight="1" x14ac:dyDescent="0.3">
      <c r="K52" s="15" t="s">
        <v>50</v>
      </c>
      <c r="L52" s="52" t="s">
        <v>362</v>
      </c>
    </row>
    <row r="53" spans="11:12" ht="15" customHeight="1" x14ac:dyDescent="0.3">
      <c r="K53" s="15" t="s">
        <v>51</v>
      </c>
      <c r="L53" s="52" t="s">
        <v>363</v>
      </c>
    </row>
    <row r="54" spans="11:12" ht="15" customHeight="1" x14ac:dyDescent="0.3">
      <c r="K54" s="15" t="s">
        <v>52</v>
      </c>
      <c r="L54" s="52" t="s">
        <v>364</v>
      </c>
    </row>
    <row r="55" spans="11:12" ht="15" customHeight="1" x14ac:dyDescent="0.3">
      <c r="K55" s="15" t="s">
        <v>53</v>
      </c>
      <c r="L55" s="52" t="s">
        <v>365</v>
      </c>
    </row>
    <row r="56" spans="11:12" ht="15" customHeight="1" x14ac:dyDescent="0.3">
      <c r="K56" s="15" t="s">
        <v>54</v>
      </c>
      <c r="L56" s="52" t="s">
        <v>366</v>
      </c>
    </row>
    <row r="57" spans="11:12" ht="15" customHeight="1" x14ac:dyDescent="0.3">
      <c r="K57" s="16" t="s">
        <v>55</v>
      </c>
      <c r="L57" s="52" t="s">
        <v>367</v>
      </c>
    </row>
    <row r="58" spans="11:12" ht="15" customHeight="1" x14ac:dyDescent="0.3">
      <c r="K58" s="13" t="s">
        <v>56</v>
      </c>
      <c r="L58" s="52" t="s">
        <v>368</v>
      </c>
    </row>
    <row r="59" spans="11:12" ht="15" customHeight="1" x14ac:dyDescent="0.3">
      <c r="K59" s="13" t="s">
        <v>57</v>
      </c>
      <c r="L59" s="52" t="s">
        <v>369</v>
      </c>
    </row>
    <row r="60" spans="11:12" ht="15" customHeight="1" x14ac:dyDescent="0.3">
      <c r="K60" s="17" t="s">
        <v>58</v>
      </c>
      <c r="L60" s="52" t="s">
        <v>370</v>
      </c>
    </row>
    <row r="61" spans="11:12" ht="15" customHeight="1" x14ac:dyDescent="0.3">
      <c r="K61" s="18" t="s">
        <v>59</v>
      </c>
      <c r="L61" s="52" t="s">
        <v>371</v>
      </c>
    </row>
    <row r="62" spans="11:12" ht="15" customHeight="1" x14ac:dyDescent="0.3">
      <c r="K62" s="19" t="s">
        <v>60</v>
      </c>
      <c r="L62" s="52" t="s">
        <v>372</v>
      </c>
    </row>
    <row r="63" spans="11:12" ht="15" customHeight="1" x14ac:dyDescent="0.3">
      <c r="K63" s="19" t="s">
        <v>61</v>
      </c>
      <c r="L63" s="52" t="s">
        <v>373</v>
      </c>
    </row>
    <row r="64" spans="11:12" ht="15" customHeight="1" x14ac:dyDescent="0.3">
      <c r="K64" s="19" t="s">
        <v>62</v>
      </c>
      <c r="L64" s="52" t="s">
        <v>374</v>
      </c>
    </row>
    <row r="65" spans="11:12" ht="15" customHeight="1" x14ac:dyDescent="0.3">
      <c r="K65" s="20" t="s">
        <v>63</v>
      </c>
      <c r="L65" s="52" t="s">
        <v>375</v>
      </c>
    </row>
    <row r="66" spans="11:12" ht="15" customHeight="1" x14ac:dyDescent="0.3">
      <c r="K66" s="20" t="s">
        <v>64</v>
      </c>
      <c r="L66" s="52" t="s">
        <v>376</v>
      </c>
    </row>
    <row r="67" spans="11:12" ht="15" customHeight="1" x14ac:dyDescent="0.3">
      <c r="K67" s="19" t="s">
        <v>65</v>
      </c>
      <c r="L67" s="52" t="s">
        <v>377</v>
      </c>
    </row>
    <row r="68" spans="11:12" ht="15" customHeight="1" x14ac:dyDescent="0.3">
      <c r="K68" s="19" t="s">
        <v>66</v>
      </c>
      <c r="L68" s="52" t="s">
        <v>378</v>
      </c>
    </row>
    <row r="69" spans="11:12" ht="15" customHeight="1" x14ac:dyDescent="0.3">
      <c r="K69" s="19" t="s">
        <v>67</v>
      </c>
      <c r="L69" s="52" t="s">
        <v>379</v>
      </c>
    </row>
    <row r="70" spans="11:12" ht="15" customHeight="1" x14ac:dyDescent="0.3">
      <c r="K70" s="20" t="s">
        <v>380</v>
      </c>
      <c r="L70" s="52" t="s">
        <v>381</v>
      </c>
    </row>
    <row r="71" spans="11:12" ht="15" customHeight="1" x14ac:dyDescent="0.3">
      <c r="K71" s="20" t="s">
        <v>382</v>
      </c>
      <c r="L71" s="52" t="s">
        <v>383</v>
      </c>
    </row>
    <row r="72" spans="11:12" ht="15" customHeight="1" x14ac:dyDescent="0.3">
      <c r="K72" s="19" t="s">
        <v>68</v>
      </c>
      <c r="L72" s="52" t="s">
        <v>384</v>
      </c>
    </row>
    <row r="73" spans="11:12" ht="15" customHeight="1" x14ac:dyDescent="0.3">
      <c r="K73" s="19" t="s">
        <v>69</v>
      </c>
      <c r="L73" s="52" t="s">
        <v>385</v>
      </c>
    </row>
    <row r="74" spans="11:12" ht="15" customHeight="1" x14ac:dyDescent="0.3">
      <c r="K74" s="19" t="s">
        <v>70</v>
      </c>
      <c r="L74" s="52" t="s">
        <v>386</v>
      </c>
    </row>
    <row r="75" spans="11:12" ht="15" customHeight="1" x14ac:dyDescent="0.3">
      <c r="K75" s="20" t="s">
        <v>387</v>
      </c>
      <c r="L75" s="52" t="s">
        <v>388</v>
      </c>
    </row>
    <row r="76" spans="11:12" ht="15" customHeight="1" x14ac:dyDescent="0.3">
      <c r="K76" s="20" t="s">
        <v>389</v>
      </c>
      <c r="L76" s="52" t="s">
        <v>390</v>
      </c>
    </row>
    <row r="77" spans="11:12" ht="15" customHeight="1" x14ac:dyDescent="0.3">
      <c r="K77" s="19" t="s">
        <v>71</v>
      </c>
      <c r="L77" s="52" t="s">
        <v>391</v>
      </c>
    </row>
    <row r="78" spans="11:12" ht="15" customHeight="1" x14ac:dyDescent="0.3">
      <c r="K78" s="19" t="s">
        <v>72</v>
      </c>
      <c r="L78" s="52" t="s">
        <v>392</v>
      </c>
    </row>
    <row r="79" spans="11:12" ht="15" customHeight="1" x14ac:dyDescent="0.3">
      <c r="K79" s="19" t="s">
        <v>73</v>
      </c>
      <c r="L79" s="52" t="s">
        <v>393</v>
      </c>
    </row>
    <row r="80" spans="11:12" ht="15" customHeight="1" x14ac:dyDescent="0.3">
      <c r="K80" s="20" t="s">
        <v>394</v>
      </c>
      <c r="L80" s="52" t="s">
        <v>395</v>
      </c>
    </row>
    <row r="81" spans="11:12" ht="15" customHeight="1" x14ac:dyDescent="0.3">
      <c r="K81" s="20" t="s">
        <v>396</v>
      </c>
      <c r="L81" s="52" t="s">
        <v>397</v>
      </c>
    </row>
    <row r="82" spans="11:12" ht="15" customHeight="1" x14ac:dyDescent="0.3">
      <c r="K82" s="19" t="s">
        <v>74</v>
      </c>
      <c r="L82" s="52" t="s">
        <v>398</v>
      </c>
    </row>
    <row r="83" spans="11:12" ht="15" customHeight="1" x14ac:dyDescent="0.3">
      <c r="K83" s="19" t="s">
        <v>75</v>
      </c>
      <c r="L83" s="52" t="s">
        <v>399</v>
      </c>
    </row>
    <row r="84" spans="11:12" ht="15" customHeight="1" x14ac:dyDescent="0.3">
      <c r="K84" s="19" t="s">
        <v>76</v>
      </c>
      <c r="L84" s="52" t="s">
        <v>400</v>
      </c>
    </row>
    <row r="85" spans="11:12" ht="15" customHeight="1" x14ac:dyDescent="0.3">
      <c r="K85" s="20" t="s">
        <v>401</v>
      </c>
      <c r="L85" s="52" t="s">
        <v>402</v>
      </c>
    </row>
    <row r="86" spans="11:12" ht="15" customHeight="1" x14ac:dyDescent="0.3">
      <c r="K86" s="20" t="s">
        <v>403</v>
      </c>
      <c r="L86" s="52" t="s">
        <v>404</v>
      </c>
    </row>
    <row r="87" spans="11:12" ht="15" customHeight="1" x14ac:dyDescent="0.3">
      <c r="K87" s="19" t="s">
        <v>77</v>
      </c>
      <c r="L87" s="52" t="s">
        <v>405</v>
      </c>
    </row>
    <row r="88" spans="11:12" ht="15" customHeight="1" x14ac:dyDescent="0.3">
      <c r="K88" s="19" t="s">
        <v>78</v>
      </c>
      <c r="L88" s="52" t="s">
        <v>406</v>
      </c>
    </row>
    <row r="89" spans="11:12" ht="15" customHeight="1" x14ac:dyDescent="0.3">
      <c r="K89" s="19" t="s">
        <v>79</v>
      </c>
      <c r="L89" s="52" t="s">
        <v>407</v>
      </c>
    </row>
    <row r="90" spans="11:12" ht="15" customHeight="1" x14ac:dyDescent="0.3">
      <c r="K90" s="20" t="s">
        <v>408</v>
      </c>
      <c r="L90" s="52" t="s">
        <v>409</v>
      </c>
    </row>
    <row r="91" spans="11:12" ht="15" customHeight="1" x14ac:dyDescent="0.3">
      <c r="K91" s="20" t="s">
        <v>410</v>
      </c>
      <c r="L91" s="52" t="s">
        <v>411</v>
      </c>
    </row>
    <row r="92" spans="11:12" ht="15" customHeight="1" x14ac:dyDescent="0.3">
      <c r="K92" s="19" t="s">
        <v>80</v>
      </c>
      <c r="L92" s="52" t="s">
        <v>412</v>
      </c>
    </row>
    <row r="93" spans="11:12" ht="15" customHeight="1" x14ac:dyDescent="0.3">
      <c r="K93" s="19" t="s">
        <v>81</v>
      </c>
      <c r="L93" s="52" t="s">
        <v>413</v>
      </c>
    </row>
    <row r="94" spans="11:12" ht="15" customHeight="1" x14ac:dyDescent="0.3">
      <c r="K94" s="19" t="s">
        <v>82</v>
      </c>
      <c r="L94" s="52" t="s">
        <v>414</v>
      </c>
    </row>
    <row r="95" spans="11:12" ht="15" customHeight="1" x14ac:dyDescent="0.3">
      <c r="K95" s="20" t="s">
        <v>415</v>
      </c>
      <c r="L95" s="52" t="s">
        <v>416</v>
      </c>
    </row>
    <row r="96" spans="11:12" ht="15" customHeight="1" x14ac:dyDescent="0.3">
      <c r="K96" s="20" t="s">
        <v>417</v>
      </c>
      <c r="L96" s="52" t="s">
        <v>418</v>
      </c>
    </row>
    <row r="97" spans="11:12" ht="15" customHeight="1" x14ac:dyDescent="0.3">
      <c r="K97" s="19" t="s">
        <v>83</v>
      </c>
      <c r="L97" s="52" t="s">
        <v>419</v>
      </c>
    </row>
    <row r="98" spans="11:12" ht="15" customHeight="1" x14ac:dyDescent="0.3">
      <c r="K98" s="19" t="s">
        <v>84</v>
      </c>
      <c r="L98" s="52" t="s">
        <v>420</v>
      </c>
    </row>
    <row r="99" spans="11:12" ht="15" customHeight="1" x14ac:dyDescent="0.3">
      <c r="K99" s="19" t="s">
        <v>85</v>
      </c>
      <c r="L99" s="52" t="s">
        <v>421</v>
      </c>
    </row>
    <row r="100" spans="11:12" ht="15" customHeight="1" x14ac:dyDescent="0.3">
      <c r="K100" s="20" t="s">
        <v>422</v>
      </c>
      <c r="L100" s="52" t="s">
        <v>423</v>
      </c>
    </row>
    <row r="101" spans="11:12" ht="15" customHeight="1" x14ac:dyDescent="0.3">
      <c r="K101" s="20" t="s">
        <v>424</v>
      </c>
      <c r="L101" s="52" t="s">
        <v>425</v>
      </c>
    </row>
    <row r="102" spans="11:12" ht="15" customHeight="1" x14ac:dyDescent="0.3">
      <c r="K102" s="19" t="s">
        <v>86</v>
      </c>
      <c r="L102" s="52" t="s">
        <v>426</v>
      </c>
    </row>
    <row r="103" spans="11:12" ht="15" customHeight="1" x14ac:dyDescent="0.3">
      <c r="K103" s="19" t="s">
        <v>87</v>
      </c>
      <c r="L103" s="52" t="s">
        <v>427</v>
      </c>
    </row>
    <row r="104" spans="11:12" ht="15" customHeight="1" x14ac:dyDescent="0.3">
      <c r="K104" s="19" t="s">
        <v>88</v>
      </c>
      <c r="L104" s="52" t="s">
        <v>428</v>
      </c>
    </row>
    <row r="105" spans="11:12" ht="15" customHeight="1" x14ac:dyDescent="0.3">
      <c r="K105" s="20" t="s">
        <v>429</v>
      </c>
      <c r="L105" s="52" t="s">
        <v>430</v>
      </c>
    </row>
    <row r="106" spans="11:12" ht="15" customHeight="1" x14ac:dyDescent="0.3">
      <c r="K106" s="20" t="s">
        <v>431</v>
      </c>
      <c r="L106" s="52" t="s">
        <v>432</v>
      </c>
    </row>
    <row r="107" spans="11:12" ht="15" customHeight="1" x14ac:dyDescent="0.3">
      <c r="K107" s="19" t="s">
        <v>89</v>
      </c>
      <c r="L107" s="52" t="s">
        <v>433</v>
      </c>
    </row>
    <row r="108" spans="11:12" ht="15" customHeight="1" x14ac:dyDescent="0.3">
      <c r="K108" s="19" t="s">
        <v>90</v>
      </c>
      <c r="L108" s="52" t="s">
        <v>434</v>
      </c>
    </row>
    <row r="109" spans="11:12" ht="15" customHeight="1" x14ac:dyDescent="0.3">
      <c r="K109" s="19" t="s">
        <v>91</v>
      </c>
      <c r="L109" s="52" t="s">
        <v>435</v>
      </c>
    </row>
    <row r="110" spans="11:12" ht="15" customHeight="1" x14ac:dyDescent="0.3">
      <c r="K110" s="20" t="s">
        <v>436</v>
      </c>
      <c r="L110" s="52" t="s">
        <v>437</v>
      </c>
    </row>
    <row r="111" spans="11:12" ht="15" customHeight="1" x14ac:dyDescent="0.3">
      <c r="K111" s="20" t="s">
        <v>438</v>
      </c>
      <c r="L111" s="52" t="s">
        <v>439</v>
      </c>
    </row>
    <row r="112" spans="11:12" ht="15" customHeight="1" x14ac:dyDescent="0.3">
      <c r="K112" s="19" t="s">
        <v>92</v>
      </c>
      <c r="L112" s="52" t="s">
        <v>440</v>
      </c>
    </row>
    <row r="113" spans="11:12" ht="15" customHeight="1" x14ac:dyDescent="0.3">
      <c r="K113" s="21" t="s">
        <v>93</v>
      </c>
      <c r="L113" s="52" t="s">
        <v>441</v>
      </c>
    </row>
    <row r="114" spans="11:12" ht="15" customHeight="1" x14ac:dyDescent="0.3">
      <c r="K114" s="21" t="s">
        <v>94</v>
      </c>
      <c r="L114" s="52" t="s">
        <v>442</v>
      </c>
    </row>
    <row r="115" spans="11:12" ht="15" customHeight="1" x14ac:dyDescent="0.3">
      <c r="K115" s="22" t="s">
        <v>95</v>
      </c>
      <c r="L115" s="52" t="s">
        <v>443</v>
      </c>
    </row>
    <row r="116" spans="11:12" ht="15" customHeight="1" x14ac:dyDescent="0.3">
      <c r="K116" s="22" t="s">
        <v>96</v>
      </c>
      <c r="L116" s="52" t="s">
        <v>444</v>
      </c>
    </row>
    <row r="117" spans="11:12" ht="15" customHeight="1" x14ac:dyDescent="0.3">
      <c r="K117" s="21" t="s">
        <v>97</v>
      </c>
      <c r="L117" s="52" t="s">
        <v>445</v>
      </c>
    </row>
    <row r="118" spans="11:12" ht="15" customHeight="1" x14ac:dyDescent="0.3">
      <c r="K118" s="21" t="s">
        <v>98</v>
      </c>
      <c r="L118" s="52" t="s">
        <v>446</v>
      </c>
    </row>
    <row r="119" spans="11:12" ht="15" customHeight="1" x14ac:dyDescent="0.3">
      <c r="K119" s="21" t="s">
        <v>99</v>
      </c>
      <c r="L119" s="52" t="s">
        <v>447</v>
      </c>
    </row>
    <row r="120" spans="11:12" ht="15" customHeight="1" x14ac:dyDescent="0.3">
      <c r="K120" s="22" t="s">
        <v>448</v>
      </c>
      <c r="L120" s="52" t="s">
        <v>449</v>
      </c>
    </row>
    <row r="121" spans="11:12" ht="15" customHeight="1" x14ac:dyDescent="0.3">
      <c r="K121" s="22" t="s">
        <v>450</v>
      </c>
      <c r="L121" s="52" t="s">
        <v>451</v>
      </c>
    </row>
    <row r="122" spans="11:12" ht="15" customHeight="1" x14ac:dyDescent="0.3">
      <c r="K122" s="21" t="s">
        <v>100</v>
      </c>
      <c r="L122" s="52" t="s">
        <v>452</v>
      </c>
    </row>
    <row r="123" spans="11:12" ht="15" customHeight="1" x14ac:dyDescent="0.3">
      <c r="K123" s="21" t="s">
        <v>101</v>
      </c>
      <c r="L123" s="52" t="s">
        <v>453</v>
      </c>
    </row>
    <row r="124" spans="11:12" ht="15" customHeight="1" x14ac:dyDescent="0.3">
      <c r="K124" s="21" t="s">
        <v>102</v>
      </c>
      <c r="L124" s="52" t="s">
        <v>454</v>
      </c>
    </row>
    <row r="125" spans="11:12" ht="15" customHeight="1" x14ac:dyDescent="0.3">
      <c r="K125" s="22" t="s">
        <v>455</v>
      </c>
      <c r="L125" s="52" t="s">
        <v>456</v>
      </c>
    </row>
    <row r="126" spans="11:12" ht="15" customHeight="1" x14ac:dyDescent="0.3">
      <c r="K126" s="22" t="s">
        <v>457</v>
      </c>
      <c r="L126" s="52" t="s">
        <v>458</v>
      </c>
    </row>
    <row r="127" spans="11:12" ht="15" customHeight="1" x14ac:dyDescent="0.3">
      <c r="K127" s="21" t="s">
        <v>103</v>
      </c>
      <c r="L127" s="52" t="s">
        <v>459</v>
      </c>
    </row>
    <row r="128" spans="11:12" ht="15" customHeight="1" x14ac:dyDescent="0.3">
      <c r="K128" s="21" t="s">
        <v>104</v>
      </c>
      <c r="L128" s="52" t="s">
        <v>460</v>
      </c>
    </row>
    <row r="129" spans="11:12" ht="15" customHeight="1" x14ac:dyDescent="0.3">
      <c r="K129" s="21" t="s">
        <v>105</v>
      </c>
      <c r="L129" s="52" t="s">
        <v>461</v>
      </c>
    </row>
    <row r="130" spans="11:12" ht="15" customHeight="1" x14ac:dyDescent="0.3">
      <c r="K130" s="22" t="s">
        <v>462</v>
      </c>
      <c r="L130" s="52" t="s">
        <v>463</v>
      </c>
    </row>
    <row r="131" spans="11:12" ht="15" customHeight="1" x14ac:dyDescent="0.3">
      <c r="K131" s="22" t="s">
        <v>464</v>
      </c>
      <c r="L131" s="52" t="s">
        <v>465</v>
      </c>
    </row>
    <row r="132" spans="11:12" ht="15" customHeight="1" x14ac:dyDescent="0.3">
      <c r="K132" s="21" t="s">
        <v>106</v>
      </c>
      <c r="L132" s="52" t="s">
        <v>466</v>
      </c>
    </row>
    <row r="133" spans="11:12" ht="15" customHeight="1" x14ac:dyDescent="0.3">
      <c r="K133" s="21" t="s">
        <v>107</v>
      </c>
      <c r="L133" s="52" t="s">
        <v>467</v>
      </c>
    </row>
    <row r="134" spans="11:12" ht="15" customHeight="1" x14ac:dyDescent="0.3">
      <c r="K134" s="21" t="s">
        <v>108</v>
      </c>
      <c r="L134" s="52" t="s">
        <v>468</v>
      </c>
    </row>
    <row r="135" spans="11:12" ht="15" customHeight="1" x14ac:dyDescent="0.3">
      <c r="K135" s="22" t="s">
        <v>469</v>
      </c>
      <c r="L135" s="52" t="s">
        <v>470</v>
      </c>
    </row>
    <row r="136" spans="11:12" ht="15" customHeight="1" x14ac:dyDescent="0.3">
      <c r="K136" s="22" t="s">
        <v>471</v>
      </c>
      <c r="L136" s="52" t="s">
        <v>472</v>
      </c>
    </row>
    <row r="137" spans="11:12" ht="15" customHeight="1" x14ac:dyDescent="0.3">
      <c r="K137" s="21" t="s">
        <v>109</v>
      </c>
      <c r="L137" s="52" t="s">
        <v>473</v>
      </c>
    </row>
    <row r="138" spans="11:12" ht="15" customHeight="1" x14ac:dyDescent="0.3">
      <c r="K138" s="21" t="s">
        <v>110</v>
      </c>
      <c r="L138" s="52" t="s">
        <v>474</v>
      </c>
    </row>
    <row r="139" spans="11:12" ht="15" customHeight="1" x14ac:dyDescent="0.3">
      <c r="K139" s="21" t="s">
        <v>111</v>
      </c>
      <c r="L139" s="52" t="s">
        <v>475</v>
      </c>
    </row>
    <row r="140" spans="11:12" ht="15" customHeight="1" x14ac:dyDescent="0.3">
      <c r="K140" s="22" t="s">
        <v>476</v>
      </c>
      <c r="L140" s="52" t="s">
        <v>477</v>
      </c>
    </row>
    <row r="141" spans="11:12" ht="15" customHeight="1" x14ac:dyDescent="0.3">
      <c r="K141" s="22" t="s">
        <v>478</v>
      </c>
      <c r="L141" s="52" t="s">
        <v>479</v>
      </c>
    </row>
    <row r="142" spans="11:12" ht="15" customHeight="1" x14ac:dyDescent="0.3">
      <c r="K142" s="21" t="s">
        <v>112</v>
      </c>
      <c r="L142" s="52" t="s">
        <v>480</v>
      </c>
    </row>
    <row r="143" spans="11:12" ht="15" customHeight="1" x14ac:dyDescent="0.3">
      <c r="K143" s="21" t="s">
        <v>113</v>
      </c>
      <c r="L143" s="52" t="s">
        <v>481</v>
      </c>
    </row>
    <row r="144" spans="11:12" ht="15" customHeight="1" x14ac:dyDescent="0.3">
      <c r="K144" s="21" t="s">
        <v>114</v>
      </c>
      <c r="L144" s="52" t="s">
        <v>482</v>
      </c>
    </row>
    <row r="145" spans="11:12" ht="15" customHeight="1" x14ac:dyDescent="0.3">
      <c r="K145" s="22" t="s">
        <v>483</v>
      </c>
      <c r="L145" s="52" t="s">
        <v>484</v>
      </c>
    </row>
    <row r="146" spans="11:12" ht="15" customHeight="1" x14ac:dyDescent="0.3">
      <c r="K146" s="22" t="s">
        <v>485</v>
      </c>
      <c r="L146" s="52" t="s">
        <v>486</v>
      </c>
    </row>
    <row r="147" spans="11:12" ht="15" customHeight="1" x14ac:dyDescent="0.3">
      <c r="K147" s="21" t="s">
        <v>115</v>
      </c>
      <c r="L147" s="52" t="s">
        <v>487</v>
      </c>
    </row>
    <row r="148" spans="11:12" ht="15" customHeight="1" x14ac:dyDescent="0.3">
      <c r="K148" s="21" t="s">
        <v>116</v>
      </c>
      <c r="L148" s="52" t="s">
        <v>488</v>
      </c>
    </row>
    <row r="149" spans="11:12" ht="15" customHeight="1" x14ac:dyDescent="0.3">
      <c r="K149" s="21" t="s">
        <v>117</v>
      </c>
      <c r="L149" s="52" t="s">
        <v>489</v>
      </c>
    </row>
    <row r="150" spans="11:12" ht="15" customHeight="1" x14ac:dyDescent="0.3">
      <c r="K150" s="22" t="s">
        <v>490</v>
      </c>
      <c r="L150" s="52" t="s">
        <v>491</v>
      </c>
    </row>
    <row r="151" spans="11:12" ht="15" customHeight="1" x14ac:dyDescent="0.3">
      <c r="K151" s="22" t="s">
        <v>492</v>
      </c>
      <c r="L151" s="52" t="s">
        <v>493</v>
      </c>
    </row>
    <row r="152" spans="11:12" ht="15" customHeight="1" x14ac:dyDescent="0.3">
      <c r="K152" s="21" t="s">
        <v>118</v>
      </c>
      <c r="L152" s="52" t="s">
        <v>494</v>
      </c>
    </row>
    <row r="153" spans="11:12" ht="15" customHeight="1" x14ac:dyDescent="0.3">
      <c r="K153" s="21" t="s">
        <v>119</v>
      </c>
      <c r="L153" s="52" t="s">
        <v>495</v>
      </c>
    </row>
    <row r="154" spans="11:12" ht="15" customHeight="1" x14ac:dyDescent="0.3">
      <c r="K154" s="21" t="s">
        <v>120</v>
      </c>
      <c r="L154" s="52" t="s">
        <v>496</v>
      </c>
    </row>
    <row r="155" spans="11:12" ht="15" customHeight="1" x14ac:dyDescent="0.3">
      <c r="K155" s="22" t="s">
        <v>497</v>
      </c>
      <c r="L155" s="52" t="s">
        <v>498</v>
      </c>
    </row>
    <row r="156" spans="11:12" ht="15" customHeight="1" x14ac:dyDescent="0.3">
      <c r="K156" s="22" t="s">
        <v>499</v>
      </c>
      <c r="L156" s="52" t="s">
        <v>500</v>
      </c>
    </row>
    <row r="157" spans="11:12" ht="15" customHeight="1" x14ac:dyDescent="0.3">
      <c r="K157" s="21" t="s">
        <v>121</v>
      </c>
      <c r="L157" s="52" t="s">
        <v>501</v>
      </c>
    </row>
    <row r="158" spans="11:12" ht="15" customHeight="1" x14ac:dyDescent="0.3">
      <c r="K158" s="21" t="s">
        <v>122</v>
      </c>
      <c r="L158" s="52" t="s">
        <v>502</v>
      </c>
    </row>
    <row r="159" spans="11:12" ht="15" customHeight="1" x14ac:dyDescent="0.3">
      <c r="K159" s="21" t="s">
        <v>123</v>
      </c>
      <c r="L159" s="52" t="s">
        <v>503</v>
      </c>
    </row>
    <row r="160" spans="11:12" ht="15" customHeight="1" x14ac:dyDescent="0.3">
      <c r="K160" s="22" t="s">
        <v>504</v>
      </c>
      <c r="L160" s="52" t="s">
        <v>505</v>
      </c>
    </row>
    <row r="161" spans="11:12" ht="15" customHeight="1" x14ac:dyDescent="0.3">
      <c r="K161" s="22" t="s">
        <v>506</v>
      </c>
      <c r="L161" s="52" t="s">
        <v>507</v>
      </c>
    </row>
    <row r="162" spans="11:12" ht="15" customHeight="1" x14ac:dyDescent="0.3">
      <c r="K162" s="21" t="s">
        <v>124</v>
      </c>
      <c r="L162" s="52" t="s">
        <v>508</v>
      </c>
    </row>
    <row r="163" spans="11:12" ht="15" customHeight="1" x14ac:dyDescent="0.3">
      <c r="K163" s="21" t="s">
        <v>125</v>
      </c>
      <c r="L163" s="52" t="s">
        <v>509</v>
      </c>
    </row>
    <row r="164" spans="11:12" ht="15" customHeight="1" x14ac:dyDescent="0.3">
      <c r="K164" s="21" t="s">
        <v>126</v>
      </c>
      <c r="L164" s="52" t="s">
        <v>510</v>
      </c>
    </row>
    <row r="165" spans="11:12" ht="15" customHeight="1" x14ac:dyDescent="0.3">
      <c r="K165" s="22" t="s">
        <v>511</v>
      </c>
      <c r="L165" s="52" t="s">
        <v>512</v>
      </c>
    </row>
    <row r="166" spans="11:12" ht="15" customHeight="1" x14ac:dyDescent="0.3">
      <c r="K166" s="22" t="s">
        <v>513</v>
      </c>
      <c r="L166" s="52" t="s">
        <v>514</v>
      </c>
    </row>
    <row r="167" spans="11:12" ht="15" customHeight="1" x14ac:dyDescent="0.3">
      <c r="K167" s="21" t="s">
        <v>127</v>
      </c>
      <c r="L167" s="52" t="s">
        <v>515</v>
      </c>
    </row>
    <row r="168" spans="11:12" ht="15" customHeight="1" x14ac:dyDescent="0.3">
      <c r="K168" s="21" t="s">
        <v>128</v>
      </c>
      <c r="L168" s="52" t="s">
        <v>516</v>
      </c>
    </row>
    <row r="169" spans="11:12" ht="15" customHeight="1" x14ac:dyDescent="0.3">
      <c r="K169" s="21" t="s">
        <v>129</v>
      </c>
      <c r="L169" s="52" t="s">
        <v>517</v>
      </c>
    </row>
    <row r="170" spans="11:12" ht="15" customHeight="1" x14ac:dyDescent="0.3">
      <c r="K170" s="22" t="s">
        <v>518</v>
      </c>
      <c r="L170" s="52" t="s">
        <v>519</v>
      </c>
    </row>
    <row r="171" spans="11:12" ht="15" customHeight="1" x14ac:dyDescent="0.3">
      <c r="K171" s="22" t="s">
        <v>520</v>
      </c>
      <c r="L171" s="52" t="s">
        <v>521</v>
      </c>
    </row>
    <row r="172" spans="11:12" ht="15" customHeight="1" x14ac:dyDescent="0.3">
      <c r="K172" s="21" t="s">
        <v>130</v>
      </c>
      <c r="L172" s="52" t="s">
        <v>522</v>
      </c>
    </row>
    <row r="173" spans="11:12" ht="15" customHeight="1" x14ac:dyDescent="0.3">
      <c r="K173" s="21" t="s">
        <v>131</v>
      </c>
      <c r="L173" s="52" t="s">
        <v>523</v>
      </c>
    </row>
    <row r="174" spans="11:12" ht="15" customHeight="1" x14ac:dyDescent="0.3">
      <c r="K174" s="21" t="s">
        <v>132</v>
      </c>
      <c r="L174" s="52" t="s">
        <v>524</v>
      </c>
    </row>
    <row r="175" spans="11:12" ht="15" customHeight="1" x14ac:dyDescent="0.3">
      <c r="K175" s="22" t="s">
        <v>525</v>
      </c>
      <c r="L175" s="52" t="s">
        <v>526</v>
      </c>
    </row>
    <row r="176" spans="11:12" ht="15" customHeight="1" x14ac:dyDescent="0.3">
      <c r="K176" s="22" t="s">
        <v>527</v>
      </c>
      <c r="L176" s="52" t="s">
        <v>528</v>
      </c>
    </row>
    <row r="177" spans="11:12" ht="15" customHeight="1" x14ac:dyDescent="0.3">
      <c r="K177" s="21" t="s">
        <v>133</v>
      </c>
      <c r="L177" s="52" t="s">
        <v>529</v>
      </c>
    </row>
    <row r="178" spans="11:12" ht="15" customHeight="1" x14ac:dyDescent="0.3">
      <c r="K178" s="21" t="s">
        <v>134</v>
      </c>
      <c r="L178" s="52" t="s">
        <v>530</v>
      </c>
    </row>
    <row r="179" spans="11:12" ht="15" customHeight="1" x14ac:dyDescent="0.3">
      <c r="K179" s="23" t="s">
        <v>135</v>
      </c>
      <c r="L179" s="52" t="s">
        <v>531</v>
      </c>
    </row>
    <row r="180" spans="11:12" ht="15" customHeight="1" x14ac:dyDescent="0.3">
      <c r="K180" s="22" t="s">
        <v>532</v>
      </c>
      <c r="L180" s="52" t="s">
        <v>533</v>
      </c>
    </row>
    <row r="181" spans="11:12" ht="15" customHeight="1" x14ac:dyDescent="0.3">
      <c r="K181" s="22" t="s">
        <v>534</v>
      </c>
      <c r="L181" s="52" t="s">
        <v>535</v>
      </c>
    </row>
    <row r="182" spans="11:12" ht="15" customHeight="1" x14ac:dyDescent="0.3">
      <c r="K182" s="21" t="s">
        <v>136</v>
      </c>
      <c r="L182" s="52" t="s">
        <v>536</v>
      </c>
    </row>
    <row r="183" spans="11:12" ht="15" customHeight="1" x14ac:dyDescent="0.3">
      <c r="K183" s="21" t="s">
        <v>137</v>
      </c>
      <c r="L183" s="52" t="s">
        <v>537</v>
      </c>
    </row>
    <row r="184" spans="11:12" ht="15" customHeight="1" x14ac:dyDescent="0.3">
      <c r="K184" s="21" t="s">
        <v>138</v>
      </c>
      <c r="L184" s="52" t="s">
        <v>538</v>
      </c>
    </row>
    <row r="185" spans="11:12" ht="15" customHeight="1" x14ac:dyDescent="0.3">
      <c r="K185" s="22" t="s">
        <v>539</v>
      </c>
      <c r="L185" s="52" t="s">
        <v>540</v>
      </c>
    </row>
    <row r="186" spans="11:12" ht="15" customHeight="1" x14ac:dyDescent="0.3">
      <c r="K186" s="22" t="s">
        <v>541</v>
      </c>
      <c r="L186" s="52" t="s">
        <v>542</v>
      </c>
    </row>
    <row r="187" spans="11:12" ht="15" customHeight="1" x14ac:dyDescent="0.3">
      <c r="K187" s="21" t="s">
        <v>139</v>
      </c>
      <c r="L187" s="52" t="s">
        <v>543</v>
      </c>
    </row>
    <row r="188" spans="11:12" ht="15" customHeight="1" x14ac:dyDescent="0.3">
      <c r="K188" s="24" t="s">
        <v>140</v>
      </c>
      <c r="L188" s="52" t="s">
        <v>544</v>
      </c>
    </row>
    <row r="189" spans="11:12" ht="15" customHeight="1" x14ac:dyDescent="0.3">
      <c r="K189" s="25" t="s">
        <v>141</v>
      </c>
      <c r="L189" s="52" t="s">
        <v>545</v>
      </c>
    </row>
    <row r="190" spans="11:12" ht="15" customHeight="1" x14ac:dyDescent="0.3">
      <c r="K190" s="24" t="s">
        <v>546</v>
      </c>
      <c r="L190" s="52" t="s">
        <v>547</v>
      </c>
    </row>
    <row r="191" spans="11:12" ht="15" customHeight="1" x14ac:dyDescent="0.3">
      <c r="K191" s="25" t="s">
        <v>548</v>
      </c>
      <c r="L191" s="52" t="s">
        <v>549</v>
      </c>
    </row>
    <row r="192" spans="11:12" ht="15" customHeight="1" x14ac:dyDescent="0.3">
      <c r="K192" s="24" t="s">
        <v>550</v>
      </c>
      <c r="L192" s="52" t="s">
        <v>551</v>
      </c>
    </row>
    <row r="193" spans="11:12" ht="15" customHeight="1" x14ac:dyDescent="0.3">
      <c r="K193" s="25" t="s">
        <v>552</v>
      </c>
      <c r="L193" s="52" t="s">
        <v>553</v>
      </c>
    </row>
    <row r="194" spans="11:12" ht="15" customHeight="1" x14ac:dyDescent="0.3">
      <c r="K194" s="24" t="s">
        <v>554</v>
      </c>
      <c r="L194" s="52" t="s">
        <v>555</v>
      </c>
    </row>
    <row r="195" spans="11:12" ht="15" customHeight="1" x14ac:dyDescent="0.3">
      <c r="K195" s="25" t="s">
        <v>556</v>
      </c>
      <c r="L195" s="52" t="s">
        <v>557</v>
      </c>
    </row>
    <row r="196" spans="11:12" ht="15" customHeight="1" x14ac:dyDescent="0.3">
      <c r="K196" s="24" t="s">
        <v>558</v>
      </c>
      <c r="L196" s="52" t="s">
        <v>559</v>
      </c>
    </row>
    <row r="197" spans="11:12" ht="15" customHeight="1" x14ac:dyDescent="0.3">
      <c r="K197" s="25" t="s">
        <v>560</v>
      </c>
      <c r="L197" s="52" t="s">
        <v>561</v>
      </c>
    </row>
    <row r="198" spans="11:12" ht="15" customHeight="1" x14ac:dyDescent="0.3">
      <c r="K198" s="24" t="s">
        <v>562</v>
      </c>
      <c r="L198" s="52" t="s">
        <v>563</v>
      </c>
    </row>
    <row r="199" spans="11:12" ht="15" customHeight="1" x14ac:dyDescent="0.3">
      <c r="K199" s="25" t="s">
        <v>564</v>
      </c>
      <c r="L199" s="52" t="s">
        <v>565</v>
      </c>
    </row>
    <row r="200" spans="11:12" ht="15" customHeight="1" x14ac:dyDescent="0.3">
      <c r="K200" s="24" t="s">
        <v>566</v>
      </c>
      <c r="L200" s="52" t="s">
        <v>567</v>
      </c>
    </row>
    <row r="201" spans="11:12" ht="15" customHeight="1" x14ac:dyDescent="0.3">
      <c r="K201" s="25" t="s">
        <v>568</v>
      </c>
      <c r="L201" s="52" t="s">
        <v>569</v>
      </c>
    </row>
    <row r="202" spans="11:12" ht="15" customHeight="1" x14ac:dyDescent="0.3">
      <c r="K202" s="24" t="s">
        <v>570</v>
      </c>
      <c r="L202" s="52" t="s">
        <v>571</v>
      </c>
    </row>
    <row r="203" spans="11:12" ht="15" customHeight="1" x14ac:dyDescent="0.3">
      <c r="K203" s="25" t="s">
        <v>572</v>
      </c>
      <c r="L203" s="52" t="s">
        <v>573</v>
      </c>
    </row>
    <row r="204" spans="11:12" ht="15" customHeight="1" x14ac:dyDescent="0.3">
      <c r="K204" s="24" t="s">
        <v>574</v>
      </c>
      <c r="L204" s="52" t="s">
        <v>575</v>
      </c>
    </row>
    <row r="205" spans="11:12" ht="15" customHeight="1" x14ac:dyDescent="0.3">
      <c r="K205" s="25" t="s">
        <v>576</v>
      </c>
      <c r="L205" s="52" t="s">
        <v>577</v>
      </c>
    </row>
    <row r="206" spans="11:12" ht="15" customHeight="1" x14ac:dyDescent="0.3">
      <c r="K206" s="24" t="s">
        <v>578</v>
      </c>
      <c r="L206" s="52" t="s">
        <v>579</v>
      </c>
    </row>
    <row r="207" spans="11:12" ht="15" customHeight="1" x14ac:dyDescent="0.3">
      <c r="K207" s="25" t="s">
        <v>580</v>
      </c>
      <c r="L207" s="52" t="s">
        <v>581</v>
      </c>
    </row>
    <row r="208" spans="11:12" ht="15" customHeight="1" x14ac:dyDescent="0.3">
      <c r="K208" s="24" t="s">
        <v>582</v>
      </c>
      <c r="L208" s="52" t="s">
        <v>583</v>
      </c>
    </row>
    <row r="209" spans="11:12" ht="15" customHeight="1" x14ac:dyDescent="0.3">
      <c r="K209" s="25" t="s">
        <v>584</v>
      </c>
      <c r="L209" s="52" t="s">
        <v>585</v>
      </c>
    </row>
    <row r="210" spans="11:12" ht="15" customHeight="1" x14ac:dyDescent="0.3">
      <c r="K210" s="24" t="s">
        <v>586</v>
      </c>
      <c r="L210" s="52" t="s">
        <v>587</v>
      </c>
    </row>
    <row r="211" spans="11:12" ht="15" customHeight="1" x14ac:dyDescent="0.3">
      <c r="K211" s="25" t="s">
        <v>588</v>
      </c>
      <c r="L211" s="52" t="s">
        <v>589</v>
      </c>
    </row>
    <row r="212" spans="11:12" ht="15" customHeight="1" x14ac:dyDescent="0.3">
      <c r="K212" s="24" t="s">
        <v>590</v>
      </c>
      <c r="L212" s="52" t="s">
        <v>591</v>
      </c>
    </row>
    <row r="213" spans="11:12" ht="15" customHeight="1" x14ac:dyDescent="0.3">
      <c r="K213" s="25" t="s">
        <v>592</v>
      </c>
      <c r="L213" s="52" t="s">
        <v>593</v>
      </c>
    </row>
    <row r="214" spans="11:12" ht="15" customHeight="1" x14ac:dyDescent="0.3">
      <c r="K214" s="24" t="s">
        <v>594</v>
      </c>
      <c r="L214" s="52" t="s">
        <v>595</v>
      </c>
    </row>
    <row r="215" spans="11:12" ht="15" customHeight="1" x14ac:dyDescent="0.3">
      <c r="K215" s="25" t="s">
        <v>596</v>
      </c>
      <c r="L215" s="52" t="s">
        <v>597</v>
      </c>
    </row>
    <row r="216" spans="11:12" ht="15" customHeight="1" x14ac:dyDescent="0.3">
      <c r="K216" s="24" t="s">
        <v>598</v>
      </c>
      <c r="L216" s="52" t="s">
        <v>599</v>
      </c>
    </row>
    <row r="217" spans="11:12" ht="15" customHeight="1" x14ac:dyDescent="0.3">
      <c r="K217" s="25" t="s">
        <v>600</v>
      </c>
      <c r="L217" s="52" t="s">
        <v>601</v>
      </c>
    </row>
    <row r="218" spans="11:12" ht="15" customHeight="1" x14ac:dyDescent="0.3">
      <c r="K218" s="26" t="s">
        <v>142</v>
      </c>
      <c r="L218" s="52" t="s">
        <v>602</v>
      </c>
    </row>
    <row r="219" spans="11:12" ht="15" customHeight="1" x14ac:dyDescent="0.3">
      <c r="K219" s="26" t="s">
        <v>143</v>
      </c>
      <c r="L219" s="52" t="s">
        <v>603</v>
      </c>
    </row>
    <row r="220" spans="11:12" ht="15" customHeight="1" x14ac:dyDescent="0.3">
      <c r="K220" s="27" t="s">
        <v>144</v>
      </c>
      <c r="L220" s="52" t="s">
        <v>604</v>
      </c>
    </row>
    <row r="221" spans="11:12" ht="15" customHeight="1" x14ac:dyDescent="0.3">
      <c r="K221" s="28" t="s">
        <v>605</v>
      </c>
      <c r="L221" s="52" t="s">
        <v>606</v>
      </c>
    </row>
    <row r="222" spans="11:12" ht="15" customHeight="1" x14ac:dyDescent="0.3">
      <c r="K222" s="29" t="s">
        <v>146</v>
      </c>
      <c r="L222" s="52" t="s">
        <v>607</v>
      </c>
    </row>
    <row r="223" spans="11:12" ht="15" customHeight="1" x14ac:dyDescent="0.3">
      <c r="K223" s="26" t="s">
        <v>147</v>
      </c>
      <c r="L223" s="52" t="s">
        <v>608</v>
      </c>
    </row>
    <row r="224" spans="11:12" ht="15" customHeight="1" x14ac:dyDescent="0.3">
      <c r="K224" s="26" t="s">
        <v>148</v>
      </c>
      <c r="L224" s="52" t="s">
        <v>609</v>
      </c>
    </row>
    <row r="225" spans="11:12" ht="15" customHeight="1" x14ac:dyDescent="0.3">
      <c r="K225" s="27" t="s">
        <v>610</v>
      </c>
      <c r="L225" s="52" t="s">
        <v>611</v>
      </c>
    </row>
    <row r="226" spans="11:12" ht="15" customHeight="1" x14ac:dyDescent="0.3">
      <c r="K226" s="28" t="s">
        <v>612</v>
      </c>
      <c r="L226" s="52" t="s">
        <v>613</v>
      </c>
    </row>
    <row r="227" spans="11:12" ht="15" customHeight="1" x14ac:dyDescent="0.3">
      <c r="K227" s="29" t="s">
        <v>149</v>
      </c>
      <c r="L227" s="52" t="s">
        <v>614</v>
      </c>
    </row>
    <row r="228" spans="11:12" ht="15" customHeight="1" x14ac:dyDescent="0.3">
      <c r="K228" s="26" t="s">
        <v>150</v>
      </c>
      <c r="L228" s="52" t="s">
        <v>615</v>
      </c>
    </row>
    <row r="229" spans="11:12" ht="15" customHeight="1" x14ac:dyDescent="0.3">
      <c r="K229" s="26" t="s">
        <v>151</v>
      </c>
      <c r="L229" s="52" t="s">
        <v>616</v>
      </c>
    </row>
    <row r="230" spans="11:12" ht="15" customHeight="1" x14ac:dyDescent="0.3">
      <c r="K230" s="27" t="s">
        <v>617</v>
      </c>
      <c r="L230" s="52" t="s">
        <v>618</v>
      </c>
    </row>
    <row r="231" spans="11:12" ht="15" customHeight="1" x14ac:dyDescent="0.3">
      <c r="K231" s="28" t="s">
        <v>619</v>
      </c>
      <c r="L231" s="52" t="s">
        <v>620</v>
      </c>
    </row>
    <row r="232" spans="11:12" ht="15" customHeight="1" x14ac:dyDescent="0.3">
      <c r="K232" s="29" t="s">
        <v>152</v>
      </c>
      <c r="L232" s="52" t="s">
        <v>621</v>
      </c>
    </row>
    <row r="233" spans="11:12" ht="15" customHeight="1" x14ac:dyDescent="0.3">
      <c r="K233" s="26" t="s">
        <v>153</v>
      </c>
      <c r="L233" s="52" t="s">
        <v>622</v>
      </c>
    </row>
    <row r="234" spans="11:12" ht="15" customHeight="1" x14ac:dyDescent="0.3">
      <c r="K234" s="26" t="s">
        <v>154</v>
      </c>
      <c r="L234" s="52" t="s">
        <v>623</v>
      </c>
    </row>
    <row r="235" spans="11:12" ht="15" customHeight="1" x14ac:dyDescent="0.3">
      <c r="K235" s="27" t="s">
        <v>624</v>
      </c>
      <c r="L235" s="52" t="s">
        <v>625</v>
      </c>
    </row>
    <row r="236" spans="11:12" ht="15" customHeight="1" x14ac:dyDescent="0.3">
      <c r="K236" s="28" t="s">
        <v>626</v>
      </c>
      <c r="L236" s="52" t="s">
        <v>627</v>
      </c>
    </row>
    <row r="237" spans="11:12" ht="15" customHeight="1" x14ac:dyDescent="0.3">
      <c r="K237" s="29" t="s">
        <v>155</v>
      </c>
      <c r="L237" s="52" t="s">
        <v>628</v>
      </c>
    </row>
    <row r="238" spans="11:12" ht="15" customHeight="1" x14ac:dyDescent="0.3">
      <c r="K238" s="26" t="s">
        <v>156</v>
      </c>
      <c r="L238" s="52" t="s">
        <v>237</v>
      </c>
    </row>
    <row r="239" spans="11:12" ht="15" customHeight="1" x14ac:dyDescent="0.3">
      <c r="K239" s="26" t="s">
        <v>157</v>
      </c>
      <c r="L239" s="52" t="s">
        <v>275</v>
      </c>
    </row>
    <row r="240" spans="11:12" ht="15" customHeight="1" x14ac:dyDescent="0.3">
      <c r="K240" s="27" t="s">
        <v>629</v>
      </c>
      <c r="L240" s="52" t="s">
        <v>630</v>
      </c>
    </row>
    <row r="241" spans="11:12" ht="15" customHeight="1" x14ac:dyDescent="0.3">
      <c r="K241" s="28" t="s">
        <v>631</v>
      </c>
      <c r="L241" s="52" t="s">
        <v>632</v>
      </c>
    </row>
    <row r="242" spans="11:12" ht="15" customHeight="1" x14ac:dyDescent="0.3">
      <c r="K242" s="29" t="s">
        <v>158</v>
      </c>
      <c r="L242" s="52" t="s">
        <v>633</v>
      </c>
    </row>
    <row r="243" spans="11:12" ht="15" customHeight="1" x14ac:dyDescent="0.3">
      <c r="K243" s="26" t="s">
        <v>159</v>
      </c>
      <c r="L243" s="52" t="s">
        <v>634</v>
      </c>
    </row>
    <row r="244" spans="11:12" ht="15" customHeight="1" x14ac:dyDescent="0.3">
      <c r="K244" s="26" t="s">
        <v>160</v>
      </c>
      <c r="L244" s="52" t="s">
        <v>635</v>
      </c>
    </row>
    <row r="245" spans="11:12" ht="15" customHeight="1" x14ac:dyDescent="0.3">
      <c r="K245" s="27" t="s">
        <v>636</v>
      </c>
      <c r="L245" s="52" t="s">
        <v>637</v>
      </c>
    </row>
    <row r="246" spans="11:12" ht="15" customHeight="1" x14ac:dyDescent="0.3">
      <c r="K246" s="28" t="s">
        <v>638</v>
      </c>
      <c r="L246" s="52" t="s">
        <v>245</v>
      </c>
    </row>
    <row r="247" spans="11:12" ht="15" customHeight="1" x14ac:dyDescent="0.3">
      <c r="K247" s="29" t="s">
        <v>161</v>
      </c>
      <c r="L247" s="52" t="s">
        <v>639</v>
      </c>
    </row>
    <row r="248" spans="11:12" ht="15" customHeight="1" x14ac:dyDescent="0.3">
      <c r="K248" s="26" t="s">
        <v>162</v>
      </c>
      <c r="L248" s="52" t="s">
        <v>640</v>
      </c>
    </row>
    <row r="249" spans="11:12" ht="15" customHeight="1" x14ac:dyDescent="0.3">
      <c r="K249" s="26" t="s">
        <v>163</v>
      </c>
      <c r="L249" s="52" t="s">
        <v>641</v>
      </c>
    </row>
    <row r="250" spans="11:12" ht="15" customHeight="1" x14ac:dyDescent="0.3">
      <c r="K250" s="27" t="s">
        <v>642</v>
      </c>
      <c r="L250" s="52" t="s">
        <v>643</v>
      </c>
    </row>
    <row r="251" spans="11:12" ht="15" customHeight="1" x14ac:dyDescent="0.3">
      <c r="K251" s="28" t="s">
        <v>644</v>
      </c>
      <c r="L251" s="52" t="s">
        <v>645</v>
      </c>
    </row>
    <row r="252" spans="11:12" ht="15" customHeight="1" x14ac:dyDescent="0.3">
      <c r="K252" s="29" t="s">
        <v>164</v>
      </c>
      <c r="L252" s="52" t="s">
        <v>646</v>
      </c>
    </row>
    <row r="253" spans="11:12" ht="15" customHeight="1" x14ac:dyDescent="0.3">
      <c r="K253" s="26" t="s">
        <v>165</v>
      </c>
      <c r="L253" s="52" t="s">
        <v>647</v>
      </c>
    </row>
    <row r="254" spans="11:12" ht="15" customHeight="1" x14ac:dyDescent="0.3">
      <c r="K254" s="26" t="s">
        <v>166</v>
      </c>
      <c r="L254" s="52" t="s">
        <v>648</v>
      </c>
    </row>
    <row r="255" spans="11:12" ht="15" customHeight="1" x14ac:dyDescent="0.3">
      <c r="K255" s="27" t="s">
        <v>649</v>
      </c>
      <c r="L255" s="52" t="s">
        <v>650</v>
      </c>
    </row>
    <row r="256" spans="11:12" ht="15" customHeight="1" x14ac:dyDescent="0.3">
      <c r="K256" s="28" t="s">
        <v>651</v>
      </c>
      <c r="L256" s="52" t="s">
        <v>652</v>
      </c>
    </row>
    <row r="257" spans="11:12" ht="15" customHeight="1" x14ac:dyDescent="0.3">
      <c r="K257" s="29" t="s">
        <v>167</v>
      </c>
      <c r="L257" s="52" t="s">
        <v>653</v>
      </c>
    </row>
    <row r="258" spans="11:12" ht="15" customHeight="1" x14ac:dyDescent="0.3">
      <c r="K258" s="26" t="s">
        <v>168</v>
      </c>
      <c r="L258" s="52" t="s">
        <v>654</v>
      </c>
    </row>
    <row r="259" spans="11:12" ht="15" customHeight="1" x14ac:dyDescent="0.3">
      <c r="K259" s="26" t="s">
        <v>169</v>
      </c>
      <c r="L259" s="52" t="s">
        <v>655</v>
      </c>
    </row>
    <row r="260" spans="11:12" ht="15" customHeight="1" x14ac:dyDescent="0.3">
      <c r="K260" s="27" t="s">
        <v>656</v>
      </c>
      <c r="L260" s="52" t="s">
        <v>657</v>
      </c>
    </row>
    <row r="261" spans="11:12" ht="15" customHeight="1" x14ac:dyDescent="0.3">
      <c r="K261" s="28" t="s">
        <v>658</v>
      </c>
      <c r="L261" s="52" t="s">
        <v>659</v>
      </c>
    </row>
    <row r="262" spans="11:12" ht="15" customHeight="1" x14ac:dyDescent="0.3">
      <c r="K262" s="29" t="s">
        <v>170</v>
      </c>
      <c r="L262" s="52" t="s">
        <v>660</v>
      </c>
    </row>
    <row r="263" spans="11:12" ht="15" customHeight="1" x14ac:dyDescent="0.3">
      <c r="K263" s="26" t="s">
        <v>171</v>
      </c>
      <c r="L263" s="52" t="s">
        <v>661</v>
      </c>
    </row>
    <row r="264" spans="11:12" ht="15" customHeight="1" x14ac:dyDescent="0.3">
      <c r="K264" s="26" t="s">
        <v>172</v>
      </c>
      <c r="L264" s="52" t="s">
        <v>662</v>
      </c>
    </row>
    <row r="265" spans="11:12" ht="15" customHeight="1" x14ac:dyDescent="0.3">
      <c r="K265" s="27" t="s">
        <v>663</v>
      </c>
      <c r="L265" s="52" t="s">
        <v>664</v>
      </c>
    </row>
    <row r="266" spans="11:12" ht="15" customHeight="1" x14ac:dyDescent="0.3">
      <c r="K266" s="28" t="s">
        <v>665</v>
      </c>
      <c r="L266" s="52" t="s">
        <v>666</v>
      </c>
    </row>
    <row r="267" spans="11:12" ht="15" customHeight="1" x14ac:dyDescent="0.3">
      <c r="K267" s="29" t="s">
        <v>173</v>
      </c>
      <c r="L267" s="52" t="s">
        <v>667</v>
      </c>
    </row>
    <row r="268" spans="11:12" ht="15" customHeight="1" x14ac:dyDescent="0.3">
      <c r="K268" s="26" t="s">
        <v>174</v>
      </c>
      <c r="L268" s="52" t="s">
        <v>668</v>
      </c>
    </row>
    <row r="269" spans="11:12" ht="15" customHeight="1" x14ac:dyDescent="0.3">
      <c r="K269" s="26" t="s">
        <v>175</v>
      </c>
      <c r="L269" s="52" t="s">
        <v>669</v>
      </c>
    </row>
    <row r="270" spans="11:12" ht="15" customHeight="1" x14ac:dyDescent="0.3">
      <c r="K270" s="27" t="s">
        <v>670</v>
      </c>
      <c r="L270" s="52" t="s">
        <v>671</v>
      </c>
    </row>
    <row r="271" spans="11:12" ht="15" customHeight="1" x14ac:dyDescent="0.3">
      <c r="K271" s="28" t="s">
        <v>672</v>
      </c>
      <c r="L271" s="52" t="s">
        <v>673</v>
      </c>
    </row>
    <row r="272" spans="11:12" ht="15" customHeight="1" x14ac:dyDescent="0.3">
      <c r="K272" s="29" t="s">
        <v>176</v>
      </c>
      <c r="L272" s="52" t="s">
        <v>674</v>
      </c>
    </row>
    <row r="273" spans="11:12" ht="15" customHeight="1" x14ac:dyDescent="0.3">
      <c r="K273" s="26" t="s">
        <v>177</v>
      </c>
      <c r="L273" s="52" t="s">
        <v>675</v>
      </c>
    </row>
    <row r="274" spans="11:12" ht="15" customHeight="1" x14ac:dyDescent="0.3">
      <c r="K274" s="26" t="s">
        <v>178</v>
      </c>
      <c r="L274" s="52" t="s">
        <v>676</v>
      </c>
    </row>
    <row r="275" spans="11:12" ht="15" customHeight="1" x14ac:dyDescent="0.3">
      <c r="K275" s="27" t="s">
        <v>677</v>
      </c>
      <c r="L275" s="52" t="s">
        <v>678</v>
      </c>
    </row>
    <row r="276" spans="11:12" ht="15" customHeight="1" x14ac:dyDescent="0.3">
      <c r="K276" s="28" t="s">
        <v>679</v>
      </c>
      <c r="L276" s="52" t="s">
        <v>680</v>
      </c>
    </row>
    <row r="277" spans="11:12" ht="15" customHeight="1" x14ac:dyDescent="0.3">
      <c r="K277" s="29" t="s">
        <v>179</v>
      </c>
      <c r="L277" s="52" t="s">
        <v>681</v>
      </c>
    </row>
    <row r="278" spans="11:12" ht="15" customHeight="1" x14ac:dyDescent="0.3">
      <c r="K278" s="26" t="s">
        <v>180</v>
      </c>
      <c r="L278" s="52" t="s">
        <v>682</v>
      </c>
    </row>
    <row r="279" spans="11:12" ht="15" customHeight="1" x14ac:dyDescent="0.3">
      <c r="K279" s="26" t="s">
        <v>181</v>
      </c>
      <c r="L279" s="52" t="s">
        <v>683</v>
      </c>
    </row>
    <row r="280" spans="11:12" ht="15" customHeight="1" x14ac:dyDescent="0.3">
      <c r="K280" s="27" t="s">
        <v>684</v>
      </c>
      <c r="L280" s="52" t="s">
        <v>685</v>
      </c>
    </row>
    <row r="281" spans="11:12" ht="15" customHeight="1" x14ac:dyDescent="0.3">
      <c r="K281" s="28" t="s">
        <v>686</v>
      </c>
      <c r="L281" s="52" t="s">
        <v>687</v>
      </c>
    </row>
    <row r="282" spans="11:12" ht="15" customHeight="1" x14ac:dyDescent="0.3">
      <c r="K282" s="29" t="s">
        <v>182</v>
      </c>
      <c r="L282" s="52" t="s">
        <v>688</v>
      </c>
    </row>
    <row r="283" spans="11:12" ht="15" customHeight="1" x14ac:dyDescent="0.3">
      <c r="K283" s="26" t="s">
        <v>183</v>
      </c>
      <c r="L283" s="52" t="s">
        <v>689</v>
      </c>
    </row>
    <row r="284" spans="11:12" ht="15" customHeight="1" x14ac:dyDescent="0.3">
      <c r="K284" s="26" t="s">
        <v>184</v>
      </c>
      <c r="L284" s="52" t="s">
        <v>690</v>
      </c>
    </row>
    <row r="285" spans="11:12" ht="15" customHeight="1" x14ac:dyDescent="0.3">
      <c r="K285" s="27" t="s">
        <v>691</v>
      </c>
      <c r="L285" s="52" t="s">
        <v>692</v>
      </c>
    </row>
    <row r="286" spans="11:12" ht="15" customHeight="1" x14ac:dyDescent="0.3">
      <c r="K286" s="28" t="s">
        <v>693</v>
      </c>
      <c r="L286" s="52" t="s">
        <v>694</v>
      </c>
    </row>
    <row r="287" spans="11:12" ht="15" customHeight="1" x14ac:dyDescent="0.3">
      <c r="K287" s="29" t="s">
        <v>185</v>
      </c>
      <c r="L287" s="52" t="s">
        <v>695</v>
      </c>
    </row>
    <row r="288" spans="11:12" ht="15" customHeight="1" x14ac:dyDescent="0.3">
      <c r="K288" s="30" t="s">
        <v>186</v>
      </c>
      <c r="L288" s="52" t="s">
        <v>696</v>
      </c>
    </row>
    <row r="289" spans="11:12" ht="15" customHeight="1" x14ac:dyDescent="0.3">
      <c r="K289" s="26" t="s">
        <v>187</v>
      </c>
      <c r="L289" s="52" t="s">
        <v>697</v>
      </c>
    </row>
    <row r="290" spans="11:12" ht="15" customHeight="1" x14ac:dyDescent="0.3">
      <c r="K290" s="27" t="s">
        <v>698</v>
      </c>
      <c r="L290" s="52" t="s">
        <v>699</v>
      </c>
    </row>
    <row r="291" spans="11:12" ht="15" customHeight="1" x14ac:dyDescent="0.3">
      <c r="K291" s="28" t="s">
        <v>700</v>
      </c>
      <c r="L291" s="52" t="s">
        <v>701</v>
      </c>
    </row>
    <row r="292" spans="11:12" ht="15" customHeight="1" x14ac:dyDescent="0.3">
      <c r="K292" s="29" t="s">
        <v>188</v>
      </c>
      <c r="L292" s="52" t="s">
        <v>702</v>
      </c>
    </row>
    <row r="293" spans="11:12" ht="15" customHeight="1" x14ac:dyDescent="0.3">
      <c r="K293" s="31" t="s">
        <v>189</v>
      </c>
      <c r="L293" s="52" t="s">
        <v>703</v>
      </c>
    </row>
    <row r="294" spans="11:12" ht="15" customHeight="1" x14ac:dyDescent="0.3">
      <c r="K294" s="32" t="s">
        <v>190</v>
      </c>
      <c r="L294" s="52" t="s">
        <v>704</v>
      </c>
    </row>
    <row r="295" spans="11:12" ht="15" customHeight="1" x14ac:dyDescent="0.3">
      <c r="K295" s="33" t="s">
        <v>191</v>
      </c>
      <c r="L295" s="52" t="s">
        <v>705</v>
      </c>
    </row>
    <row r="296" spans="11:12" ht="15" customHeight="1" x14ac:dyDescent="0.3">
      <c r="K296" s="34" t="s">
        <v>192</v>
      </c>
      <c r="L296" s="52" t="s">
        <v>706</v>
      </c>
    </row>
    <row r="297" spans="11:12" ht="15" customHeight="1" x14ac:dyDescent="0.3">
      <c r="K297" s="32" t="s">
        <v>193</v>
      </c>
      <c r="L297" s="52" t="s">
        <v>707</v>
      </c>
    </row>
    <row r="298" spans="11:12" ht="15" customHeight="1" x14ac:dyDescent="0.3">
      <c r="K298" s="32" t="s">
        <v>194</v>
      </c>
      <c r="L298" s="52" t="s">
        <v>708</v>
      </c>
    </row>
    <row r="299" spans="11:12" ht="15" customHeight="1" x14ac:dyDescent="0.3">
      <c r="K299" s="35" t="s">
        <v>709</v>
      </c>
      <c r="L299" s="52" t="s">
        <v>710</v>
      </c>
    </row>
    <row r="300" spans="11:12" ht="15" customHeight="1" x14ac:dyDescent="0.3">
      <c r="K300" s="36" t="s">
        <v>195</v>
      </c>
      <c r="L300" s="52" t="s">
        <v>711</v>
      </c>
    </row>
    <row r="301" spans="11:12" ht="15" customHeight="1" x14ac:dyDescent="0.3">
      <c r="K301" s="37" t="s">
        <v>196</v>
      </c>
      <c r="L301" s="52" t="s">
        <v>712</v>
      </c>
    </row>
    <row r="302" spans="11:12" ht="15" customHeight="1" x14ac:dyDescent="0.3">
      <c r="K302" s="56" t="s">
        <v>197</v>
      </c>
      <c r="L302" s="52" t="s">
        <v>713</v>
      </c>
    </row>
    <row r="303" spans="11:12" ht="15" customHeight="1" x14ac:dyDescent="0.3">
      <c r="K303" s="56" t="s">
        <v>714</v>
      </c>
      <c r="L303" s="52" t="s">
        <v>715</v>
      </c>
    </row>
    <row r="304" spans="11:12" ht="15" customHeight="1" x14ac:dyDescent="0.3">
      <c r="K304" s="56" t="s">
        <v>716</v>
      </c>
      <c r="L304" s="52" t="s">
        <v>717</v>
      </c>
    </row>
    <row r="305" spans="11:12" ht="15" customHeight="1" x14ac:dyDescent="0.3">
      <c r="K305" s="56" t="s">
        <v>718</v>
      </c>
      <c r="L305" s="52" t="s">
        <v>719</v>
      </c>
    </row>
    <row r="306" spans="11:12" ht="15" customHeight="1" x14ac:dyDescent="0.3">
      <c r="K306" s="56" t="s">
        <v>720</v>
      </c>
      <c r="L306" s="52" t="s">
        <v>721</v>
      </c>
    </row>
    <row r="307" spans="11:12" ht="15" customHeight="1" x14ac:dyDescent="0.3">
      <c r="K307" s="56" t="s">
        <v>722</v>
      </c>
      <c r="L307" s="52" t="s">
        <v>723</v>
      </c>
    </row>
    <row r="308" spans="11:12" ht="15" customHeight="1" x14ac:dyDescent="0.3">
      <c r="K308" s="56" t="s">
        <v>724</v>
      </c>
      <c r="L308" s="52" t="s">
        <v>725</v>
      </c>
    </row>
    <row r="309" spans="11:12" ht="15" customHeight="1" x14ac:dyDescent="0.3">
      <c r="K309" s="56" t="s">
        <v>726</v>
      </c>
      <c r="L309" s="52" t="s">
        <v>727</v>
      </c>
    </row>
    <row r="310" spans="11:12" ht="15" customHeight="1" x14ac:dyDescent="0.3">
      <c r="K310" s="56" t="s">
        <v>728</v>
      </c>
      <c r="L310" s="52" t="s">
        <v>729</v>
      </c>
    </row>
    <row r="311" spans="11:12" ht="15" customHeight="1" x14ac:dyDescent="0.3">
      <c r="K311" s="56" t="s">
        <v>730</v>
      </c>
      <c r="L311" s="52" t="s">
        <v>731</v>
      </c>
    </row>
    <row r="312" spans="11:12" ht="15" customHeight="1" x14ac:dyDescent="0.3">
      <c r="K312" s="56" t="s">
        <v>732</v>
      </c>
      <c r="L312" s="52" t="s">
        <v>733</v>
      </c>
    </row>
    <row r="313" spans="11:12" ht="15" customHeight="1" x14ac:dyDescent="0.3">
      <c r="K313" s="56" t="s">
        <v>734</v>
      </c>
      <c r="L313" s="52" t="s">
        <v>735</v>
      </c>
    </row>
    <row r="314" spans="11:12" ht="15" customHeight="1" x14ac:dyDescent="0.3">
      <c r="K314" s="56" t="s">
        <v>736</v>
      </c>
      <c r="L314" s="52" t="s">
        <v>737</v>
      </c>
    </row>
    <row r="315" spans="11:12" ht="15" customHeight="1" x14ac:dyDescent="0.3">
      <c r="K315" s="56" t="s">
        <v>738</v>
      </c>
      <c r="L315" s="52" t="s">
        <v>739</v>
      </c>
    </row>
    <row r="316" spans="11:12" ht="15" customHeight="1" x14ac:dyDescent="0.3">
      <c r="K316" s="56" t="s">
        <v>740</v>
      </c>
      <c r="L316" s="52" t="s">
        <v>741</v>
      </c>
    </row>
    <row r="317" spans="11:12" ht="15" customHeight="1" x14ac:dyDescent="0.3">
      <c r="K317" s="56" t="s">
        <v>742</v>
      </c>
      <c r="L317" s="52" t="s">
        <v>743</v>
      </c>
    </row>
    <row r="318" spans="11:12" ht="15" customHeight="1" x14ac:dyDescent="0.3">
      <c r="K318" s="56" t="s">
        <v>744</v>
      </c>
      <c r="L318" s="52" t="s">
        <v>745</v>
      </c>
    </row>
    <row r="319" spans="11:12" ht="15" customHeight="1" x14ac:dyDescent="0.3">
      <c r="K319" s="56" t="s">
        <v>746</v>
      </c>
      <c r="L319" s="52" t="s">
        <v>747</v>
      </c>
    </row>
    <row r="320" spans="11:12" ht="15" customHeight="1" x14ac:dyDescent="0.3">
      <c r="K320" s="56" t="s">
        <v>748</v>
      </c>
      <c r="L320" s="52" t="s">
        <v>749</v>
      </c>
    </row>
    <row r="321" spans="11:12" ht="15" customHeight="1" x14ac:dyDescent="0.3">
      <c r="K321" s="56" t="s">
        <v>198</v>
      </c>
      <c r="L321" s="52" t="s">
        <v>750</v>
      </c>
    </row>
    <row r="322" spans="11:12" ht="15" customHeight="1" x14ac:dyDescent="0.3">
      <c r="K322" s="56" t="s">
        <v>199</v>
      </c>
      <c r="L322" s="52" t="s">
        <v>751</v>
      </c>
    </row>
    <row r="323" spans="11:12" ht="15" customHeight="1" x14ac:dyDescent="0.3">
      <c r="K323" s="56" t="s">
        <v>200</v>
      </c>
      <c r="L323" s="52" t="s">
        <v>752</v>
      </c>
    </row>
    <row r="324" spans="11:12" ht="15" customHeight="1" x14ac:dyDescent="0.3">
      <c r="K324" s="56" t="s">
        <v>201</v>
      </c>
      <c r="L324" s="52" t="s">
        <v>753</v>
      </c>
    </row>
    <row r="325" spans="11:12" ht="15" customHeight="1" x14ac:dyDescent="0.3">
      <c r="K325" s="56" t="s">
        <v>202</v>
      </c>
      <c r="L325" s="52" t="s">
        <v>754</v>
      </c>
    </row>
    <row r="326" spans="11:12" ht="15" customHeight="1" x14ac:dyDescent="0.3">
      <c r="K326" s="56" t="s">
        <v>203</v>
      </c>
      <c r="L326" s="52" t="s">
        <v>755</v>
      </c>
    </row>
    <row r="327" spans="11:12" ht="15" customHeight="1" x14ac:dyDescent="0.3">
      <c r="K327" s="56" t="s">
        <v>204</v>
      </c>
      <c r="L327" s="52" t="s">
        <v>756</v>
      </c>
    </row>
    <row r="328" spans="11:12" ht="15" customHeight="1" x14ac:dyDescent="0.3">
      <c r="K328" s="56" t="s">
        <v>205</v>
      </c>
      <c r="L328" s="52" t="s">
        <v>757</v>
      </c>
    </row>
    <row r="329" spans="11:12" ht="15" customHeight="1" x14ac:dyDescent="0.3">
      <c r="K329" s="56" t="s">
        <v>206</v>
      </c>
      <c r="L329" s="52" t="s">
        <v>758</v>
      </c>
    </row>
    <row r="330" spans="11:12" ht="15" customHeight="1" x14ac:dyDescent="0.3">
      <c r="K330" s="56" t="s">
        <v>207</v>
      </c>
      <c r="L330" s="52" t="s">
        <v>759</v>
      </c>
    </row>
    <row r="331" spans="11:12" ht="15" customHeight="1" x14ac:dyDescent="0.3">
      <c r="K331" s="56" t="s">
        <v>760</v>
      </c>
      <c r="L331" s="52" t="s">
        <v>761</v>
      </c>
    </row>
    <row r="332" spans="11:12" ht="15" customHeight="1" x14ac:dyDescent="0.3">
      <c r="K332" s="56" t="s">
        <v>762</v>
      </c>
      <c r="L332" s="52" t="s">
        <v>763</v>
      </c>
    </row>
    <row r="333" spans="11:12" ht="15" customHeight="1" x14ac:dyDescent="0.3">
      <c r="K333" s="56" t="s">
        <v>764</v>
      </c>
      <c r="L333" s="52" t="s">
        <v>765</v>
      </c>
    </row>
    <row r="334" spans="11:12" ht="15" customHeight="1" x14ac:dyDescent="0.3">
      <c r="K334" s="56" t="s">
        <v>766</v>
      </c>
      <c r="L334" s="52" t="s">
        <v>767</v>
      </c>
    </row>
    <row r="335" spans="11:12" ht="15" customHeight="1" x14ac:dyDescent="0.3">
      <c r="K335" s="56" t="s">
        <v>768</v>
      </c>
      <c r="L335" s="52" t="s">
        <v>769</v>
      </c>
    </row>
    <row r="336" spans="11:12" ht="15" customHeight="1" x14ac:dyDescent="0.3">
      <c r="K336" s="56" t="s">
        <v>770</v>
      </c>
      <c r="L336" s="52" t="s">
        <v>771</v>
      </c>
    </row>
    <row r="337" spans="11:12" ht="15" customHeight="1" x14ac:dyDescent="0.3">
      <c r="K337" s="56" t="s">
        <v>772</v>
      </c>
      <c r="L337" s="52" t="s">
        <v>773</v>
      </c>
    </row>
    <row r="338" spans="11:12" ht="15" customHeight="1" x14ac:dyDescent="0.3">
      <c r="K338" s="56" t="s">
        <v>774</v>
      </c>
      <c r="L338" s="52" t="s">
        <v>775</v>
      </c>
    </row>
    <row r="339" spans="11:12" ht="15" customHeight="1" x14ac:dyDescent="0.3">
      <c r="K339" s="56" t="s">
        <v>776</v>
      </c>
      <c r="L339" s="52" t="s">
        <v>777</v>
      </c>
    </row>
    <row r="340" spans="11:12" ht="15" customHeight="1" x14ac:dyDescent="0.3">
      <c r="K340" s="56" t="s">
        <v>778</v>
      </c>
      <c r="L340" s="52" t="s">
        <v>779</v>
      </c>
    </row>
    <row r="341" spans="11:12" ht="15" customHeight="1" x14ac:dyDescent="0.3">
      <c r="K341" s="56" t="s">
        <v>780</v>
      </c>
      <c r="L341" s="52" t="s">
        <v>781</v>
      </c>
    </row>
    <row r="342" spans="11:12" ht="15" customHeight="1" x14ac:dyDescent="0.3">
      <c r="K342" s="56" t="s">
        <v>782</v>
      </c>
      <c r="L342" s="52" t="s">
        <v>783</v>
      </c>
    </row>
    <row r="343" spans="11:12" ht="15" customHeight="1" x14ac:dyDescent="0.3">
      <c r="K343" s="56" t="s">
        <v>784</v>
      </c>
      <c r="L343" s="52" t="s">
        <v>785</v>
      </c>
    </row>
    <row r="344" spans="11:12" ht="15" customHeight="1" x14ac:dyDescent="0.3">
      <c r="K344" s="56" t="s">
        <v>786</v>
      </c>
      <c r="L344" s="52" t="s">
        <v>787</v>
      </c>
    </row>
    <row r="345" spans="11:12" ht="15" customHeight="1" x14ac:dyDescent="0.3">
      <c r="K345" s="56" t="s">
        <v>788</v>
      </c>
      <c r="L345" s="52" t="s">
        <v>789</v>
      </c>
    </row>
    <row r="346" spans="11:12" ht="15" customHeight="1" x14ac:dyDescent="0.3">
      <c r="K346" s="56" t="s">
        <v>790</v>
      </c>
      <c r="L346" s="52" t="s">
        <v>791</v>
      </c>
    </row>
    <row r="347" spans="11:12" ht="15" customHeight="1" x14ac:dyDescent="0.3">
      <c r="K347" s="56" t="s">
        <v>792</v>
      </c>
      <c r="L347" s="52" t="s">
        <v>793</v>
      </c>
    </row>
    <row r="348" spans="11:12" ht="15" customHeight="1" x14ac:dyDescent="0.3">
      <c r="K348" s="56" t="s">
        <v>794</v>
      </c>
      <c r="L348" s="52" t="s">
        <v>795</v>
      </c>
    </row>
    <row r="349" spans="11:12" ht="15" customHeight="1" x14ac:dyDescent="0.3">
      <c r="K349" s="56" t="s">
        <v>796</v>
      </c>
      <c r="L349" s="52" t="s">
        <v>797</v>
      </c>
    </row>
    <row r="350" spans="11:12" ht="15" customHeight="1" x14ac:dyDescent="0.3">
      <c r="K350" s="56" t="s">
        <v>798</v>
      </c>
      <c r="L350" s="52" t="s">
        <v>799</v>
      </c>
    </row>
    <row r="351" spans="11:12" ht="15" customHeight="1" x14ac:dyDescent="0.3">
      <c r="K351" s="56" t="s">
        <v>800</v>
      </c>
      <c r="L351" s="52" t="s">
        <v>801</v>
      </c>
    </row>
    <row r="352" spans="11:12" ht="15" customHeight="1" x14ac:dyDescent="0.3">
      <c r="K352" s="56" t="s">
        <v>802</v>
      </c>
      <c r="L352" s="52" t="s">
        <v>803</v>
      </c>
    </row>
    <row r="353" spans="11:12" ht="15" customHeight="1" x14ac:dyDescent="0.3">
      <c r="K353" s="56" t="s">
        <v>804</v>
      </c>
      <c r="L353" s="52" t="s">
        <v>805</v>
      </c>
    </row>
    <row r="354" spans="11:12" ht="15" customHeight="1" x14ac:dyDescent="0.3">
      <c r="K354" s="56" t="s">
        <v>806</v>
      </c>
      <c r="L354" s="52" t="s">
        <v>807</v>
      </c>
    </row>
    <row r="355" spans="11:12" ht="15" customHeight="1" x14ac:dyDescent="0.3">
      <c r="K355" s="56" t="s">
        <v>808</v>
      </c>
      <c r="L355" s="52" t="s">
        <v>809</v>
      </c>
    </row>
    <row r="356" spans="11:12" ht="15" customHeight="1" x14ac:dyDescent="0.3">
      <c r="K356" s="56" t="s">
        <v>810</v>
      </c>
      <c r="L356" s="52" t="s">
        <v>811</v>
      </c>
    </row>
    <row r="357" spans="11:12" ht="15" customHeight="1" x14ac:dyDescent="0.3">
      <c r="K357" s="56" t="s">
        <v>812</v>
      </c>
      <c r="L357" s="52" t="s">
        <v>813</v>
      </c>
    </row>
    <row r="358" spans="11:12" ht="15" customHeight="1" x14ac:dyDescent="0.3">
      <c r="K358" s="56" t="s">
        <v>814</v>
      </c>
      <c r="L358" s="52" t="s">
        <v>815</v>
      </c>
    </row>
    <row r="359" spans="11:12" ht="15" customHeight="1" x14ac:dyDescent="0.3">
      <c r="K359" s="56" t="s">
        <v>208</v>
      </c>
      <c r="L359" s="52" t="s">
        <v>816</v>
      </c>
    </row>
    <row r="360" spans="11:12" ht="15" customHeight="1" x14ac:dyDescent="0.3">
      <c r="K360" s="56" t="s">
        <v>817</v>
      </c>
      <c r="L360" s="52" t="s">
        <v>818</v>
      </c>
    </row>
    <row r="361" spans="11:12" ht="15" customHeight="1" x14ac:dyDescent="0.3">
      <c r="K361" s="56" t="s">
        <v>819</v>
      </c>
      <c r="L361" s="52" t="s">
        <v>820</v>
      </c>
    </row>
    <row r="362" spans="11:12" ht="15" customHeight="1" x14ac:dyDescent="0.3">
      <c r="K362" s="56" t="s">
        <v>821</v>
      </c>
      <c r="L362" s="52" t="s">
        <v>822</v>
      </c>
    </row>
    <row r="363" spans="11:12" ht="15" customHeight="1" x14ac:dyDescent="0.3">
      <c r="K363" s="56" t="s">
        <v>823</v>
      </c>
      <c r="L363" s="52" t="s">
        <v>824</v>
      </c>
    </row>
    <row r="364" spans="11:12" ht="15" customHeight="1" x14ac:dyDescent="0.3">
      <c r="K364" s="56" t="s">
        <v>825</v>
      </c>
      <c r="L364" s="52" t="s">
        <v>826</v>
      </c>
    </row>
    <row r="365" spans="11:12" ht="15" customHeight="1" x14ac:dyDescent="0.3">
      <c r="K365" s="56" t="s">
        <v>827</v>
      </c>
      <c r="L365" s="52" t="s">
        <v>828</v>
      </c>
    </row>
    <row r="366" spans="11:12" ht="15" customHeight="1" x14ac:dyDescent="0.3">
      <c r="K366" s="56" t="s">
        <v>829</v>
      </c>
      <c r="L366" s="52" t="s">
        <v>830</v>
      </c>
    </row>
    <row r="367" spans="11:12" ht="15" customHeight="1" x14ac:dyDescent="0.3">
      <c r="K367" s="56" t="s">
        <v>831</v>
      </c>
      <c r="L367" s="52" t="s">
        <v>832</v>
      </c>
    </row>
    <row r="368" spans="11:12" ht="15" customHeight="1" x14ac:dyDescent="0.3">
      <c r="K368" s="56" t="s">
        <v>833</v>
      </c>
      <c r="L368" s="52" t="s">
        <v>834</v>
      </c>
    </row>
    <row r="369" spans="11:12" ht="15" customHeight="1" x14ac:dyDescent="0.3">
      <c r="K369" s="56" t="s">
        <v>835</v>
      </c>
      <c r="L369" s="52" t="s">
        <v>836</v>
      </c>
    </row>
    <row r="370" spans="11:12" ht="15" customHeight="1" x14ac:dyDescent="0.3">
      <c r="K370" s="56" t="s">
        <v>837</v>
      </c>
      <c r="L370" s="52" t="s">
        <v>838</v>
      </c>
    </row>
    <row r="371" spans="11:12" ht="15" customHeight="1" x14ac:dyDescent="0.3">
      <c r="K371" s="56" t="s">
        <v>839</v>
      </c>
      <c r="L371" s="52" t="s">
        <v>840</v>
      </c>
    </row>
    <row r="372" spans="11:12" ht="15" customHeight="1" x14ac:dyDescent="0.3">
      <c r="K372" s="56" t="s">
        <v>841</v>
      </c>
      <c r="L372" s="52" t="s">
        <v>842</v>
      </c>
    </row>
    <row r="373" spans="11:12" ht="15" customHeight="1" x14ac:dyDescent="0.3">
      <c r="K373" s="56" t="s">
        <v>843</v>
      </c>
      <c r="L373" s="52" t="s">
        <v>844</v>
      </c>
    </row>
    <row r="374" spans="11:12" ht="15" customHeight="1" x14ac:dyDescent="0.3">
      <c r="K374" s="56" t="s">
        <v>209</v>
      </c>
      <c r="L374" s="52" t="s">
        <v>845</v>
      </c>
    </row>
    <row r="375" spans="11:12" ht="15" customHeight="1" x14ac:dyDescent="0.3">
      <c r="K375" s="56" t="s">
        <v>846</v>
      </c>
      <c r="L375" s="52" t="s">
        <v>847</v>
      </c>
    </row>
    <row r="376" spans="11:12" ht="15" customHeight="1" x14ac:dyDescent="0.3">
      <c r="K376" s="56" t="s">
        <v>848</v>
      </c>
      <c r="L376" s="52" t="s">
        <v>849</v>
      </c>
    </row>
    <row r="377" spans="11:12" ht="15" customHeight="1" x14ac:dyDescent="0.3">
      <c r="K377" s="56" t="s">
        <v>850</v>
      </c>
      <c r="L377" s="52" t="s">
        <v>851</v>
      </c>
    </row>
    <row r="378" spans="11:12" ht="15" customHeight="1" x14ac:dyDescent="0.3">
      <c r="K378" s="56" t="s">
        <v>852</v>
      </c>
      <c r="L378" s="52" t="s">
        <v>853</v>
      </c>
    </row>
    <row r="379" spans="11:12" ht="15" customHeight="1" x14ac:dyDescent="0.3">
      <c r="K379" s="56" t="s">
        <v>854</v>
      </c>
      <c r="L379" s="52" t="s">
        <v>855</v>
      </c>
    </row>
    <row r="380" spans="11:12" ht="15" customHeight="1" x14ac:dyDescent="0.3">
      <c r="K380" s="56" t="s">
        <v>856</v>
      </c>
      <c r="L380" s="52" t="s">
        <v>857</v>
      </c>
    </row>
    <row r="381" spans="11:12" ht="15" customHeight="1" x14ac:dyDescent="0.3">
      <c r="K381" s="56" t="s">
        <v>858</v>
      </c>
      <c r="L381" s="52" t="s">
        <v>859</v>
      </c>
    </row>
    <row r="382" spans="11:12" ht="15" customHeight="1" x14ac:dyDescent="0.3">
      <c r="K382" s="56" t="s">
        <v>860</v>
      </c>
      <c r="L382" s="55" t="s">
        <v>861</v>
      </c>
    </row>
    <row r="383" spans="11:12" ht="15" customHeight="1" x14ac:dyDescent="0.3">
      <c r="K383" s="56" t="s">
        <v>862</v>
      </c>
      <c r="L383" s="55" t="s">
        <v>863</v>
      </c>
    </row>
    <row r="384" spans="11:12" ht="15" customHeight="1" x14ac:dyDescent="0.3">
      <c r="K384" s="56" t="s">
        <v>864</v>
      </c>
      <c r="L384" s="55" t="s">
        <v>865</v>
      </c>
    </row>
    <row r="385" spans="11:12" ht="15" customHeight="1" x14ac:dyDescent="0.3">
      <c r="K385" s="56" t="s">
        <v>866</v>
      </c>
      <c r="L385" s="55" t="s">
        <v>234</v>
      </c>
    </row>
    <row r="386" spans="11:12" ht="15" customHeight="1" x14ac:dyDescent="0.3">
      <c r="K386" s="56" t="s">
        <v>867</v>
      </c>
      <c r="L386" s="55" t="s">
        <v>868</v>
      </c>
    </row>
    <row r="387" spans="11:12" ht="15" customHeight="1" x14ac:dyDescent="0.3">
      <c r="K387" s="56" t="s">
        <v>869</v>
      </c>
      <c r="L387" s="52" t="s">
        <v>870</v>
      </c>
    </row>
    <row r="388" spans="11:12" ht="15" customHeight="1" x14ac:dyDescent="0.3">
      <c r="K388" s="56" t="s">
        <v>871</v>
      </c>
      <c r="L388" s="52" t="s">
        <v>872</v>
      </c>
    </row>
    <row r="389" spans="11:12" ht="15" customHeight="1" x14ac:dyDescent="0.3">
      <c r="K389" s="56" t="s">
        <v>873</v>
      </c>
      <c r="L389" s="52" t="s">
        <v>874</v>
      </c>
    </row>
    <row r="390" spans="11:12" ht="15" customHeight="1" x14ac:dyDescent="0.3">
      <c r="K390" s="56" t="s">
        <v>875</v>
      </c>
      <c r="L390" s="52" t="s">
        <v>876</v>
      </c>
    </row>
    <row r="391" spans="11:12" ht="15" customHeight="1" x14ac:dyDescent="0.3">
      <c r="K391" s="56" t="s">
        <v>877</v>
      </c>
      <c r="L391" s="52" t="s">
        <v>878</v>
      </c>
    </row>
    <row r="392" spans="11:12" ht="15" customHeight="1" x14ac:dyDescent="0.3">
      <c r="K392" s="56" t="s">
        <v>879</v>
      </c>
      <c r="L392" s="52" t="s">
        <v>880</v>
      </c>
    </row>
    <row r="393" spans="11:12" ht="15" customHeight="1" x14ac:dyDescent="0.3">
      <c r="K393" s="56" t="s">
        <v>881</v>
      </c>
      <c r="L393" s="52" t="s">
        <v>882</v>
      </c>
    </row>
    <row r="394" spans="11:12" ht="15" customHeight="1" x14ac:dyDescent="0.3">
      <c r="K394" s="56" t="s">
        <v>883</v>
      </c>
      <c r="L394" s="52" t="s">
        <v>884</v>
      </c>
    </row>
    <row r="395" spans="11:12" ht="15" customHeight="1" x14ac:dyDescent="0.3">
      <c r="K395" s="56" t="s">
        <v>885</v>
      </c>
      <c r="L395" s="52" t="s">
        <v>886</v>
      </c>
    </row>
    <row r="396" spans="11:12" ht="15" customHeight="1" x14ac:dyDescent="0.3">
      <c r="K396" s="56" t="s">
        <v>887</v>
      </c>
      <c r="L396" s="52" t="s">
        <v>888</v>
      </c>
    </row>
    <row r="397" spans="11:12" ht="15" customHeight="1" x14ac:dyDescent="0.3">
      <c r="K397" s="56" t="s">
        <v>889</v>
      </c>
      <c r="L397" s="52" t="s">
        <v>890</v>
      </c>
    </row>
    <row r="398" spans="11:12" ht="15" customHeight="1" x14ac:dyDescent="0.3">
      <c r="K398" s="56" t="s">
        <v>891</v>
      </c>
      <c r="L398" s="52" t="s">
        <v>892</v>
      </c>
    </row>
    <row r="399" spans="11:12" ht="15" customHeight="1" x14ac:dyDescent="0.3">
      <c r="K399" s="56" t="s">
        <v>893</v>
      </c>
      <c r="L399" s="52" t="s">
        <v>894</v>
      </c>
    </row>
    <row r="400" spans="11:12" ht="15" customHeight="1" x14ac:dyDescent="0.3">
      <c r="K400" s="56" t="s">
        <v>895</v>
      </c>
      <c r="L400" s="52" t="s">
        <v>896</v>
      </c>
    </row>
    <row r="401" spans="11:12" ht="15" customHeight="1" x14ac:dyDescent="0.3">
      <c r="K401" s="56" t="s">
        <v>897</v>
      </c>
      <c r="L401" s="52" t="s">
        <v>898</v>
      </c>
    </row>
    <row r="402" spans="11:12" ht="15" customHeight="1" x14ac:dyDescent="0.3">
      <c r="K402" s="56" t="s">
        <v>899</v>
      </c>
      <c r="L402" s="52" t="s">
        <v>900</v>
      </c>
    </row>
    <row r="403" spans="11:12" ht="15" customHeight="1" x14ac:dyDescent="0.3">
      <c r="K403" s="56" t="s">
        <v>901</v>
      </c>
      <c r="L403" s="52" t="s">
        <v>902</v>
      </c>
    </row>
    <row r="404" spans="11:12" ht="15" customHeight="1" x14ac:dyDescent="0.3">
      <c r="K404" s="56" t="s">
        <v>211</v>
      </c>
      <c r="L404" s="52" t="s">
        <v>903</v>
      </c>
    </row>
    <row r="405" spans="11:12" ht="15" customHeight="1" x14ac:dyDescent="0.3">
      <c r="K405" s="56" t="s">
        <v>212</v>
      </c>
      <c r="L405" s="52" t="s">
        <v>904</v>
      </c>
    </row>
    <row r="406" spans="11:12" ht="15" customHeight="1" x14ac:dyDescent="0.3">
      <c r="K406" s="56" t="s">
        <v>213</v>
      </c>
      <c r="L406" s="52" t="s">
        <v>905</v>
      </c>
    </row>
    <row r="407" spans="11:12" ht="15" customHeight="1" x14ac:dyDescent="0.3">
      <c r="K407" s="56" t="s">
        <v>214</v>
      </c>
      <c r="L407" s="52" t="s">
        <v>906</v>
      </c>
    </row>
    <row r="408" spans="11:12" ht="15" customHeight="1" x14ac:dyDescent="0.3">
      <c r="K408" s="38" t="s">
        <v>215</v>
      </c>
      <c r="L408" s="55" t="s">
        <v>907</v>
      </c>
    </row>
    <row r="409" spans="11:12" ht="15" customHeight="1" x14ac:dyDescent="0.3">
      <c r="K409" s="39" t="s">
        <v>216</v>
      </c>
      <c r="L409" s="55" t="s">
        <v>908</v>
      </c>
    </row>
    <row r="410" spans="11:12" ht="15" customHeight="1" x14ac:dyDescent="0.3">
      <c r="K410" s="40" t="s">
        <v>217</v>
      </c>
      <c r="L410" s="55" t="s">
        <v>909</v>
      </c>
    </row>
    <row r="411" spans="11:12" ht="15" customHeight="1" x14ac:dyDescent="0.3">
      <c r="K411" s="41" t="s">
        <v>218</v>
      </c>
      <c r="L411" s="55" t="s">
        <v>910</v>
      </c>
    </row>
    <row r="412" spans="11:12" ht="15" customHeight="1" x14ac:dyDescent="0.3">
      <c r="K412" s="38" t="s">
        <v>219</v>
      </c>
      <c r="L412" s="55" t="s">
        <v>308</v>
      </c>
    </row>
    <row r="413" spans="11:12" ht="15" customHeight="1" x14ac:dyDescent="0.3">
      <c r="K413" s="39" t="s">
        <v>220</v>
      </c>
      <c r="L413" s="52" t="s">
        <v>911</v>
      </c>
    </row>
    <row r="414" spans="11:12" ht="15" customHeight="1" x14ac:dyDescent="0.3">
      <c r="L414"/>
    </row>
    <row r="415" spans="11:12" ht="15" customHeight="1" x14ac:dyDescent="0.3">
      <c r="L415"/>
    </row>
    <row r="416" spans="11:12" ht="15" customHeight="1" x14ac:dyDescent="0.3">
      <c r="L416"/>
    </row>
    <row r="417" spans="12:12" ht="15" customHeight="1" x14ac:dyDescent="0.3">
      <c r="L417"/>
    </row>
    <row r="418" spans="12:12" ht="15" customHeight="1" x14ac:dyDescent="0.3">
      <c r="L418"/>
    </row>
    <row r="419" spans="12:12" ht="15" customHeight="1" x14ac:dyDescent="0.3">
      <c r="L419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99AE8192CFA24EB5A276D2676884B5" ma:contentTypeVersion="10" ma:contentTypeDescription="Create a new document." ma:contentTypeScope="" ma:versionID="fde96bac0649592f9c2aecf85e76ae14">
  <xsd:schema xmlns:xsd="http://www.w3.org/2001/XMLSchema" xmlns:xs="http://www.w3.org/2001/XMLSchema" xmlns:p="http://schemas.microsoft.com/office/2006/metadata/properties" xmlns:ns1="http://schemas.microsoft.com/sharepoint/v3" xmlns:ns3="6a8a4b19-784b-465e-aa35-6654f8f52060" xmlns:ns4="f0d2af39-04e3-4c1f-99f7-7eb11321dc22" targetNamespace="http://schemas.microsoft.com/office/2006/metadata/properties" ma:root="true" ma:fieldsID="9ff50973e0313944637720f1dfcd6fd1" ns1:_="" ns3:_="" ns4:_="">
    <xsd:import namespace="http://schemas.microsoft.com/sharepoint/v3"/>
    <xsd:import namespace="6a8a4b19-784b-465e-aa35-6654f8f52060"/>
    <xsd:import namespace="f0d2af39-04e3-4c1f-99f7-7eb11321dc2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1:_ip_UnifiedCompliancePolicyProperties" minOccurs="0"/>
                <xsd:element ref="ns1:_ip_UnifiedCompliancePolicyUIAction" minOccurs="0"/>
                <xsd:element ref="ns3:_activity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8a4b19-784b-465e-aa35-6654f8f520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d2af39-04e3-4c1f-99f7-7eb11321dc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6a8a4b19-784b-465e-aa35-6654f8f52060" xsi:nil="true"/>
  </documentManagement>
</p:properties>
</file>

<file path=customXml/itemProps1.xml><?xml version="1.0" encoding="utf-8"?>
<ds:datastoreItem xmlns:ds="http://schemas.openxmlformats.org/officeDocument/2006/customXml" ds:itemID="{C02D6F9F-713C-4C93-B164-C6F6139DCD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a8a4b19-784b-465e-aa35-6654f8f52060"/>
    <ds:schemaRef ds:uri="f0d2af39-04e3-4c1f-99f7-7eb11321dc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A7AE43B-5852-4D8B-BCB2-22A16787A2E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B874BC-0900-4C36-868B-0545D46A9149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a8a4b19-784b-465e-aa35-6654f8f5206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Follow up</vt:lpstr>
      <vt:lpstr>Calculations &amp; Lists</vt:lpstr>
    </vt:vector>
  </TitlesOfParts>
  <Manager/>
  <Company>University of Leeds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Clare Freer</dc:creator>
  <cp:keywords/>
  <dc:description/>
  <cp:lastModifiedBy>Ahmad Ammash</cp:lastModifiedBy>
  <cp:revision/>
  <dcterms:created xsi:type="dcterms:W3CDTF">2022-11-11T10:11:47Z</dcterms:created>
  <dcterms:modified xsi:type="dcterms:W3CDTF">2026-10-22T09:45:04Z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0x0101003F99AE8192CFA24EB5A276D2676884B5</vt:lpwstr>
  </property>
</Properties>
</file>