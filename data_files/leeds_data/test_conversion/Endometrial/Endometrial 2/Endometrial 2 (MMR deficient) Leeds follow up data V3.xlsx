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2/"/>
    </mc:Choice>
  </mc:AlternateContent>
  <xr:revisionPtr revIDLastSave="2051" documentId="8_{3140DFD2-7C3F-451A-B46B-7BECFA569EE1}" xr6:coauthVersionLast="47" xr6:coauthVersionMax="47" xr10:uidLastSave="{FFABEA2C-4B7A-4814-AD2F-D42B57534EB4}"/>
  <bookViews>
    <workbookView xWindow="-110" yWindow="-110" windowWidth="38620" windowHeight="21820" activeTab="1" xr2:uid="{00000000-000D-0000-FFFF-FFFF00000000}"/>
  </bookViews>
  <sheets>
    <sheet name="Follow up" sheetId="1" r:id="rId1"/>
    <sheet name="Supplementary" sheetId="4" r:id="rId2"/>
    <sheet name="Calculations &amp; Lists" sheetId="2" r:id="rId3"/>
    <sheet name="TTE Error Lo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I45" i="1" l="1"/>
  <c r="HE45" i="1"/>
  <c r="HD45" i="1"/>
  <c r="HC45" i="1"/>
  <c r="HA45" i="1"/>
  <c r="GZ45" i="1"/>
  <c r="GY45" i="1"/>
  <c r="HB45" i="1" s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 a="1"/>
  <c r="HH5" i="1"/>
  <c r="HI5" i="1"/>
  <c r="HJ5" i="1"/>
  <c r="HK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 a="1"/>
  <c r="HH6" i="1"/>
  <c r="HI6" i="1"/>
  <c r="HJ6" i="1"/>
  <c r="HK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 a="1"/>
  <c r="HH7" i="1"/>
  <c r="HI7" i="1"/>
  <c r="HJ7" i="1"/>
  <c r="HK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 a="1"/>
  <c r="HH8" i="1"/>
  <c r="HI8" i="1"/>
  <c r="HJ8" i="1"/>
  <c r="HK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 a="1"/>
  <c r="HH9" i="1"/>
  <c r="HI9" i="1"/>
  <c r="HJ9" i="1"/>
  <c r="HK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 a="1"/>
  <c r="HH10" i="1"/>
  <c r="HI10" i="1"/>
  <c r="HJ10" i="1"/>
  <c r="HK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 a="1"/>
  <c r="HH11" i="1"/>
  <c r="HI11" i="1"/>
  <c r="HJ11" i="1"/>
  <c r="HK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 a="1"/>
  <c r="HH12" i="1"/>
  <c r="HI12" i="1"/>
  <c r="HJ12" i="1"/>
  <c r="HK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 a="1"/>
  <c r="HH13" i="1"/>
  <c r="HI13" i="1"/>
  <c r="HJ13" i="1"/>
  <c r="HK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 a="1"/>
  <c r="HH14" i="1"/>
  <c r="HI14" i="1"/>
  <c r="HJ14" i="1"/>
  <c r="HK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 a="1"/>
  <c r="HH15" i="1"/>
  <c r="HI15" i="1"/>
  <c r="HJ15" i="1"/>
  <c r="HK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 a="1"/>
  <c r="HH16" i="1"/>
  <c r="HI16" i="1"/>
  <c r="HJ16" i="1"/>
  <c r="HK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 a="1"/>
  <c r="HH17" i="1"/>
  <c r="HI17" i="1"/>
  <c r="HJ17" i="1"/>
  <c r="HK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 a="1"/>
  <c r="HH18" i="1"/>
  <c r="HI18" i="1"/>
  <c r="HJ18" i="1"/>
  <c r="HK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 a="1"/>
  <c r="HH19" i="1"/>
  <c r="HI19" i="1"/>
  <c r="HJ19" i="1"/>
  <c r="HK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 a="1"/>
  <c r="HH20" i="1"/>
  <c r="HI20" i="1"/>
  <c r="HJ20" i="1"/>
  <c r="HK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 a="1"/>
  <c r="HH21" i="1"/>
  <c r="HI21" i="1"/>
  <c r="HJ21" i="1"/>
  <c r="HK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 s="1"/>
  <c r="HG22" i="1" a="1"/>
  <c r="HH22" i="1"/>
  <c r="HI22" i="1"/>
  <c r="HJ22" i="1"/>
  <c r="HK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 a="1"/>
  <c r="HH23" i="1"/>
  <c r="HI23" i="1"/>
  <c r="HJ23" i="1"/>
  <c r="HK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 a="1"/>
  <c r="HH24" i="1"/>
  <c r="HI24" i="1"/>
  <c r="HJ24" i="1"/>
  <c r="HK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I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 a="1"/>
  <c r="HH26" i="1"/>
  <c r="HI26" i="1"/>
  <c r="HJ26" i="1"/>
  <c r="HK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 a="1"/>
  <c r="HH27" i="1"/>
  <c r="HI27" i="1"/>
  <c r="HJ27" i="1"/>
  <c r="HK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 a="1"/>
  <c r="HH28" i="1"/>
  <c r="HI28" i="1"/>
  <c r="HJ28" i="1"/>
  <c r="HK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 a="1"/>
  <c r="HH29" i="1"/>
  <c r="HI29" i="1"/>
  <c r="HJ29" i="1"/>
  <c r="HK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 a="1"/>
  <c r="HH30" i="1"/>
  <c r="HI30" i="1"/>
  <c r="HJ30" i="1"/>
  <c r="HK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 a="1"/>
  <c r="HH31" i="1"/>
  <c r="HI31" i="1"/>
  <c r="HJ31" i="1"/>
  <c r="HK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 a="1"/>
  <c r="HH32" i="1"/>
  <c r="HI32" i="1"/>
  <c r="HJ32" i="1"/>
  <c r="HK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 a="1"/>
  <c r="HH33" i="1"/>
  <c r="HI33" i="1"/>
  <c r="HJ33" i="1"/>
  <c r="HK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 a="1"/>
  <c r="HH34" i="1"/>
  <c r="HI34" i="1"/>
  <c r="HJ34" i="1"/>
  <c r="HK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 a="1"/>
  <c r="HH35" i="1"/>
  <c r="HI35" i="1"/>
  <c r="HJ35" i="1"/>
  <c r="HK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 s="1"/>
  <c r="HG36" i="1" a="1"/>
  <c r="HH36" i="1"/>
  <c r="HI36" i="1"/>
  <c r="HJ36" i="1"/>
  <c r="HK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G37" i="1" a="1"/>
  <c r="HH37" i="1"/>
  <c r="HI37" i="1"/>
  <c r="HJ37" i="1"/>
  <c r="HK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 a="1"/>
  <c r="HH38" i="1"/>
  <c r="HI38" i="1"/>
  <c r="HJ38" i="1"/>
  <c r="HK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G39" i="1" a="1"/>
  <c r="HH39" i="1"/>
  <c r="HI39" i="1"/>
  <c r="HJ39" i="1"/>
  <c r="HK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 a="1"/>
  <c r="HH40" i="1"/>
  <c r="HI40" i="1"/>
  <c r="HJ40" i="1"/>
  <c r="HK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 a="1"/>
  <c r="HH41" i="1"/>
  <c r="HI41" i="1"/>
  <c r="HJ41" i="1"/>
  <c r="HK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 a="1"/>
  <c r="HH42" i="1"/>
  <c r="HI42" i="1"/>
  <c r="HJ42" i="1"/>
  <c r="HK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 a="1"/>
  <c r="HH43" i="1"/>
  <c r="HI43" i="1"/>
  <c r="HJ43" i="1"/>
  <c r="HK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 a="1"/>
  <c r="HH44" i="1"/>
  <c r="HI44" i="1"/>
  <c r="HJ44" i="1"/>
  <c r="HK44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HF37" i="1" l="1"/>
  <c r="HF39" i="1"/>
  <c r="HJ45" i="1"/>
  <c r="HF45" i="1"/>
  <c r="HH45" i="1"/>
  <c r="HK45" i="1" s="1"/>
  <c r="HG45" i="1" a="1"/>
  <c r="HG25" i="1" a="1"/>
  <c r="HH25" i="1"/>
  <c r="HK25" i="1" s="1"/>
  <c r="HF25" i="1"/>
  <c r="HJ25" i="1"/>
  <c r="HB4" i="1"/>
  <c r="HI4" i="1"/>
  <c r="HH4" i="1" l="1"/>
  <c r="HG4" i="1" a="1"/>
  <c r="HJ4" i="1"/>
  <c r="HF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tc={E4B1A0FC-A7BA-4E40-A0FC-EEF467D3A072}</author>
    <author>tc={CBC70FBE-9223-48D9-9BC0-8E02894568B4}</author>
    <author>tc={355CBB4D-1E49-4D54-92E3-F8047CFF07C5}</author>
    <author>tc={6D10069E-9536-42A7-AE55-275A28C52623}</author>
    <author>tc={3545A716-1EEA-4B8C-B56D-4110570B8D30}</author>
    <author>tc={4CE0070F-80C1-46BB-A548-CD1A74243ABC}</author>
    <author>tc={56B2ACBC-9197-4CD4-9C48-D20DC2C94D50}</author>
    <author>tc={B0887188-55B2-419C-B8F5-18A532178C4F}</author>
    <author>tc={AB09ABB3-E695-4437-984F-3B97265A930A}</author>
    <author>tc={2247C507-B450-46E4-95D2-1FDC61A58951}</author>
    <author>tc={BDFC1A30-A417-4FBB-AD7E-711F59BDD47C}</author>
    <author>tc={6785C468-AB87-4463-840E-848B93C1C0ED}</author>
    <author>tc={95685ECF-A4A2-4C74-AE78-5F08F25AA919}</author>
    <author>tc={1F7DCD51-1854-467C-B05C-54CB69AA2018}</author>
    <author>tc={CAFEE374-1B65-444E-9CC3-B3CD0A48F1C4}</author>
    <author>tc={1C2CCFEE-FA40-448A-8060-793B5C939FAF}</author>
    <author>tc={5C904C56-4FDF-4654-9EA4-5972A5210E98}</author>
  </authors>
  <commentList>
    <comment ref="AY4" authorId="0" shapeId="0" xr:uid="{E4B1A0FC-A7BA-4E40-A0FC-EEF467D3A0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LNs removed so no pN score</t>
      </text>
    </comment>
    <comment ref="F5" authorId="1" shapeId="0" xr:uid="{CBC70FBE-9223-48D9-9BC0-8E02894568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G5" authorId="2" shapeId="0" xr:uid="{355CBB4D-1E49-4D54-92E3-F8047CFF07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AY9" authorId="3" shapeId="0" xr:uid="{6D10069E-9536-42A7-AE55-275A28C52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aortic node involved</t>
      </text>
    </comment>
    <comment ref="A15" authorId="4" shapeId="0" xr:uid="{3545A716-1EEA-4B8C-B56D-4110570B8D30}">
      <text>
        <t>[Threaded comment]
Your version of Excel allows you to read this threaded comment; however, any edits to it will get removed if the file is opened in a newer version of Excel. Learn more: https://go.microsoft.com/fwlink/?linkid=870924
Comment:
    A12 used for further testing- include?</t>
      </text>
    </comment>
    <comment ref="F15" authorId="5" shapeId="0" xr:uid="{4CE0070F-80C1-46BB-A548-CD1A74243ABC}">
      <text>
        <t>[Threaded comment]
Your version of Excel allows you to read this threaded comment; however, any edits to it will get removed if the file is opened in a newer version of Excel. Learn more: https://go.microsoft.com/fwlink/?linkid=870924
Comment:
    A14 used for further testing</t>
      </text>
    </comment>
    <comment ref="BA15" authorId="6" shapeId="0" xr:uid="{56B2ACBC-9197-4CD4-9C48-D20DC2C94D50}">
      <text>
        <t>[Threaded comment]
Your version of Excel allows you to read this threaded comment; however, any edits to it will get removed if the file is opened in a newer version of Excel. Learn more: https://go.microsoft.com/fwlink/?linkid=870924
Comment:
    I'm not sure the mesenteric tumour is considered direct invasion rather than a met since the tumour has been staged as 3C1</t>
      </text>
    </comment>
    <comment ref="A17" authorId="7" shapeId="0" xr:uid="{B0887188-55B2-419C-B8F5-18A532178C4F}">
      <text>
        <t>[Threaded comment]
Your version of Excel allows you to read this threaded comment; however, any edits to it will get removed if the file is opened in a newer version of Excel. Learn more: https://go.microsoft.com/fwlink/?linkid=870924
Comment:
    A9 used for IHC - send?</t>
      </text>
    </comment>
    <comment ref="F17" authorId="8" shapeId="0" xr:uid="{AB09ABB3-E695-4437-984F-3B97265A930A}">
      <text>
        <t>[Threaded comment]
Your version of Excel allows you to read this threaded comment; however, any edits to it will get removed if the file is opened in a newer version of Excel. Learn more: https://go.microsoft.com/fwlink/?linkid=870924
Comment:
    A8 Used for IHC</t>
      </text>
    </comment>
    <comment ref="A18" authorId="9" shapeId="0" xr:uid="{2247C507-B450-46E4-95D2-1FDC61A58951}">
      <text>
        <t>[Threaded comment]
Your version of Excel allows you to read this threaded comment; however, any edits to it will get removed if the file is opened in a newer version of Excel. Learn more: https://go.microsoft.com/fwlink/?linkid=870924
Comment:
    A15 used for further testing</t>
      </text>
    </comment>
    <comment ref="G18" authorId="10" shapeId="0" xr:uid="{BDFC1A30-A417-4FBB-AD7E-711F59BDD47C}">
      <text>
        <t>[Threaded comment]
Your version of Excel allows you to read this threaded comment; however, any edits to it will get removed if the file is opened in a newer version of Excel. Learn more: https://go.microsoft.com/fwlink/?linkid=870924
Comment:
    A11 used for further testing</t>
      </text>
    </comment>
    <comment ref="BE18" authorId="11" shapeId="0" xr:uid="{6785C468-AB87-4463-840E-848B93C1C0ED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metastases actually from synchronous pancreatic cancer so stage IB endometrial cancer not stage IVB. I have put this in the notes from clinical team</t>
      </text>
    </comment>
    <comment ref="F20" authorId="12" shapeId="0" xr:uid="{95685ECF-A4A2-4C74-AE78-5F08F25AA919}">
      <text>
        <t>[Threaded comment]
Your version of Excel allows you to read this threaded comment; however, any edits to it will get removed if the file is opened in a newer version of Excel. Learn more: https://go.microsoft.com/fwlink/?linkid=870924
Comment:
    A2 used for further testing
Reply:
    No block to replace with, remove cohort</t>
      </text>
    </comment>
    <comment ref="BE23" authorId="13" shapeId="0" xr:uid="{1F7DCD51-1854-467C-B05C-54CB69AA20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invades cervical stroma &amp; is stage II on PPM (diagnosis)</t>
      </text>
    </comment>
    <comment ref="BE26" authorId="14" shapeId="0" xr:uid="{CAFEE374-1B65-444E-9CC3-B3CD0A48F1C4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involves cervical stroma</t>
      </text>
    </comment>
    <comment ref="F33" authorId="15" shapeId="0" xr:uid="{1C2CCFEE-FA40-448A-8060-793B5C93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N38" authorId="16" shapeId="0" xr:uid="{5C904C56-4FDF-4654-9EA4-5972A5210E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tc={3F08848A-3786-4EB2-BF9E-0EFC8F4B1018}</author>
    <author>tc={F2B91DAE-8132-40C4-85E2-1A30BD9187E9}</author>
    <author>tc={2641AD0D-568D-430B-A311-67993934C299}</author>
    <author>tc={CD31D7F4-69AB-40A8-BBAF-DCC690FD6026}</author>
    <author>tc={EA264A2F-AC18-4038-9261-6DE392715EC0}</author>
    <author>tc={75B08BF1-E835-4ABE-8BEF-9A6EAB4DA3C8}</author>
    <author>tc={BBC1637D-2432-4868-A234-FA2EF2D8C946}</author>
    <author>tc={DC8F0A81-5976-4CAF-A67E-88EA3A7D233D}</author>
    <author>tc={07E0A634-D2BB-49F6-B5D5-744448C7B990}</author>
    <author>tc={E0364573-2C4C-4F9B-911A-B96DD8BD8477}</author>
    <author>tc={46CCAA74-7D0B-4E3A-A497-414168CE0D82}</author>
  </authors>
  <commentList>
    <comment ref="F1" authorId="0" shapeId="0" xr:uid="{3F08848A-3786-4EB2-BF9E-0EFC8F4B1018}">
      <text>
        <t>[Threaded comment]
Your version of Excel allows you to read this threaded comment; however, any edits to it will get removed if the file is opened in a newer version of Excel. Learn more: https://go.microsoft.com/fwlink/?linkid=870924
Comment:
    dMMR/pMMR</t>
      </text>
    </comment>
    <comment ref="L4" authorId="1" shapeId="0" xr:uid="{F2B91DAE-8132-40C4-85E2-1A30BD91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I'm putting this in as if MLH1 methylation, unlikely Lynch</t>
      </text>
    </comment>
    <comment ref="F8" authorId="2" shapeId="0" xr:uid="{2641AD0D-568D-430B-A311-67993934C299}">
      <text>
        <t>[Threaded comment]
Your version of Excel allows you to read this threaded comment; however, any edits to it will get removed if the file is opened in a newer version of Excel. Learn more: https://go.microsoft.com/fwlink/?linkid=870924
Comment:
    dMMR</t>
      </text>
    </comment>
    <comment ref="I9" authorId="3" shapeId="0" xr:uid="{CD31D7F4-69AB-40A8-BBAF-DCC690FD6026}">
      <text>
        <t>[Threaded comment]
Your version of Excel allows you to read this threaded comment; however, any edits to it will get removed if the file is opened in a newer version of Excel. Learn more: https://go.microsoft.com/fwlink/?linkid=870924
Comment:
    Performed at different trust. No results on PPM or CoPath</t>
      </text>
    </comment>
    <comment ref="J9" authorId="4" shapeId="0" xr:uid="{EA264A2F-AC18-4038-9261-6DE392715E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Performed at different trust. No results on PPM or CoPath</t>
      </text>
    </comment>
    <comment ref="E13" authorId="5" shapeId="0" xr:uid="{75B08BF1-E835-4ABE-8BEF-9A6EAB4D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collected</t>
      </text>
    </comment>
    <comment ref="E15" authorId="6" shapeId="0" xr:uid="{BBC1637D-2432-4868-A234-FA2EF2D8C94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collected</t>
      </text>
    </comment>
    <comment ref="L15" authorId="7" shapeId="0" xr:uid="{DC8F0A81-5976-4CAF-A67E-88EA3A7D233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letter from clinical genetics</t>
      </text>
    </comment>
    <comment ref="E16" authorId="8" shapeId="0" xr:uid="{07E0A634-D2BB-49F6-B5D5-744448C7B99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collected</t>
      </text>
    </comment>
    <comment ref="E18" authorId="9" shapeId="0" xr:uid="{E0364573-2C4C-4F9B-911A-B96DD8BD8477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collected
Reply:
    No block to replace with</t>
      </text>
    </comment>
    <comment ref="L30" authorId="10" shapeId="0" xr:uid="{46CCAA74-7D0B-4E3A-A497-414168CE0D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genetics letter says gremlin mutation in MSH6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<sst xmlns="http://schemas.openxmlformats.org/spreadsheetml/2006/main" count="9296" uniqueCount="1167">
  <si>
    <t>PLEASE BE AWARE COLUMNS MAY BE 'HIDDEN' OR 'COLLAPSED'</t>
  </si>
  <si>
    <t>TTE calcs updated 22/03/2026</t>
  </si>
  <si>
    <t>NHS number</t>
  </si>
  <si>
    <t>Any Immunotherapy</t>
  </si>
  <si>
    <t>Specimen treatment subgrouping</t>
  </si>
  <si>
    <t>Specimen is a recurrence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</si>
  <si>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</si>
  <si>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</si>
  <si>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</si>
  <si>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</si>
  <si>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</si>
  <si>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</si>
  <si>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>Primary Surgery date</t>
  </si>
  <si>
    <t>Primary tumour site</t>
  </si>
  <si>
    <t>Anonymized ID Matched met 1</t>
  </si>
  <si>
    <t>Matched met 1 Block Number</t>
  </si>
  <si>
    <t>Matched met 1 Site</t>
  </si>
  <si>
    <t>Matched met 1 Surgery Date</t>
  </si>
  <si>
    <t>Matched met 1 treatment subgrouping</t>
  </si>
  <si>
    <t>Anonymized ID Matched met 2</t>
  </si>
  <si>
    <t>Matched met 2 Block Number</t>
  </si>
  <si>
    <t>Matched met 2 Site</t>
  </si>
  <si>
    <t>Matched met 2 Surgery Date</t>
  </si>
  <si>
    <t>Matched met 2 treatment subgrouping</t>
  </si>
  <si>
    <t>Anonymized ID Matched met 3</t>
  </si>
  <si>
    <t>Matched met 3 Block Number</t>
  </si>
  <si>
    <t>Matched met 3 Site</t>
  </si>
  <si>
    <t>Matched met 3 Surgery Date</t>
  </si>
  <si>
    <t>Matched met 3 treatment subgrouping</t>
  </si>
  <si>
    <t>Anonymized ID Matched met 4</t>
  </si>
  <si>
    <t>Matched met 4 Block Number</t>
  </si>
  <si>
    <t>Matched met 4 Site</t>
  </si>
  <si>
    <t>Matched met 4 Surgery Date</t>
  </si>
  <si>
    <t>Matched met 4 treatment subgrouping</t>
  </si>
  <si>
    <t>Anonymized ID Matched met 5</t>
  </si>
  <si>
    <t>Matched met 5 Block Number</t>
  </si>
  <si>
    <t>Matched met 5 Site</t>
  </si>
  <si>
    <t>Matched met 5 Surgery Date</t>
  </si>
  <si>
    <t>Matched met 5 treatment subgrouping</t>
  </si>
  <si>
    <t>Anonymized ID Normal tissue</t>
  </si>
  <si>
    <t>Matched Normal tissue Block Number</t>
  </si>
  <si>
    <t>Matched Normal tissue Site</t>
  </si>
  <si>
    <t>Matched Normal tissue Surgery Date</t>
  </si>
  <si>
    <t>Matched Normal treatment subgrouping</t>
  </si>
  <si>
    <t>Gender</t>
  </si>
  <si>
    <t>DOB</t>
  </si>
  <si>
    <t>Date of DX</t>
  </si>
  <si>
    <t>Age at Diagnosis</t>
  </si>
  <si>
    <t>Specimen Histological Diagnosis</t>
  </si>
  <si>
    <t>Staging/grading info provided for:</t>
  </si>
  <si>
    <t>Resection margins clear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</si>
  <si>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</si>
  <si>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</si>
  <si>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</si>
  <si>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</si>
  <si>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</si>
  <si>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</si>
  <si>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</si>
  <si>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</si>
  <si>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</si>
  <si>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</si>
  <si>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</si>
  <si>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</si>
  <si>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</si>
  <si>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</si>
  <si>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</si>
  <si>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</si>
  <si>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</si>
  <si>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</si>
  <si>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</si>
  <si>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</si>
  <si>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</si>
  <si>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</si>
  <si>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</si>
  <si>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</si>
  <si>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</si>
  <si>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</si>
  <si>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</si>
  <si>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</si>
  <si>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</si>
  <si>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</si>
  <si>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</si>
  <si>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</si>
  <si>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</si>
  <si>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</si>
  <si>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</si>
  <si>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</si>
  <si>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</si>
  <si>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</si>
  <si>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</si>
  <si>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</si>
  <si>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</si>
  <si>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</si>
  <si>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</si>
  <si>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</si>
  <si>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</si>
  <si>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</si>
  <si>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</si>
  <si>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</si>
  <si>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</si>
  <si>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</si>
  <si>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</si>
  <si>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</si>
  <si>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</si>
  <si>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</si>
  <si>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</si>
  <si>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</si>
  <si>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</si>
  <si>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</si>
  <si>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</si>
  <si>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</si>
  <si>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</si>
  <si>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</si>
  <si>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</si>
  <si>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</si>
  <si>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</si>
  <si>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</si>
  <si>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</si>
  <si>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</si>
  <si>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</si>
  <si>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</si>
  <si>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</si>
  <si>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</si>
  <si>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</si>
  <si>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</si>
  <si>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</si>
  <si>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</si>
  <si>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</si>
  <si>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</si>
  <si>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</si>
  <si>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</si>
  <si>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</si>
  <si>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</si>
  <si>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</si>
  <si>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</si>
  <si>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</si>
  <si>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</si>
  <si>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</si>
  <si>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</si>
  <si>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</si>
  <si>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</si>
  <si>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</si>
  <si>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</si>
  <si>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</si>
  <si>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</si>
  <si>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</si>
  <si>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</si>
  <si>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</si>
  <si>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</si>
  <si>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</si>
  <si>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</si>
  <si>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</si>
  <si>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</si>
  <si>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</si>
  <si>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</si>
  <si>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</si>
  <si>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</si>
  <si>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</si>
  <si>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</si>
  <si>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</si>
  <si>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</si>
  <si>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</si>
  <si>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</si>
  <si>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</si>
  <si>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</si>
  <si>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</si>
  <si>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</si>
  <si>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</si>
  <si>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</si>
  <si>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</si>
  <si>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</si>
  <si>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</si>
  <si>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</si>
  <si>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</si>
  <si>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</si>
  <si>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</si>
  <si>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</si>
  <si>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</si>
  <si>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</si>
  <si>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</si>
  <si>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</si>
  <si>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</si>
  <si>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</si>
  <si>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</si>
  <si>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</si>
  <si>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</si>
  <si>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</si>
  <si>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</si>
  <si>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</si>
  <si>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</si>
  <si>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</si>
  <si>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</si>
  <si>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</si>
  <si>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</si>
  <si>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</si>
  <si>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</si>
  <si>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</si>
  <si>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</si>
  <si>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</si>
  <si>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>TTE Primary Surgery date</t>
  </si>
  <si>
    <t>TTE Matched met 1 Surgery Date</t>
  </si>
  <si>
    <t>TTE Matched met 2 Surgery Date</t>
  </si>
  <si>
    <t>TTE Matched met 3 Surgery Date</t>
  </si>
  <si>
    <t>TTE Matched met 4 Surgery Date</t>
  </si>
  <si>
    <t>TTE Matched met 5 Surgery Date</t>
  </si>
  <si>
    <t>TTE Matched Normal tissue Surgery Date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</si>
  <si>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</si>
  <si>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</si>
  <si>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</si>
  <si>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</si>
  <si>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</si>
  <si>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</si>
  <si>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</si>
  <si>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</si>
  <si>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</si>
  <si>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</si>
  <si>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</si>
  <si>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</si>
  <si>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</si>
  <si>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</si>
  <si>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</si>
  <si>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</si>
  <si>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</si>
  <si>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LH14-10711</t>
  </si>
  <si>
    <t>Total Laparoscopic Hysterectomy; Bilateral Salpingo-oophorectomy; Peritoneal Washings.</t>
  </si>
  <si>
    <t>Uterine corpus</t>
  </si>
  <si>
    <t>N/A</t>
  </si>
  <si>
    <t>F</t>
  </si>
  <si>
    <t>Endometrioid adenocarcinoma</t>
  </si>
  <si>
    <t>Specimen</t>
  </si>
  <si>
    <t>Yes</t>
  </si>
  <si>
    <t>1B</t>
  </si>
  <si>
    <t>NR</t>
  </si>
  <si>
    <t>T1BN0M0</t>
  </si>
  <si>
    <t>Figo</t>
  </si>
  <si>
    <t>IB</t>
  </si>
  <si>
    <t>Left Iliac fossa lymph node (Recurrence)</t>
  </si>
  <si>
    <t>Deceased</t>
  </si>
  <si>
    <t>Carcinoma Endometrium</t>
  </si>
  <si>
    <t>LH15-23944</t>
  </si>
  <si>
    <t>A9</t>
  </si>
  <si>
    <t>A18</t>
  </si>
  <si>
    <t>Laparotomy, TAH,BSO,Omentectomy, pelvic para-aortic lymph node sampling, adhesiolysis</t>
  </si>
  <si>
    <t>De-differentiated endometrioid adenocarcinoma plus grade 1 endometrioid adenocarcinoma</t>
  </si>
  <si>
    <t>see histological diagnosis</t>
  </si>
  <si>
    <t>IIIC2</t>
  </si>
  <si>
    <t xml:space="preserve">Pelvis and Retroaortic mass (Recurrence), Spine-L1 and L2 </t>
  </si>
  <si>
    <t>Radiotherapy</t>
  </si>
  <si>
    <t>8Gy in 1# (Lumbar spinal cord)</t>
  </si>
  <si>
    <t>LH16-50384</t>
  </si>
  <si>
    <t>A10</t>
  </si>
  <si>
    <t>Laparoscopic converted to open total abdominal hysterectomy, bilateral salpingo-oophorectomy, infracolic omentectomy, pelvic lymphadenectomy, para-aortic lymphadenectomy, right hemicolectomy, ureterolysis</t>
  </si>
  <si>
    <t>Endometrioid carcinoma</t>
  </si>
  <si>
    <t>T2N0M0</t>
  </si>
  <si>
    <t>II</t>
  </si>
  <si>
    <t>Brachytherapy 27Gy in 6# (vaginal vault)</t>
  </si>
  <si>
    <t>Alive</t>
  </si>
  <si>
    <t>LH17-23872</t>
  </si>
  <si>
    <t>Uterine isthmus and parametrium</t>
  </si>
  <si>
    <t>Colon cancer, Intraductal carcinoma in situ of breast, Previous Basal cell carcinoma of skin</t>
  </si>
  <si>
    <t>LH18-57568</t>
  </si>
  <si>
    <t>A13</t>
  </si>
  <si>
    <t>A14</t>
  </si>
  <si>
    <t>Total robotic Hysterectomy and bilateral salpingo-oophorectomy and pelvic lymphadenectomy</t>
  </si>
  <si>
    <t>Uterine corpus (Right cornua, Right lateral wall with tumour)</t>
  </si>
  <si>
    <t>1A</t>
  </si>
  <si>
    <t>T1AN0M0</t>
  </si>
  <si>
    <t>IA</t>
  </si>
  <si>
    <t>LH19-00842</t>
  </si>
  <si>
    <t>A5</t>
  </si>
  <si>
    <t>Laparotomy with total abdominal hysterectomy, bilateral salpingo-oophorectomy, supracolic omentectomy, bilateral pelvic and para-aortic lymph node sampling, excision of left groin node and excision of vaginal nodule with adhesiolysis</t>
  </si>
  <si>
    <t>B1</t>
  </si>
  <si>
    <t>Omental fat</t>
  </si>
  <si>
    <t>IVB</t>
  </si>
  <si>
    <t>Chemotherapy</t>
  </si>
  <si>
    <t>Carboplatin, Paclitaxel (6 cycles)</t>
  </si>
  <si>
    <t>PR</t>
  </si>
  <si>
    <t>Hormone therapy</t>
  </si>
  <si>
    <t>Megace, Tamoxifen</t>
  </si>
  <si>
    <t>PD</t>
  </si>
  <si>
    <t>Right Inguinal and Retroperitoneal lymphadenopathy (Recurrence), Infradiaphragmatic disease (Bigger mets)</t>
  </si>
  <si>
    <t>20Gy in 5# (Right groin)</t>
  </si>
  <si>
    <t>Cisplatin, Doxorubicin (3 cycles)</t>
  </si>
  <si>
    <t>LH19-16201</t>
  </si>
  <si>
    <t>A16</t>
  </si>
  <si>
    <t>Total abdominal hysterectomy and bilateral salpingo-oophorectomy</t>
  </si>
  <si>
    <t>Uterine corpus (Right cornua), parametrium</t>
  </si>
  <si>
    <t>LH19-44272</t>
  </si>
  <si>
    <t>A15</t>
  </si>
  <si>
    <t>Total laparoscopic hysterectomy, bilateral salpingo-oophorectomy and bilateral pelvic lymphadenectomy</t>
  </si>
  <si>
    <t>NA</t>
  </si>
  <si>
    <t xml:space="preserve"> Endometrioid adenocarcinoma</t>
  </si>
  <si>
    <t>Aortocaval lymph node (New mets), Left pelvic wall (Recurrence), Left adrenal gland (New mets)</t>
  </si>
  <si>
    <t>Tamoxifen, Megace</t>
  </si>
  <si>
    <t>CR</t>
  </si>
  <si>
    <t>LH19-46994</t>
  </si>
  <si>
    <t>A17</t>
  </si>
  <si>
    <t>Total laparoscopic hysterectomy + bilateral salpingo-oophorectomy</t>
  </si>
  <si>
    <t>Colorectal cancer</t>
  </si>
  <si>
    <t>LH19-48726</t>
  </si>
  <si>
    <t>A11</t>
  </si>
  <si>
    <t>A7</t>
  </si>
  <si>
    <t>Total Laparoscopic Hysterectomy+BSO</t>
  </si>
  <si>
    <t>LH19-51493</t>
  </si>
  <si>
    <t>Laparotomy with total abdominal hysterectomy, bilateral salpingo-oophorectomy, infracolic omentectomy, bilateral pelvic lymphadenectomy and excision of tumour from sigmoid mesentery.</t>
  </si>
  <si>
    <t>C5</t>
  </si>
  <si>
    <t>Right pelvic node</t>
  </si>
  <si>
    <t>IIIC1</t>
  </si>
  <si>
    <t>Carboplatin (3 cycles)</t>
  </si>
  <si>
    <t>Vaginal vault (Recurrence)</t>
  </si>
  <si>
    <t>Megestrol Acetate, Tamoxifen</t>
  </si>
  <si>
    <t>MR</t>
  </si>
  <si>
    <t>Metastatic Endometrial Cancer</t>
  </si>
  <si>
    <t>LH19-55773</t>
  </si>
  <si>
    <t>A12</t>
  </si>
  <si>
    <t>TAH and BSO and pelvic and paraaortic lymphadenectomy and omentectomy and peritoneal biopsy and adhesiolysis</t>
  </si>
  <si>
    <t>20Gy in 5# (Uterus)</t>
  </si>
  <si>
    <t>Megestrol Acetate, Tamoxifen (3 cycles)</t>
  </si>
  <si>
    <t>LH19-55776</t>
  </si>
  <si>
    <t>A6</t>
  </si>
  <si>
    <t>Total laparoscopic hysterectomy and bilateral salpingo-oophorectomy</t>
  </si>
  <si>
    <t>Brachytherapy 27Gy in 6# (Uterus)</t>
  </si>
  <si>
    <t>Left Para-aortic adenopathy (Recurrence)</t>
  </si>
  <si>
    <t>55Gy in 25# (Uterus)</t>
  </si>
  <si>
    <t>LH20-02467</t>
  </si>
  <si>
    <t>LH20-04733</t>
  </si>
  <si>
    <t>Laparotomy with total abdominal hysterectomy, bilateral salpingo-oophoretomy, peritoneal biopsies and omentectomy</t>
  </si>
  <si>
    <t>see notes from clinical team</t>
  </si>
  <si>
    <t>Pancreatic cancer</t>
  </si>
  <si>
    <t>LH20-11489</t>
  </si>
  <si>
    <t>TAH &amp; BSO</t>
  </si>
  <si>
    <t>LH20-13233</t>
  </si>
  <si>
    <t>A2</t>
  </si>
  <si>
    <t>TAH and Bso and omenctomy and pelvic and paraaortic lymphadenectomy and omentectomy</t>
  </si>
  <si>
    <t>Endomyometrium both walls</t>
  </si>
  <si>
    <t>LH20-13539</t>
  </si>
  <si>
    <t>A19</t>
  </si>
  <si>
    <t>TAH, BSO, pelvic and paraaortic lymph node sampling, infracolic omentectomy</t>
  </si>
  <si>
    <t>LH20-20367</t>
  </si>
  <si>
    <t>Uterine corpus (lower uterine segment)</t>
  </si>
  <si>
    <t>Left Psoas (Recurrence)</t>
  </si>
  <si>
    <t>Megestrol Acetate, Tamoxifen (7 cycles)</t>
  </si>
  <si>
    <t>8Gy in 1# (Uterus)</t>
  </si>
  <si>
    <t>LH20-21078</t>
  </si>
  <si>
    <t>TRH, BSO + pelvic lymph node dissection, omental biopsy, adhesiolysis</t>
  </si>
  <si>
    <t>Parametrium, uterine corpus</t>
  </si>
  <si>
    <t>Pelvis (Recurrence), Liver and Lungs (New mets)</t>
  </si>
  <si>
    <t>LH20-28234</t>
  </si>
  <si>
    <t>Laparotomy, total abdominal hysterectomy, bilateral salpingo-oophorectomy, bilateral pelvic node dissection and infracolic omentectomy</t>
  </si>
  <si>
    <t>LH20-30563</t>
  </si>
  <si>
    <t>A22</t>
  </si>
  <si>
    <t>A20</t>
  </si>
  <si>
    <t>Laparoscopy converted to open adhesiolysis, total abdominal hysterectomy, bilateral salpingo-oophorectomy, pelvic lymphadenectomy and omental biopsy</t>
  </si>
  <si>
    <t>Uterine corpus (Left cornua), Right parametrium</t>
  </si>
  <si>
    <t>LH21-08017</t>
  </si>
  <si>
    <t>Robotic hysterectomy, bilateral salpingo-oophorectomy and bilateral pelvic lymphadenectomy</t>
  </si>
  <si>
    <t>20Gy in 5# (Vagina)</t>
  </si>
  <si>
    <t>LH21-08798</t>
  </si>
  <si>
    <t>Glioblastoma</t>
  </si>
  <si>
    <t>LH21-09194</t>
  </si>
  <si>
    <t>A23</t>
  </si>
  <si>
    <t>Total Laparoscopic Hysterectomy plus Bilateral Salpingo-ophorectomy</t>
  </si>
  <si>
    <t>Previous Breast cancer</t>
  </si>
  <si>
    <t>LH21-21851</t>
  </si>
  <si>
    <t>A10(L)</t>
  </si>
  <si>
    <t>A8(L)</t>
  </si>
  <si>
    <t>Laparotomy/Drainage of ascites/Extensive adhesiolysis/Total abdominal hysterectomy/Bilateral salpingo-oophorectomy/Pelvic and Para-aortic lymphadenectomy/Total omentectomy/Appendicectomy</t>
  </si>
  <si>
    <t>Vaginal vault, Pelvic lymph nodes (Recurrence), Lung (New mets)</t>
  </si>
  <si>
    <t>Anastrozole</t>
  </si>
  <si>
    <t>SD</t>
  </si>
  <si>
    <t>20Gy in 5# (Rectum)</t>
  </si>
  <si>
    <t>LH21-24685</t>
  </si>
  <si>
    <t>Total laparoscopic hysterectomy and R salpingo-oophorectomy</t>
  </si>
  <si>
    <t>LH21-28788</t>
  </si>
  <si>
    <t>Laparotomy/Total abdominal hysterectomy/Bilateral salpingo-oophorectomy/Pelvic and Para-aortic lymphadenectomy/Omentectomy</t>
  </si>
  <si>
    <t>Right and left parametrium</t>
  </si>
  <si>
    <t>LH21-30451</t>
  </si>
  <si>
    <t>TLH &amp; BSO</t>
  </si>
  <si>
    <t>Uterine corpus (R cornua)</t>
  </si>
  <si>
    <t>x</t>
  </si>
  <si>
    <t>LH21-37118</t>
  </si>
  <si>
    <t>Laparotomy/TAH/BSO/Omentectomy/Pelvic and para-aortic lymph node sampling/peritoneal washings</t>
  </si>
  <si>
    <t>LH21-38962</t>
  </si>
  <si>
    <t>TRH and BSO and Pelvic lymphdenectomy and omental biopsy</t>
  </si>
  <si>
    <t>Endometrium, Cervix</t>
  </si>
  <si>
    <t>3B</t>
  </si>
  <si>
    <t>T3BN0M0</t>
  </si>
  <si>
    <t>IIIB</t>
  </si>
  <si>
    <t>Carboplatin, Paclitaxel (5 cycles)</t>
  </si>
  <si>
    <t>45Gy in 25# (Uterus), Btadytherapy 12Gy in 3# (Vaginal vault)</t>
  </si>
  <si>
    <t>Liver, Lungs (New mets), Retroperitoneum, Mediastinal, Left supraclavicular, Periportal and Periceliac lymphadenopathy (new mets)</t>
  </si>
  <si>
    <t>LH22-04761</t>
  </si>
  <si>
    <t>A4</t>
  </si>
  <si>
    <t>Total robotic hysterectomy and bilateral salpingo-oophorecomy</t>
  </si>
  <si>
    <t>31Gy in 17# (Uterus)</t>
  </si>
  <si>
    <t>Cisplatin (4 cycles)</t>
  </si>
  <si>
    <t>LH22-06036</t>
  </si>
  <si>
    <t>LH22-11424</t>
  </si>
  <si>
    <t>LH22-13562</t>
  </si>
  <si>
    <t>Total abdominal hysterectomy, bilateral salpingo-oophorectomy, washings, omentectomy and removal of peritoneal nodules</t>
  </si>
  <si>
    <t>C1</t>
  </si>
  <si>
    <t>Left paracolic gutter peritoneum</t>
  </si>
  <si>
    <t>1 (peritoneal metastases)</t>
  </si>
  <si>
    <t>Megestrol Acetate, Tamoxifen (8 cycles)</t>
  </si>
  <si>
    <t>LH22-14651</t>
  </si>
  <si>
    <t>45Gy in 25# (Uterus)</t>
  </si>
  <si>
    <t>Brachytherapy 20Gy in 4# (Vaginal vault)</t>
  </si>
  <si>
    <t>Megestrel Acetate, Tamoxifen</t>
  </si>
  <si>
    <t>LH22-23825</t>
  </si>
  <si>
    <t>Megestrol Acetate, Tamoxifen (3 Cycles)</t>
  </si>
  <si>
    <t>Anastrozole (1 cycle)</t>
  </si>
  <si>
    <t>LH22-33269</t>
  </si>
  <si>
    <t>A6(L)</t>
  </si>
  <si>
    <t>45Gy in 25# (Uterus), Bradytherapy (vaginal vault)</t>
  </si>
  <si>
    <t>Megestrol Acetate, Tamoxifen (2 cycles)</t>
  </si>
  <si>
    <t>LH22-36561</t>
  </si>
  <si>
    <t>Total Robotic Hysterectomy/Bilateral Salpingo-oophorectomy</t>
  </si>
  <si>
    <t>LH22-46291</t>
  </si>
  <si>
    <t>Total Laparoscopic Hysterectomy; Bilateral Salpingo-oophorectomy; Bilateral Sentinel and bilateral pelvic node sampling; Peritoneal Washings.</t>
  </si>
  <si>
    <t>Cervix</t>
  </si>
  <si>
    <t>LH22-48130</t>
  </si>
  <si>
    <t xml:space="preserve">Staging laparotomy: TAH BSO pelvic and para-aortic lymphadenectomy and omentectomy plus washings. </t>
  </si>
  <si>
    <t>3A</t>
  </si>
  <si>
    <t>T3AN0M0</t>
  </si>
  <si>
    <t>IIIA</t>
  </si>
  <si>
    <t>LH22-48610</t>
  </si>
  <si>
    <t>A1</t>
  </si>
  <si>
    <t>A3</t>
  </si>
  <si>
    <t>TAH, BSO, pelvic LND, omentectomy, and washings for endometrial cancer.</t>
  </si>
  <si>
    <t>Cervix, Lower uterine segment</t>
  </si>
  <si>
    <t>Pelvis (Recurrence), Right lung lower lobe (New mets)</t>
  </si>
  <si>
    <t>Donor ID</t>
  </si>
  <si>
    <t>Specimen number used for screening (if different)</t>
  </si>
  <si>
    <t>Block used for MMR IHC</t>
  </si>
  <si>
    <t>MMR result (normal/abnormal)</t>
  </si>
  <si>
    <t>MLH1 IHC (pos / neg / clonal neg)</t>
  </si>
  <si>
    <t>PMS2 IHC (pos/ neg / clonal neg</t>
  </si>
  <si>
    <t>MSH2 IHC (pos/ neg / clonal neg</t>
  </si>
  <si>
    <t>MSH6 IHC (pos/ neg/ clonal neg)</t>
  </si>
  <si>
    <t>MLH1 promoter hypermethylation (Detected/not detected/not tested)</t>
  </si>
  <si>
    <t>Lynch Syndrome</t>
  </si>
  <si>
    <t>Inferred MSI status</t>
  </si>
  <si>
    <t>P53 status (IHC)</t>
  </si>
  <si>
    <t>Inferred p53 mutation status</t>
  </si>
  <si>
    <t>Indication</t>
  </si>
  <si>
    <t>LDS0002817</t>
  </si>
  <si>
    <t>Abnormal</t>
  </si>
  <si>
    <t>Neg</t>
  </si>
  <si>
    <t>Pos</t>
  </si>
  <si>
    <t>MSI</t>
  </si>
  <si>
    <t>Endometrial carcinoma</t>
  </si>
  <si>
    <t>LDS0002818</t>
  </si>
  <si>
    <t>LDS0002819</t>
  </si>
  <si>
    <t>Detected</t>
  </si>
  <si>
    <t>Unlikely</t>
  </si>
  <si>
    <t>LDS0002820</t>
  </si>
  <si>
    <t>LDS0002821</t>
  </si>
  <si>
    <t>LDS0002822</t>
  </si>
  <si>
    <t>A7, B2</t>
  </si>
  <si>
    <t>LDS0002823</t>
  </si>
  <si>
    <t>Clonal neg</t>
  </si>
  <si>
    <t>LDS0002824</t>
  </si>
  <si>
    <t>PH19295-19</t>
  </si>
  <si>
    <t>LDS0002825</t>
  </si>
  <si>
    <t>LDS0002826</t>
  </si>
  <si>
    <t>LDS0002827</t>
  </si>
  <si>
    <t>LDS0002828</t>
  </si>
  <si>
    <t>LDS0002829</t>
  </si>
  <si>
    <t>LDS0002830</t>
  </si>
  <si>
    <t>A8</t>
  </si>
  <si>
    <t>LDS0002831</t>
  </si>
  <si>
    <t>LDS0002832</t>
  </si>
  <si>
    <t>LH20-04656</t>
  </si>
  <si>
    <t>LDS0002833</t>
  </si>
  <si>
    <t>LDS0002834</t>
  </si>
  <si>
    <t>LH20-05228</t>
  </si>
  <si>
    <t>LDS0002835</t>
  </si>
  <si>
    <t>LDS0002836</t>
  </si>
  <si>
    <t>LDS0002837</t>
  </si>
  <si>
    <t>LDS0002838</t>
  </si>
  <si>
    <t>LDS0002839</t>
  </si>
  <si>
    <t>LDS0002840</t>
  </si>
  <si>
    <t>LH21-1646</t>
  </si>
  <si>
    <t>LDS0002841</t>
  </si>
  <si>
    <t>LDS0002842</t>
  </si>
  <si>
    <t>LH21-19360</t>
  </si>
  <si>
    <t>LDS0002843</t>
  </si>
  <si>
    <t>LDS0002844</t>
  </si>
  <si>
    <t>LH21-26147</t>
  </si>
  <si>
    <t>Biopsy</t>
  </si>
  <si>
    <t>LDS0002845</t>
  </si>
  <si>
    <t>LDS0002846</t>
  </si>
  <si>
    <t>LDS0002847</t>
  </si>
  <si>
    <t>LDS0002848</t>
  </si>
  <si>
    <t>LH21-48980</t>
  </si>
  <si>
    <t>LDS0002849</t>
  </si>
  <si>
    <t>LH22-6055</t>
  </si>
  <si>
    <t>LDS0002850</t>
  </si>
  <si>
    <t>LH22-04631</t>
  </si>
  <si>
    <t>LDS0002851</t>
  </si>
  <si>
    <t>LH22-06678</t>
  </si>
  <si>
    <t>LDS0002852</t>
  </si>
  <si>
    <t>LDS0002853</t>
  </si>
  <si>
    <t>LDS0002854</t>
  </si>
  <si>
    <t>LDS0002855</t>
  </si>
  <si>
    <t>LH22-39633</t>
  </si>
  <si>
    <t>LDS0002856</t>
  </si>
  <si>
    <t>LH22-37219</t>
  </si>
  <si>
    <t>LDS0002857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</si>
  <si>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</si>
  <si>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</si>
  <si>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</si>
  <si>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</si>
  <si>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</si>
  <si>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Immunotherapy naïve</t>
  </si>
  <si>
    <t>Primary tumour</t>
  </si>
  <si>
    <t>AJCC 5</t>
  </si>
  <si>
    <t>Header</t>
  </si>
  <si>
    <t>Column</t>
  </si>
  <si>
    <t>Immunotherapy</t>
  </si>
  <si>
    <t>Immunotherapy only</t>
  </si>
  <si>
    <t>Other specimen</t>
  </si>
  <si>
    <t>AJCC 6</t>
  </si>
  <si>
    <t>A</t>
  </si>
  <si>
    <t>Mixed therapy</t>
  </si>
  <si>
    <t>Mixed treatment</t>
  </si>
  <si>
    <t>AJCC 7</t>
  </si>
  <si>
    <t xml:space="preserve">Any Immunotherapy 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</si>
  <si>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</si>
  <si>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</si>
  <si>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</si>
  <si>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</si>
  <si>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</si>
  <si>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</si>
  <si>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</si>
  <si>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</si>
  <si>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 xml:space="preserve">Specimen is a recurrence 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</si>
  <si>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</si>
  <si>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</si>
  <si>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</si>
  <si>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</si>
  <si>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</si>
  <si>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</si>
  <si>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</si>
  <si>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</si>
  <si>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</si>
  <si>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</si>
  <si>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</si>
  <si>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</si>
  <si>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</si>
  <si>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</si>
  <si>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</si>
  <si>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</si>
  <si>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</si>
  <si>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 xml:space="preserve">Primary Surgery date </t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</si>
  <si>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</si>
  <si>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</si>
  <si>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</si>
  <si>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</si>
  <si>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</si>
  <si>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</si>
  <si>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M</t>
  </si>
  <si>
    <t>N</t>
  </si>
  <si>
    <t>O</t>
  </si>
  <si>
    <t xml:space="preserve">Matched met 1 Surgery Date </t>
  </si>
  <si>
    <t>P</t>
  </si>
  <si>
    <t>Q</t>
  </si>
  <si>
    <t>R</t>
  </si>
  <si>
    <t>S</t>
  </si>
  <si>
    <t>T</t>
  </si>
  <si>
    <t xml:space="preserve">Matched met 2 Surgery Date </t>
  </si>
  <si>
    <t>U</t>
  </si>
  <si>
    <t>V</t>
  </si>
  <si>
    <t>W</t>
  </si>
  <si>
    <t>X</t>
  </si>
  <si>
    <t>Y</t>
  </si>
  <si>
    <t xml:space="preserve">Matched met 3 Surgery Date </t>
  </si>
  <si>
    <t>Z</t>
  </si>
  <si>
    <t>AA</t>
  </si>
  <si>
    <t>AB</t>
  </si>
  <si>
    <t>AC</t>
  </si>
  <si>
    <t>AD</t>
  </si>
  <si>
    <t xml:space="preserve">Matched met 4 Surgery Date </t>
  </si>
  <si>
    <t>AE</t>
  </si>
  <si>
    <t>AF</t>
  </si>
  <si>
    <t>AG</t>
  </si>
  <si>
    <t>AH</t>
  </si>
  <si>
    <t>AI</t>
  </si>
  <si>
    <t xml:space="preserve">Matched met 5 Surgery Date </t>
  </si>
  <si>
    <t>AJ</t>
  </si>
  <si>
    <t>AK</t>
  </si>
  <si>
    <t>AL</t>
  </si>
  <si>
    <t>AM</t>
  </si>
  <si>
    <t>AN</t>
  </si>
  <si>
    <t xml:space="preserve">Matched Normal tissue Surgery Date </t>
  </si>
  <si>
    <t>AO</t>
  </si>
  <si>
    <t>AP</t>
  </si>
  <si>
    <t>AQ</t>
  </si>
  <si>
    <t xml:space="preserve">DOB </t>
  </si>
  <si>
    <t>AR</t>
  </si>
  <si>
    <t>AS</t>
  </si>
  <si>
    <t xml:space="preserve">Age at Diagnosis </t>
  </si>
  <si>
    <t>AT</t>
  </si>
  <si>
    <t>AU</t>
  </si>
  <si>
    <t>AV</t>
  </si>
  <si>
    <t xml:space="preserve">Resection margins clear 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</si>
  <si>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</si>
  <si>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</si>
  <si>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</si>
  <si>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</si>
  <si>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</si>
  <si>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</si>
  <si>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</si>
  <si>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</si>
  <si>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</si>
  <si>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</si>
  <si>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</si>
  <si>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</si>
  <si>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</si>
  <si>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</si>
  <si>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</si>
  <si>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</si>
  <si>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</si>
  <si>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</si>
  <si>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</si>
  <si>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</si>
  <si>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</si>
  <si>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</si>
  <si>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</si>
  <si>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</si>
  <si>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</si>
  <si>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</si>
  <si>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</si>
  <si>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</si>
  <si>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</si>
  <si>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</si>
  <si>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</si>
  <si>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</si>
  <si>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</si>
  <si>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</si>
  <si>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</si>
  <si>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</si>
  <si>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</si>
  <si>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</si>
  <si>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</si>
  <si>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</si>
  <si>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</si>
  <si>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</si>
  <si>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</si>
  <si>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</si>
  <si>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</si>
  <si>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</si>
  <si>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</si>
  <si>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</si>
  <si>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</si>
  <si>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</si>
  <si>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</si>
  <si>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</si>
  <si>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</si>
  <si>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</si>
  <si>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</si>
  <si>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</si>
  <si>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</si>
  <si>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</si>
  <si>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</si>
  <si>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</si>
  <si>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</si>
  <si>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</si>
  <si>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</si>
  <si>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</si>
  <si>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</si>
  <si>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</si>
  <si>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</si>
  <si>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</si>
  <si>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</si>
  <si>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</si>
  <si>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</si>
  <si>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</si>
  <si>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</si>
  <si>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</si>
  <si>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</si>
  <si>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</si>
  <si>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</si>
  <si>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</si>
  <si>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</si>
  <si>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</si>
  <si>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</si>
  <si>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</si>
  <si>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</si>
  <si>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</si>
  <si>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</si>
  <si>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</si>
  <si>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</si>
  <si>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</si>
  <si>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</si>
  <si>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</si>
  <si>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</si>
  <si>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</si>
  <si>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</si>
  <si>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</si>
  <si>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</si>
  <si>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</si>
  <si>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</si>
  <si>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</si>
  <si>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</si>
  <si>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</si>
  <si>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</si>
  <si>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</si>
  <si>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</si>
  <si>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</si>
  <si>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</si>
  <si>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</si>
  <si>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</si>
  <si>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</si>
  <si>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</si>
  <si>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</si>
  <si>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</si>
  <si>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</si>
  <si>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</si>
  <si>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</si>
  <si>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</si>
  <si>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</si>
  <si>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</si>
  <si>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</si>
  <si>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</si>
  <si>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</si>
  <si>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</si>
  <si>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</si>
  <si>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</si>
  <si>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</si>
  <si>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</si>
  <si>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</si>
  <si>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</si>
  <si>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</si>
  <si>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</si>
  <si>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</si>
  <si>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</si>
  <si>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</si>
  <si>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</si>
  <si>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</si>
  <si>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</si>
  <si>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</si>
  <si>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</si>
  <si>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</si>
  <si>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</si>
  <si>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</si>
  <si>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</si>
  <si>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</si>
  <si>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</si>
  <si>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</si>
  <si>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</si>
  <si>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</si>
  <si>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</si>
  <si>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</si>
  <si>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</si>
  <si>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</si>
  <si>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</si>
  <si>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</si>
  <si>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</si>
  <si>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</si>
  <si>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</si>
  <si>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</si>
  <si>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</si>
  <si>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</si>
  <si>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</si>
  <si>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</si>
  <si>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</si>
  <si>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</si>
  <si>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</si>
  <si>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</si>
  <si>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</si>
  <si>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</si>
  <si>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</si>
  <si>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</si>
  <si>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</si>
  <si>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</si>
  <si>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</si>
  <si>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</si>
  <si>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</si>
  <si>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</si>
  <si>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</si>
  <si>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</si>
  <si>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</si>
  <si>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</si>
  <si>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</si>
  <si>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</si>
  <si>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</si>
  <si>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</si>
  <si>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</si>
  <si>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</si>
  <si>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</si>
  <si>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</si>
  <si>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</si>
  <si>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</si>
  <si>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</si>
  <si>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</si>
  <si>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</si>
  <si>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</si>
  <si>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</si>
  <si>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</si>
  <si>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</si>
  <si>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</si>
  <si>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</si>
  <si>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</si>
  <si>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</si>
  <si>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</si>
  <si>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</si>
  <si>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</si>
  <si>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</si>
  <si>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</si>
  <si>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</si>
  <si>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</si>
  <si>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</si>
  <si>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</si>
  <si>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</si>
  <si>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</si>
  <si>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</si>
  <si>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</si>
  <si>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</si>
  <si>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</si>
  <si>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</si>
  <si>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</si>
  <si>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</si>
  <si>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</si>
  <si>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</si>
  <si>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</si>
  <si>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</si>
  <si>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</si>
  <si>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</si>
  <si>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</si>
  <si>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</si>
  <si>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</si>
  <si>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</si>
  <si>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</si>
  <si>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</si>
  <si>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</si>
  <si>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</si>
  <si>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</si>
  <si>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</si>
  <si>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</si>
  <si>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</si>
  <si>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</si>
  <si>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</si>
  <si>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</si>
  <si>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</si>
  <si>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</si>
  <si>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</si>
  <si>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</si>
  <si>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</si>
  <si>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</si>
  <si>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</si>
  <si>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</si>
  <si>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</si>
  <si>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</si>
  <si>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</si>
  <si>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</si>
  <si>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</si>
  <si>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</si>
  <si>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</si>
  <si>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</si>
  <si>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</si>
  <si>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</si>
  <si>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</si>
  <si>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</si>
  <si>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</si>
  <si>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</si>
  <si>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</si>
  <si>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</si>
  <si>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</si>
  <si>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</si>
  <si>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</si>
  <si>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</si>
  <si>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</si>
  <si>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</si>
  <si>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</si>
  <si>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</si>
  <si>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</si>
  <si>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</si>
  <si>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</si>
  <si>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</si>
  <si>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</si>
  <si>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</si>
  <si>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</si>
  <si>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</si>
  <si>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</si>
  <si>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</si>
  <si>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</si>
  <si>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</si>
  <si>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</si>
  <si>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</si>
  <si>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</si>
  <si>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</si>
  <si>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</si>
  <si>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</si>
  <si>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</si>
  <si>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</si>
  <si>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</si>
  <si>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</si>
  <si>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</si>
  <si>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</si>
  <si>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</si>
  <si>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</si>
  <si>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</si>
  <si>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</si>
  <si>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</si>
  <si>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</si>
  <si>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</si>
  <si>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</si>
  <si>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</si>
  <si>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</si>
  <si>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</si>
  <si>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</si>
  <si>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</si>
  <si>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</si>
  <si>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</si>
  <si>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</si>
  <si>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</si>
  <si>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</si>
  <si>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</si>
  <si>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</si>
  <si>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</si>
  <si>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</si>
  <si>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</si>
  <si>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</si>
  <si>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</si>
  <si>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</si>
  <si>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</si>
  <si>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</si>
  <si>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</si>
  <si>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</si>
  <si>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</si>
  <si>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</si>
  <si>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</si>
  <si>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</si>
  <si>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</si>
  <si>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</si>
  <si>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</si>
  <si>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</si>
  <si>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</si>
  <si>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</si>
  <si>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</si>
  <si>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</si>
  <si>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</si>
  <si>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</si>
  <si>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</si>
  <si>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</si>
  <si>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</si>
  <si>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</si>
  <si>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</si>
  <si>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</si>
  <si>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</si>
  <si>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</si>
  <si>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</si>
  <si>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</si>
  <si>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</si>
  <si>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</si>
  <si>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</si>
  <si>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</si>
  <si>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</si>
  <si>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</si>
  <si>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</si>
  <si>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</si>
  <si>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</si>
  <si>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</si>
  <si>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</si>
  <si>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</si>
  <si>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</si>
  <si>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</si>
  <si>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</si>
  <si>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</si>
  <si>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</si>
  <si>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</si>
  <si>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</si>
  <si>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</si>
  <si>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</si>
  <si>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</si>
  <si>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</si>
  <si>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</si>
  <si>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</si>
  <si>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</si>
  <si>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</si>
  <si>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</si>
  <si>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</si>
  <si>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</si>
  <si>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</si>
  <si>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</si>
  <si>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</si>
  <si>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</si>
  <si>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</si>
  <si>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</si>
  <si>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</si>
  <si>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</si>
  <si>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</si>
  <si>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</si>
  <si>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 xml:space="preserve">TTE Primary Surgery date </t>
  </si>
  <si>
    <t>LG</t>
  </si>
  <si>
    <t xml:space="preserve">TTE Matched met 1 Surgery Date </t>
  </si>
  <si>
    <t>LH</t>
  </si>
  <si>
    <t xml:space="preserve">TTE Matched met 2 Surgery Date </t>
  </si>
  <si>
    <t>LI</t>
  </si>
  <si>
    <t xml:space="preserve">TTE Matched met 3 Surgery Date </t>
  </si>
  <si>
    <t>LJ</t>
  </si>
  <si>
    <t xml:space="preserve">TTE Matched met 4 Surgery Date </t>
  </si>
  <si>
    <t>LK</t>
  </si>
  <si>
    <t xml:space="preserve">TTE Matched met 5 Surgery Date </t>
  </si>
  <si>
    <t>LL</t>
  </si>
  <si>
    <t xml:space="preserve">TTE Matched Normal tissue Surgery Date 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</si>
  <si>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</si>
  <si>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</si>
  <si>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</si>
  <si>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</si>
  <si>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</si>
  <si>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</si>
  <si>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</si>
  <si>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</si>
  <si>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</si>
  <si>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</si>
  <si>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</si>
  <si>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</si>
  <si>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</si>
  <si>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</si>
  <si>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</si>
  <si>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</si>
  <si>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</si>
  <si>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</si>
  <si>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</si>
  <si>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</si>
  <si>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</si>
  <si>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</si>
  <si>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</si>
  <si>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</si>
  <si>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</si>
  <si>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</si>
  <si>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</si>
  <si>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</si>
  <si>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</si>
  <si>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</si>
  <si>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</si>
  <si>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</si>
  <si>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</si>
  <si>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</si>
  <si>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</si>
  <si>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</si>
  <si>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</si>
  <si>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</si>
  <si>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</si>
  <si>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</si>
  <si>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</si>
  <si>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</si>
  <si>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</si>
  <si>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</si>
  <si>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</si>
  <si>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</si>
  <si>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</si>
  <si>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</si>
  <si>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</si>
  <si>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</si>
  <si>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</si>
  <si>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</si>
  <si>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</si>
  <si>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</si>
  <si>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</si>
  <si>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</si>
  <si>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</si>
  <si>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</si>
  <si>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</si>
  <si>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</si>
  <si>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</si>
  <si>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</si>
  <si>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</si>
  <si>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</si>
  <si>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</si>
  <si>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</si>
  <si>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</si>
  <si>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</si>
  <si>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</si>
  <si>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</si>
  <si>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</si>
  <si>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</si>
  <si>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</si>
  <si>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</si>
  <si>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</si>
  <si>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</si>
  <si>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</si>
  <si>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</si>
  <si>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</si>
  <si>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</si>
  <si>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</si>
  <si>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</si>
  <si>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</si>
  <si>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</si>
  <si>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</si>
  <si>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</si>
  <si>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</si>
  <si>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</si>
  <si>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</si>
  <si>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</si>
  <si>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</si>
  <si>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</si>
  <si>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</si>
  <si>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</si>
  <si>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</si>
  <si>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</si>
  <si>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</si>
  <si>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</si>
  <si>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</si>
  <si>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</si>
  <si>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</si>
  <si>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</si>
  <si>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</si>
  <si>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</si>
  <si>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</si>
  <si>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</si>
  <si>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</si>
  <si>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</si>
  <si>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</si>
  <si>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</si>
  <si>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</si>
  <si>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</si>
  <si>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</si>
  <si>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</si>
  <si>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</si>
  <si>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</si>
  <si>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</si>
  <si>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</si>
  <si>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</si>
  <si>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</si>
  <si>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</si>
  <si>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</si>
  <si>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</si>
  <si>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</si>
  <si>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</si>
  <si>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</si>
  <si>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</si>
  <si>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</si>
  <si>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</si>
  <si>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</si>
  <si>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</si>
  <si>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</si>
  <si>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</si>
  <si>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</si>
  <si>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</si>
  <si>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</si>
  <si>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</si>
  <si>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</si>
  <si>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</si>
  <si>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</si>
  <si>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</si>
  <si>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</si>
  <si>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</si>
  <si>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</si>
  <si>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</si>
  <si>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</si>
  <si>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</si>
  <si>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</si>
  <si>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</si>
  <si>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</si>
  <si>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</si>
  <si>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</si>
  <si>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</si>
  <si>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</si>
  <si>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NHS Number</t>
  </si>
  <si>
    <t>TTE Error Reasoning</t>
  </si>
  <si>
    <t xml:space="preserve">1- TTE Date Last Follow (33.00) Up is greater than or equal to TTE Death (33.00) 
</t>
  </si>
  <si>
    <t xml:space="preserve">2- TTE Date Last Follow (34.00) Up is greater than or equal to TTE Death (34.00) 
</t>
  </si>
  <si>
    <t xml:space="preserve">3- TTE Date Last Follow (36.00) Up is greater than or equal to TTE Death (36.00) 
</t>
  </si>
  <si>
    <t xml:space="preserve">4- TTE Date Last Follow (39.00) Up is greater than or equal to TTE Death (39.00)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</si>
</sst>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wrapText="1"/>
    </xf>
    <xf numFmtId="0" fontId="11" fillId="0" borderId="7" xfId="0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9" xfId="0" applyFont="1" applyBorder="1"/>
    <xf numFmtId="0" fontId="9" fillId="0" borderId="0" xfId="0" quotePrefix="1" applyFont="1"/>
    <xf numFmtId="0" fontId="15" fillId="0" borderId="0" xfId="0" applyFont="1"/>
    <xf numFmtId="0" fontId="11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left"/>
    </xf>
    <xf numFmtId="0" fontId="9" fillId="0" borderId="7" xfId="0" quotePrefix="1" applyFont="1" applyBorder="1"/>
    <xf numFmtId="0" fontId="13" fillId="0" borderId="7" xfId="0" applyFont="1" applyBorder="1"/>
    <xf numFmtId="0" fontId="9" fillId="0" borderId="7" xfId="1" quotePrefix="1" applyFont="1" applyBorder="1" applyAlignment="1">
      <alignment horizontal="left"/>
    </xf>
    <xf numFmtId="0" fontId="14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12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0" fontId="3" fillId="0" borderId="0" xfId="0" applyFont="1" applyAlignment="1">
      <alignment horizontal="left"/>
    </xf>
    <xf numFmtId="0" fontId="5" fillId="0" borderId="10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left" wrapText="1"/>
    </xf>
    <xf numFmtId="165" fontId="5" fillId="0" borderId="4" xfId="0" applyNumberFormat="1" applyFont="1" applyBorder="1" applyAlignment="1">
      <alignment wrapText="1"/>
    </xf>
    <xf numFmtId="165" fontId="3" fillId="0" borderId="12" xfId="0" applyNumberFormat="1" applyFont="1" applyBorder="1" applyAlignment="1">
      <alignment horizontal="left" wrapText="1"/>
    </xf>
    <xf numFmtId="165" fontId="3" fillId="0" borderId="6" xfId="0" applyNumberFormat="1" applyFont="1" applyBorder="1" applyAlignment="1">
      <alignment horizontal="left" wrapText="1"/>
    </xf>
    <xf numFmtId="0" fontId="5" fillId="0" borderId="6" xfId="0" applyFont="1" applyBorder="1" applyAlignment="1">
      <alignment wrapText="1"/>
    </xf>
    <xf numFmtId="165" fontId="5" fillId="0" borderId="11" xfId="0" applyNumberFormat="1" applyFont="1" applyBorder="1" applyAlignment="1">
      <alignment horizontal="right" wrapText="1"/>
    </xf>
    <xf numFmtId="165" fontId="5" fillId="0" borderId="11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wrapText="1"/>
    </xf>
    <xf numFmtId="0" fontId="5" fillId="12" borderId="0" xfId="0" applyFont="1" applyFill="1" applyAlignment="1">
      <alignment wrapText="1"/>
    </xf>
    <xf numFmtId="164" fontId="6" fillId="5" borderId="9" xfId="1" applyNumberFormat="1" applyFont="1" applyFill="1" applyBorder="1" applyAlignment="1">
      <alignment horizontal="center" vertical="center" wrapText="1"/>
    </xf>
    <xf numFmtId="164" fontId="7" fillId="5" borderId="9" xfId="1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left" wrapText="1"/>
    </xf>
    <xf numFmtId="0" fontId="17" fillId="0" borderId="9" xfId="0" applyFont="1" applyBorder="1"/>
    <xf numFmtId="0" fontId="17" fillId="11" borderId="9" xfId="0" applyFont="1" applyFill="1" applyBorder="1" applyAlignment="1">
      <alignment horizontal="left" wrapText="1"/>
    </xf>
    <xf numFmtId="0" fontId="18" fillId="0" borderId="9" xfId="0" applyFont="1" applyBorder="1" applyAlignment="1" applyProtection="1">
      <alignment horizontal="left"/>
      <protection locked="0"/>
    </xf>
    <xf numFmtId="0" fontId="18" fillId="0" borderId="9" xfId="0" applyFont="1" applyBorder="1"/>
    <xf numFmtId="0" fontId="5" fillId="0" borderId="9" xfId="0" applyFont="1" applyBorder="1" applyAlignment="1">
      <alignment wrapText="1"/>
    </xf>
    <xf numFmtId="0" fontId="19" fillId="0" borderId="9" xfId="0" applyFont="1" applyBorder="1"/>
    <xf numFmtId="0" fontId="17" fillId="11" borderId="9" xfId="0" applyFont="1" applyFill="1" applyBorder="1"/>
    <xf numFmtId="0" fontId="17" fillId="12" borderId="9" xfId="0" applyFont="1" applyFill="1" applyBorder="1"/>
    <xf numFmtId="0" fontId="18" fillId="12" borderId="9" xfId="0" applyFont="1" applyFill="1" applyBorder="1"/>
    <xf numFmtId="0" fontId="17" fillId="0" borderId="0" xfId="0" applyFont="1" applyAlignment="1">
      <alignment horizontal="left" wrapText="1"/>
    </xf>
    <xf numFmtId="164" fontId="7" fillId="11" borderId="0" xfId="1" applyNumberFormat="1" applyFont="1" applyFill="1" applyAlignment="1">
      <alignment horizontal="center" vertical="center" wrapText="1"/>
    </xf>
    <xf numFmtId="0" fontId="0" fillId="11" borderId="0" xfId="0" applyFill="1"/>
    <xf numFmtId="164" fontId="3" fillId="0" borderId="12" xfId="0" applyNumberFormat="1" applyFont="1" applyBorder="1" applyAlignment="1">
      <alignment wrapText="1"/>
    </xf>
    <xf numFmtId="164" fontId="3" fillId="0" borderId="12" xfId="0" applyNumberFormat="1" applyFont="1" applyBorder="1" applyAlignment="1">
      <alignment horizontal="left"/>
    </xf>
    <xf numFmtId="164" fontId="6" fillId="6" borderId="6" xfId="0" applyNumberFormat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left"/>
    </xf>
    <xf numFmtId="0" fontId="3" fillId="12" borderId="8" xfId="1" applyFont="1" applyFill="1" applyBorder="1" applyAlignment="1">
      <alignment horizontal="left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4" xfId="0" applyFont="1" applyBorder="1"/>
    <xf numFmtId="165" fontId="3" fillId="0" borderId="4" xfId="0" applyNumberFormat="1" applyFont="1" applyBorder="1" applyAlignment="1">
      <alignment horizontal="left" wrapText="1"/>
    </xf>
    <xf numFmtId="165" fontId="3" fillId="0" borderId="11" xfId="0" applyNumberFormat="1" applyFont="1" applyBorder="1" applyAlignment="1">
      <alignment horizontal="left" wrapText="1"/>
    </xf>
    <xf numFmtId="165" fontId="5" fillId="0" borderId="4" xfId="0" applyNumberFormat="1" applyFont="1" applyBorder="1" applyAlignment="1">
      <alignment horizontal="right" wrapText="1"/>
    </xf>
    <xf numFmtId="0" fontId="3" fillId="0" borderId="4" xfId="0" quotePrefix="1" applyFont="1" applyBorder="1"/>
    <xf numFmtId="0" fontId="3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wrapText="1"/>
    </xf>
    <xf numFmtId="164" fontId="3" fillId="0" borderId="11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0" fontId="3" fillId="0" borderId="4" xfId="1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3" fillId="0" borderId="4" xfId="0" quotePrefix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0" fontId="0" fillId="0" borderId="7" xfId="0" applyBorder="1"/>
    <xf numFmtId="164" fontId="7" fillId="5" borderId="2" xfId="1" applyNumberFormat="1" applyFont="1" applyFill="1" applyBorder="1" applyAlignment="1">
      <alignment horizontal="center" vertical="center" wrapText="1"/>
    </xf>
    <xf numFmtId="164" fontId="6" fillId="4" borderId="3" xfId="1" applyNumberFormat="1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 wrapText="1"/>
    </xf>
    <xf numFmtId="164" fontId="7" fillId="4" borderId="5" xfId="1" applyNumberFormat="1" applyFont="1" applyFill="1" applyBorder="1" applyAlignment="1">
      <alignment horizontal="center" vertical="center" wrapText="1"/>
    </xf>
    <xf numFmtId="165" fontId="7" fillId="4" borderId="5" xfId="1" applyNumberFormat="1" applyFont="1" applyFill="1" applyBorder="1" applyAlignment="1">
      <alignment horizontal="center" vertical="center" wrapText="1"/>
    </xf>
    <xf numFmtId="166" fontId="6" fillId="4" borderId="11" xfId="1" applyNumberFormat="1" applyFont="1" applyFill="1" applyBorder="1" applyAlignment="1">
      <alignment horizontal="center" vertical="center" wrapText="1"/>
    </xf>
    <xf numFmtId="165" fontId="6" fillId="4" borderId="11" xfId="1" applyNumberFormat="1" applyFont="1" applyFill="1" applyBorder="1" applyAlignment="1">
      <alignment horizontal="center" vertical="center" wrapText="1"/>
    </xf>
    <xf numFmtId="164" fontId="6" fillId="4" borderId="13" xfId="1" applyNumberFormat="1" applyFont="1" applyFill="1" applyBorder="1" applyAlignment="1">
      <alignment horizontal="center" vertical="center" wrapText="1"/>
    </xf>
    <xf numFmtId="165" fontId="7" fillId="4" borderId="11" xfId="1" applyNumberFormat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164" fontId="7" fillId="4" borderId="11" xfId="1" applyNumberFormat="1" applyFont="1" applyFill="1" applyBorder="1" applyAlignment="1">
      <alignment horizontal="center" vertical="center" wrapText="1"/>
    </xf>
    <xf numFmtId="164" fontId="7" fillId="4" borderId="13" xfId="1" applyNumberFormat="1" applyFont="1" applyFill="1" applyBorder="1" applyAlignment="1">
      <alignment horizontal="center" vertical="center" wrapText="1"/>
    </xf>
    <xf numFmtId="164" fontId="7" fillId="5" borderId="11" xfId="1" applyNumberFormat="1" applyFont="1" applyFill="1" applyBorder="1" applyAlignment="1">
      <alignment horizontal="center" vertical="center" wrapText="1"/>
    </xf>
    <xf numFmtId="1" fontId="7" fillId="5" borderId="11" xfId="1" applyNumberFormat="1" applyFont="1" applyFill="1" applyBorder="1" applyAlignment="1">
      <alignment horizontal="center" vertical="center" wrapText="1"/>
    </xf>
    <xf numFmtId="0" fontId="7" fillId="5" borderId="11" xfId="1" applyFont="1" applyFill="1" applyBorder="1" applyAlignment="1">
      <alignment horizontal="center" vertical="center" wrapText="1"/>
    </xf>
    <xf numFmtId="165" fontId="7" fillId="5" borderId="11" xfId="1" applyNumberFormat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165" fontId="7" fillId="3" borderId="11" xfId="1" applyNumberFormat="1" applyFont="1" applyFill="1" applyBorder="1" applyAlignment="1">
      <alignment horizontal="center" vertical="center" wrapText="1"/>
    </xf>
    <xf numFmtId="165" fontId="6" fillId="2" borderId="11" xfId="1" applyNumberFormat="1" applyFont="1" applyFill="1" applyBorder="1" applyAlignment="1">
      <alignment horizontal="center" vertical="center" wrapText="1"/>
    </xf>
    <xf numFmtId="164" fontId="6" fillId="2" borderId="11" xfId="1" applyNumberFormat="1" applyFont="1" applyFill="1" applyBorder="1" applyAlignment="1">
      <alignment horizontal="center" vertical="center" wrapText="1"/>
    </xf>
    <xf numFmtId="0" fontId="7" fillId="9" borderId="11" xfId="1" applyFont="1" applyFill="1" applyBorder="1" applyAlignment="1">
      <alignment horizontal="center" vertical="center" wrapText="1"/>
    </xf>
    <xf numFmtId="165" fontId="7" fillId="9" borderId="11" xfId="1" applyNumberFormat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 wrapText="1"/>
    </xf>
    <xf numFmtId="165" fontId="7" fillId="3" borderId="5" xfId="1" applyNumberFormat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164" fontId="6" fillId="8" borderId="11" xfId="2" applyNumberFormat="1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164" fontId="6" fillId="6" borderId="11" xfId="0" applyNumberFormat="1" applyFont="1" applyFill="1" applyBorder="1" applyAlignment="1">
      <alignment horizontal="center" vertical="center" wrapText="1"/>
    </xf>
    <xf numFmtId="164" fontId="6" fillId="7" borderId="11" xfId="0" applyNumberFormat="1" applyFont="1" applyFill="1" applyBorder="1" applyAlignment="1">
      <alignment horizontal="center" vertical="center" wrapText="1"/>
    </xf>
    <xf numFmtId="164" fontId="6" fillId="5" borderId="11" xfId="1" applyNumberFormat="1" applyFont="1" applyFill="1" applyBorder="1" applyAlignment="1">
      <alignment horizontal="center" vertical="center" wrapText="1"/>
    </xf>
    <xf numFmtId="164" fontId="6" fillId="5" borderId="14" xfId="1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11" xfId="0" applyFont="1" applyBorder="1" applyAlignment="1">
      <alignment horizontal="left" wrapText="1"/>
    </xf>
    <xf numFmtId="0" fontId="5" fillId="0" borderId="11" xfId="0" applyFont="1" applyBorder="1"/>
    <xf numFmtId="0" fontId="5" fillId="11" borderId="11" xfId="0" applyFont="1" applyFill="1" applyBorder="1" applyAlignment="1">
      <alignment wrapText="1"/>
    </xf>
    <xf numFmtId="0" fontId="3" fillId="0" borderId="11" xfId="0" applyFont="1" applyBorder="1"/>
    <xf numFmtId="0" fontId="3" fillId="0" borderId="11" xfId="0" applyFont="1" applyBorder="1" applyAlignment="1">
      <alignment horizontal="left" wrapText="1"/>
    </xf>
    <xf numFmtId="0" fontId="3" fillId="11" borderId="11" xfId="0" applyFont="1" applyFill="1" applyBorder="1" applyAlignment="1">
      <alignment horizontal="left" wrapText="1"/>
    </xf>
    <xf numFmtId="0" fontId="5" fillId="0" borderId="11" xfId="0" applyFont="1" applyBorder="1" applyAlignment="1">
      <alignment horizontal="right" wrapText="1"/>
    </xf>
    <xf numFmtId="0" fontId="3" fillId="0" borderId="11" xfId="0" applyFont="1" applyBorder="1" applyAlignment="1">
      <alignment horizontal="left"/>
    </xf>
    <xf numFmtId="1" fontId="3" fillId="0" borderId="11" xfId="0" applyNumberFormat="1" applyFont="1" applyBorder="1" applyAlignment="1">
      <alignment horizontal="left"/>
    </xf>
    <xf numFmtId="164" fontId="3" fillId="0" borderId="11" xfId="0" applyNumberFormat="1" applyFont="1" applyBorder="1" applyAlignment="1">
      <alignment horizontal="left"/>
    </xf>
    <xf numFmtId="165" fontId="3" fillId="0" borderId="11" xfId="0" applyNumberFormat="1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5" fontId="5" fillId="0" borderId="11" xfId="0" applyNumberFormat="1" applyFont="1" applyBorder="1" applyAlignment="1">
      <alignment horizontal="left"/>
    </xf>
    <xf numFmtId="2" fontId="3" fillId="0" borderId="11" xfId="0" applyNumberFormat="1" applyFont="1" applyBorder="1" applyAlignment="1">
      <alignment horizontal="left"/>
    </xf>
    <xf numFmtId="2" fontId="3" fillId="0" borderId="11" xfId="1" applyNumberFormat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5" fillId="11" borderId="11" xfId="0" applyFont="1" applyFill="1" applyBorder="1" applyAlignment="1">
      <alignment horizontal="right" wrapText="1"/>
    </xf>
    <xf numFmtId="0" fontId="20" fillId="0" borderId="11" xfId="0" applyFont="1" applyBorder="1"/>
    <xf numFmtId="49" fontId="3" fillId="0" borderId="11" xfId="0" applyNumberFormat="1" applyFont="1" applyBorder="1" applyAlignment="1">
      <alignment horizontal="left"/>
    </xf>
    <xf numFmtId="165" fontId="3" fillId="0" borderId="11" xfId="0" applyNumberFormat="1" applyFont="1" applyBorder="1" applyAlignment="1">
      <alignment horizontal="right" wrapText="1"/>
    </xf>
    <xf numFmtId="0" fontId="3" fillId="11" borderId="11" xfId="0" applyFont="1" applyFill="1" applyBorder="1"/>
    <xf numFmtId="165" fontId="3" fillId="0" borderId="11" xfId="0" applyNumberFormat="1" applyFont="1" applyBorder="1"/>
    <xf numFmtId="0" fontId="3" fillId="0" borderId="11" xfId="0" applyFont="1" applyBorder="1" applyAlignment="1">
      <alignment horizontal="right" wrapText="1"/>
    </xf>
    <xf numFmtId="0" fontId="5" fillId="11" borderId="11" xfId="0" applyFont="1" applyFill="1" applyBorder="1"/>
    <xf numFmtId="0" fontId="3" fillId="11" borderId="11" xfId="0" applyFont="1" applyFill="1" applyBorder="1" applyAlignment="1">
      <alignment wrapText="1"/>
    </xf>
    <xf numFmtId="0" fontId="22" fillId="0" borderId="11" xfId="0" applyFont="1" applyBorder="1"/>
    <xf numFmtId="0" fontId="21" fillId="0" borderId="11" xfId="0" applyFont="1" applyBorder="1"/>
    <xf numFmtId="0" fontId="5" fillId="4" borderId="11" xfId="0" applyFont="1" applyFill="1" applyBorder="1" applyAlignment="1">
      <alignment horizontal="left" wrapText="1"/>
    </xf>
    <xf numFmtId="0" fontId="16" fillId="0" borderId="11" xfId="0" applyFont="1" applyBorder="1" applyAlignment="1">
      <alignment wrapText="1"/>
    </xf>
    <xf numFmtId="0" fontId="5" fillId="12" borderId="11" xfId="0" applyFont="1" applyFill="1" applyBorder="1" applyAlignment="1">
      <alignment horizontal="left" wrapText="1"/>
    </xf>
    <xf numFmtId="0" fontId="3" fillId="12" borderId="11" xfId="0" applyFont="1" applyFill="1" applyBorder="1" applyAlignment="1">
      <alignment wrapText="1"/>
    </xf>
    <xf numFmtId="0" fontId="5" fillId="12" borderId="11" xfId="0" applyFont="1" applyFill="1" applyBorder="1" applyAlignment="1">
      <alignment wrapText="1"/>
    </xf>
    <xf numFmtId="165" fontId="5" fillId="12" borderId="11" xfId="0" applyNumberFormat="1" applyFont="1" applyFill="1" applyBorder="1" applyAlignment="1">
      <alignment wrapText="1"/>
    </xf>
    <xf numFmtId="0" fontId="5" fillId="12" borderId="11" xfId="0" applyFont="1" applyFill="1" applyBorder="1"/>
    <xf numFmtId="165" fontId="3" fillId="12" borderId="11" xfId="0" applyNumberFormat="1" applyFont="1" applyFill="1" applyBorder="1" applyAlignment="1">
      <alignment horizontal="left" wrapText="1"/>
    </xf>
    <xf numFmtId="164" fontId="3" fillId="12" borderId="11" xfId="0" applyNumberFormat="1" applyFont="1" applyFill="1" applyBorder="1" applyAlignment="1">
      <alignment wrapText="1"/>
    </xf>
    <xf numFmtId="165" fontId="5" fillId="12" borderId="11" xfId="0" applyNumberFormat="1" applyFont="1" applyFill="1" applyBorder="1" applyAlignment="1">
      <alignment horizontal="right" wrapText="1"/>
    </xf>
    <xf numFmtId="0" fontId="3" fillId="12" borderId="11" xfId="0" applyFont="1" applyFill="1" applyBorder="1"/>
    <xf numFmtId="0" fontId="3" fillId="12" borderId="11" xfId="0" applyFont="1" applyFill="1" applyBorder="1" applyAlignment="1">
      <alignment horizontal="left" wrapText="1"/>
    </xf>
    <xf numFmtId="0" fontId="5" fillId="12" borderId="11" xfId="0" applyFont="1" applyFill="1" applyBorder="1" applyAlignment="1">
      <alignment horizontal="right" wrapText="1"/>
    </xf>
    <xf numFmtId="0" fontId="3" fillId="12" borderId="11" xfId="0" applyFont="1" applyFill="1" applyBorder="1" applyAlignment="1">
      <alignment horizontal="left"/>
    </xf>
    <xf numFmtId="2" fontId="3" fillId="12" borderId="11" xfId="0" applyNumberFormat="1" applyFont="1" applyFill="1" applyBorder="1" applyAlignment="1">
      <alignment horizontal="left"/>
    </xf>
    <xf numFmtId="2" fontId="3" fillId="12" borderId="11" xfId="1" applyNumberFormat="1" applyFont="1" applyFill="1" applyBorder="1" applyAlignment="1">
      <alignment horizontal="left"/>
    </xf>
    <xf numFmtId="0" fontId="3" fillId="12" borderId="11" xfId="1" applyFont="1" applyFill="1" applyBorder="1" applyAlignment="1">
      <alignment horizontal="left"/>
    </xf>
    <xf numFmtId="0" fontId="3" fillId="12" borderId="4" xfId="1" applyFont="1" applyFill="1" applyBorder="1" applyAlignment="1">
      <alignment horizontal="left"/>
    </xf>
    <xf numFmtId="14" fontId="5" fillId="0" borderId="11" xfId="0" applyNumberFormat="1" applyFont="1" applyBorder="1" applyAlignment="1">
      <alignment wrapText="1"/>
    </xf>
    <xf numFmtId="0" fontId="5" fillId="0" borderId="12" xfId="0" applyFont="1" applyBorder="1" applyAlignment="1">
      <alignment horizontal="left" wrapText="1"/>
    </xf>
    <xf numFmtId="0" fontId="5" fillId="0" borderId="12" xfId="0" applyFont="1" applyBorder="1" applyAlignment="1">
      <alignment wrapText="1"/>
    </xf>
    <xf numFmtId="0" fontId="5" fillId="0" borderId="12" xfId="0" applyFont="1" applyBorder="1"/>
    <xf numFmtId="0" fontId="5" fillId="11" borderId="12" xfId="0" applyFont="1" applyFill="1" applyBorder="1" applyAlignment="1">
      <alignment wrapText="1"/>
    </xf>
    <xf numFmtId="165" fontId="5" fillId="0" borderId="12" xfId="0" applyNumberFormat="1" applyFont="1" applyBorder="1" applyAlignment="1">
      <alignment horizontal="right" wrapText="1"/>
    </xf>
    <xf numFmtId="0" fontId="3" fillId="0" borderId="12" xfId="0" applyFont="1" applyBorder="1"/>
    <xf numFmtId="0" fontId="3" fillId="0" borderId="12" xfId="0" applyFont="1" applyBorder="1" applyAlignment="1">
      <alignment horizontal="left" wrapText="1"/>
    </xf>
    <xf numFmtId="0" fontId="5" fillId="0" borderId="12" xfId="0" applyFont="1" applyBorder="1" applyAlignment="1">
      <alignment horizontal="right" wrapText="1"/>
    </xf>
    <xf numFmtId="0" fontId="3" fillId="0" borderId="12" xfId="0" applyFont="1" applyBorder="1" applyAlignment="1">
      <alignment horizontal="left"/>
    </xf>
    <xf numFmtId="1" fontId="3" fillId="0" borderId="12" xfId="0" applyNumberFormat="1" applyFont="1" applyBorder="1" applyAlignment="1">
      <alignment horizontal="left"/>
    </xf>
    <xf numFmtId="2" fontId="3" fillId="0" borderId="12" xfId="0" applyNumberFormat="1" applyFont="1" applyBorder="1" applyAlignment="1">
      <alignment horizontal="left"/>
    </xf>
    <xf numFmtId="2" fontId="3" fillId="0" borderId="12" xfId="1" applyNumberFormat="1" applyFont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12" borderId="12" xfId="1" applyFont="1" applyFill="1" applyBorder="1" applyAlignment="1">
      <alignment horizontal="left"/>
    </xf>
    <xf numFmtId="0" fontId="3" fillId="0" borderId="6" xfId="1" applyFont="1" applyBorder="1" applyAlignment="1">
      <alignment horizontal="left"/>
    </xf>
    <xf numFmtId="164" fontId="6" fillId="5" borderId="15" xfId="1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left" wrapText="1"/>
    </xf>
    <xf numFmtId="0" fontId="18" fillId="0" borderId="15" xfId="0" applyFont="1" applyBorder="1" applyAlignment="1" applyProtection="1">
      <alignment horizontal="left"/>
      <protection locked="0"/>
    </xf>
    <xf numFmtId="0" fontId="17" fillId="0" borderId="15" xfId="0" applyFont="1" applyBorder="1" applyAlignment="1">
      <alignment horizontal="left"/>
    </xf>
    <xf numFmtId="0" fontId="17" fillId="12" borderId="15" xfId="0" applyFon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37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D340D889-24B4-430D-A9CF-B8DFD299DBD4}" userId="S::m.cummings3@nhs.net::464af9cb-2ac6-4a60-90d5-810b97c47694" providerId="AD"/>
  <person displayName="MISTRY, Bejal (LEEDS TEACHING HOSPITALS NHS TRUST)" id="{07886208-BBEF-41FA-9EB2-4A146C88B429}" userId="S::bejal.mistry@nhs.net::712afec3-5ad3-47db-9e27-212df6cf6495" providerId="AD"/>
  <person displayName="FREER, Clare (LEEDS TEACHING HOSPITALS NHS TRUST)" id="{2A5FE3D6-A1D2-49BE-9AB9-338FF002D1C9}" userId="S::clare.freer2@nhs.net::38188dba-d054-4eda-9019-5e8a7b85df14" providerId="AD"/>
  <person displayName="ALLEN, Katie (LEEDS TEACHING HOSPITALS NHS TRUST)" id="{BB3219FE-CB47-4D1E-B531-6BA85F1567A4}" userId="S::katie.allen4@nhs.net::a1d85871-937c-453d-a671-ff1948ef2c8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B7FA5C-0512-4A8E-8914-2164F331733A}" name="FollowUp_1" displayName="FollowUp_1" ref="A3:HK45" totalsRowShown="0" tableBorderDxfId="223">
  <autoFilter ref="A3:HK45" xr:uid="{D7B7FA5C-0512-4A8E-8914-2164F331733A}"/>
  <tableColumns count="219">
    <tableColumn id="1" xr3:uid="{CED2E6C1-60BC-473A-BB74-D61B40EAEDB0}" name="NHS number" dataDxfId="222"/>
    <tableColumn id="2" xr3:uid="{5606AAFB-1F15-4F12-8484-6BD181820D3C}" name="Any Immunotherapy" dataDxfId="221"/>
    <tableColumn id="3" xr3:uid="{6640C123-7753-4BE0-AD78-59E7DB38BEC2}" name="Specimen treatment subgrouping" dataDxfId="220"/>
    <tableColumn id="4" xr3:uid="{441FF5B6-3458-414B-9A6D-F7864AB893A5}" name="Specimen is a recurrence" dataDxfId="219"/>
    <tableColumn id="5" xr3:uid="{1DF60EEE-B1D4-44CF-A4C9-5BE2CFAB53EB}" name="Selected specimen Anonymised ID" dataDxfId="218"/>
    <tableColumn id="6" xr3:uid="{B07C8346-33EB-4C90-AF90-A01F1D99E286}" name="Specimen Block number 1" dataDxfId="217"/>
    <tableColumn id="7" xr3:uid="{4522291E-1782-4F4F-9620-11BDA3BCB575}" name="Specimen Block number 2" dataDxfId="216"/>
    <tableColumn id="8" xr3:uid="{731ADC2F-4203-48E8-9CFD-3FADEE032228}" name="Specimen surgery date" dataDxfId="215"/>
    <tableColumn id="9" xr3:uid="{835FAE68-34A0-4CED-9772-B06E69C3FDDF}" name="Specimen surgery" dataDxfId="214"/>
    <tableColumn id="10" xr3:uid="{DF9D9D34-E400-4C51-8B9B-3E7DA6B61516}" name="Specimen tumour site" dataDxfId="213"/>
    <tableColumn id="11" xr3:uid="{1BA0FD7F-97F6-4857-9E1B-6B62E7830675}" name="Primary Surgery date" dataDxfId="212"/>
    <tableColumn id="12" xr3:uid="{EBDE16C4-3C1E-4491-A2D2-3B6E75822BE6}" name="Primary tumour site" dataDxfId="211"/>
    <tableColumn id="13" xr3:uid="{60EE4561-451F-4B7F-AA22-7C7A2A98E148}" name="Anonymized ID Matched met 1" dataDxfId="210"/>
    <tableColumn id="14" xr3:uid="{22EDCEF5-A2A9-447E-BEB5-FAD19957438B}" name="Matched met 1 Block Number" dataDxfId="209"/>
    <tableColumn id="15" xr3:uid="{A5289948-4E7C-4778-9C65-30DA0D0E2842}" name="Matched met 1 Site" dataDxfId="208"/>
    <tableColumn id="16" xr3:uid="{5775C9F1-99B6-4575-99DB-87AB5D66C99F}" name="Matched met 1 Surgery Date" dataDxfId="207"/>
    <tableColumn id="17" xr3:uid="{12763EA1-5A1E-4791-A5FC-CB57CF3A064A}" name="Matched met 1 treatment subgrouping" dataDxfId="206"/>
    <tableColumn id="18" xr3:uid="{70C88166-AD95-4C4C-BE73-B2065F011061}" name="Anonymized ID Matched met 2" dataDxfId="205"/>
    <tableColumn id="19" xr3:uid="{2D834DF7-5BB6-4277-B384-23E61E645FF6}" name="Matched met 2 Block Number" dataDxfId="204"/>
    <tableColumn id="20" xr3:uid="{D47CB5B6-09FA-4A4E-B4F8-46A99892FB21}" name="Matched met 2 Site" dataDxfId="203"/>
    <tableColumn id="21" xr3:uid="{81F8EAB8-A249-4184-ABCF-094D47324E44}" name="Matched met 2 Surgery Date" dataDxfId="202"/>
    <tableColumn id="22" xr3:uid="{0215E91D-DBEB-4CB3-A7CD-58514EC009A0}" name="Matched met 2 treatment subgrouping" dataDxfId="201"/>
    <tableColumn id="23" xr3:uid="{105E8562-00DE-4CD2-9F43-AD254E7A462E}" name="Anonymized ID Matched met 3" dataDxfId="200"/>
    <tableColumn id="24" xr3:uid="{B4CE6373-2541-4A3D-8C85-2E0A760CF9BD}" name="Matched met 3 Block Number" dataDxfId="199"/>
    <tableColumn id="25" xr3:uid="{D2B79338-C781-4FDF-9DBE-233616E4DEAA}" name="Matched met 3 Site" dataDxfId="198"/>
    <tableColumn id="26" xr3:uid="{1212B486-58EA-4052-8921-AB6361D1F8E7}" name="Matched met 3 Surgery Date" dataDxfId="197"/>
    <tableColumn id="27" xr3:uid="{038BFB5A-01C2-44F2-A9D7-EF461F9CE10D}" name="Matched met 3 treatment subgrouping" dataDxfId="196"/>
    <tableColumn id="28" xr3:uid="{4B560F08-58E0-49F9-9B0A-4B0A45A662ED}" name="Anonymized ID Matched met 4" dataDxfId="195"/>
    <tableColumn id="29" xr3:uid="{49F7EC3A-356C-4FCD-9C06-B70A305A906C}" name="Matched met 4 Block Number" dataDxfId="194"/>
    <tableColumn id="30" xr3:uid="{0761F1B8-709A-4715-A906-F4A340702524}" name="Matched met 4 Site" dataDxfId="193"/>
    <tableColumn id="31" xr3:uid="{1D0FFBFB-5375-4EDD-B134-A91363F978AF}" name="Matched met 4 Surgery Date" dataDxfId="192"/>
    <tableColumn id="32" xr3:uid="{A7669C10-BA05-4687-B46F-15F478E47F36}" name="Matched met 4 treatment subgrouping" dataDxfId="191"/>
    <tableColumn id="33" xr3:uid="{5E154AA0-E3BD-443D-864B-D57ACB86981F}" name="Anonymized ID Matched met 5" dataDxfId="190"/>
    <tableColumn id="34" xr3:uid="{1459698C-9315-48E1-B312-A72851C36762}" name="Matched met 5 Block Number" dataDxfId="189"/>
    <tableColumn id="35" xr3:uid="{F04819A7-9580-4AB4-AFA7-D3E7805DECFE}" name="Matched met 5 Site" dataDxfId="188"/>
    <tableColumn id="36" xr3:uid="{B5FB1B1B-0C5B-4C60-B074-659CE62D9FA1}" name="Matched met 5 Surgery Date" dataDxfId="187"/>
    <tableColumn id="37" xr3:uid="{F190F00B-584A-4580-9A8B-B08BC216D874}" name="Matched met 5 treatment subgrouping" dataDxfId="186"/>
    <tableColumn id="38" xr3:uid="{E5705285-D91E-4A1C-AB1D-471F27904352}" name="Anonymized ID Normal tissue" dataDxfId="185"/>
    <tableColumn id="39" xr3:uid="{C3BA07B9-43E8-41E8-85AB-2843E817F51B}" name="Matched Normal tissue Block Number" dataDxfId="184"/>
    <tableColumn id="40" xr3:uid="{0D0C7E52-C0A0-47C4-8459-8117705D05F7}" name="Matched Normal tissue Site" dataDxfId="183"/>
    <tableColumn id="41" xr3:uid="{7F0260D7-3E31-4B42-8208-0F35522A5E7C}" name="Matched Normal tissue Surgery Date" dataDxfId="182"/>
    <tableColumn id="42" xr3:uid="{EB9CDB0A-94ED-4194-8CFA-79C1BB4BF03A}" name="Matched Normal treatment subgrouping" dataDxfId="181"/>
    <tableColumn id="43" xr3:uid="{1BB6E8B3-4384-477F-8191-4850C0D6F387}" name="Gender" dataDxfId="180"/>
    <tableColumn id="44" xr3:uid="{5D4509F6-E45E-4C1A-BDB1-B4A8AEB65371}" name="DOB" dataDxfId="179"/>
    <tableColumn id="45" xr3:uid="{715A0F7C-0F08-432F-AB5D-402CFEDC49E4}" name="Date of DX" dataDxfId="178"/>
    <tableColumn id="46" xr3:uid="{4E825189-0B4E-4798-A3EF-DBA53577F759}" name="Age at Diagnosis" dataDxfId="177">
      <calculatedColumnFormula>DATEDIF(AR4, AS4,"Y")</calculatedColumnFormula>
    </tableColumn>
    <tableColumn id="47" xr3:uid="{1BAD06AE-1E74-494D-8E72-448A12ABF550}" name="Specimen Histological Diagnosis" dataDxfId="176"/>
    <tableColumn id="48" xr3:uid="{7261D2D6-CB9C-4030-8E84-862F6CB8FC10}" name="Staging/grading info provided for:" dataDxfId="175"/>
    <tableColumn id="49" xr3:uid="{8D18CAC8-0FDF-4A1F-BEEA-478B146C84BD}" name="Resection margins clear" dataDxfId="174"/>
    <tableColumn id="50" xr3:uid="{BCC2CFCF-41E0-4493-B747-56BE9E3EE277}" name="pT" dataDxfId="173"/>
    <tableColumn id="51" xr3:uid="{D1221EF5-DA56-4F3C-BF8A-C9B71FC1F7C0}" name="pN"/>
    <tableColumn id="52" xr3:uid="{F35DD602-C7EB-4817-AE63-0C9D80054ED8}" name="pM" dataDxfId="172"/>
    <tableColumn id="53" xr3:uid="{24DBABBC-BA7C-4718-AEC6-B79CAB87AACD}" name="cM" dataDxfId="171"/>
    <tableColumn id="54" xr3:uid="{50172A6D-BBE3-4507-860C-3E90AFE209A3}" name="TNM stage" dataDxfId="170"/>
    <tableColumn id="55" xr3:uid="{55296265-5D06-448B-8983-EA4B70160B43}" name="Grade" dataDxfId="169"/>
    <tableColumn id="56" xr3:uid="{4BB4EF97-8785-4E31-BA32-8D38F2E4B199}" name="Staging criteria" dataDxfId="168"/>
    <tableColumn id="57" xr3:uid="{8EB09BC1-B5F1-434F-BD4B-04382730AA3F}" name="Stage at DX" dataDxfId="167"/>
    <tableColumn id="58" xr3:uid="{E98EB41B-03B1-4929-AAFE-69CBD996919C}" name="Any Neoadjuvant therapy" dataDxfId="166"/>
    <tableColumn id="59" xr3:uid="{702AA4AD-5F83-41A3-BB1C-D6AEB2F858CA}" name="Response to neoadjuvant therapy (TRS score)" dataDxfId="165"/>
    <tableColumn id="60" xr3:uid="{F731FAE5-2155-4513-A759-DC038E83B9F7}" name="Neoadjuvant Tx1" dataDxfId="164"/>
    <tableColumn id="61" xr3:uid="{E06126CA-7038-4E13-94D8-F1C5FED050F6}" name="Neoadjuvant Tx1 Agent" dataDxfId="163"/>
    <tableColumn id="62" xr3:uid="{E1C68A88-5158-43B2-B3E9-D9049B288036}" name="Neoadjuvant Tx1 Start Date" dataDxfId="162"/>
    <tableColumn id="63" xr3:uid="{50606C36-B630-4728-A42A-563C2D86E158}" name="Neoadjuvant Tx1 End Date" dataDxfId="161"/>
    <tableColumn id="64" xr3:uid="{CA9E377D-E408-4D6D-90B3-37B25C301274}" name="Tumour response Neoadjuvant Tx1" dataDxfId="160"/>
    <tableColumn id="65" xr3:uid="{B8318A94-79AC-4E9C-818D-4C879770619D}" name="Neoadjuvant Tx2" dataDxfId="159"/>
    <tableColumn id="66" xr3:uid="{4CD32776-1163-4FB4-B409-D3F8BA3DB601}" name="Neoadjuvant Tx2 Agent" dataDxfId="158"/>
    <tableColumn id="67" xr3:uid="{63DD03AC-37CA-4B36-A0DC-30C2CCD60ACD}" name="Tumour response Neoadjuvant  Tx2" dataDxfId="157"/>
    <tableColumn id="68" xr3:uid="{63735DFB-E0AD-4948-B296-B07AA58DA3D8}" name="Neoadjuvant Tx3" dataDxfId="156"/>
    <tableColumn id="69" xr3:uid="{710C153C-52A3-47FD-93E9-C0CAECBA4776}" name="Neoadjuvant Tx3 Agent" dataDxfId="155"/>
    <tableColumn id="70" xr3:uid="{E502BABC-2CB4-44FC-9F23-A42ACFC1578A}" name="Tumour response Neoadjuvant  Tx3" dataDxfId="154"/>
    <tableColumn id="71" xr3:uid="{DCE82288-AD35-49B3-992F-EBC90B7D9C11}" name="Neoadjuvant Tx4" dataDxfId="153"/>
    <tableColumn id="72" xr3:uid="{EDFBD1D8-7DF0-4959-A684-135BACB52CBF}" name="Neoadjuvant Tx4 Agent" dataDxfId="152"/>
    <tableColumn id="73" xr3:uid="{3ED6D4E6-2D3A-4BC4-B839-F22EC01A4B58}" name="Tumour response Neoadjuvant  Tx4" dataDxfId="151"/>
    <tableColumn id="74" xr3:uid="{7F380311-9423-4DCE-951F-CF541BCDC2F6}" name="Neoadjuvant Tx5" dataDxfId="150"/>
    <tableColumn id="75" xr3:uid="{D1C432BF-635D-41DC-A07A-55B7F22EF1A3}" name="Neoadjuvant Tx5 Agent" dataDxfId="149"/>
    <tableColumn id="76" xr3:uid="{2BFE7EF6-2148-46E4-A54D-07DFFDB5E947}" name="Tumour response Neoadjuvant  Tx5" dataDxfId="148"/>
    <tableColumn id="77" xr3:uid="{67966B70-62C3-43E7-8A21-ED8FFE23DB08}" name="Neoadjuvant Tx6" dataDxfId="147"/>
    <tableColumn id="78" xr3:uid="{BD9EED26-B4FC-4238-B5F0-437ECFC86C25}" name="Neoadjuvant Tx6 Agent" dataDxfId="146"/>
    <tableColumn id="79" xr3:uid="{17C4ED63-DB20-4B9E-95B7-E790A881348B}" name="Tumour response Neoadjuvant  Tx6" dataDxfId="145"/>
    <tableColumn id="80" xr3:uid="{18A0466B-57BE-45A5-9253-7E49E05F8D44}" name="Neoadjuvant Tx7" dataDxfId="144"/>
    <tableColumn id="81" xr3:uid="{B7AE3DDF-62AD-4D43-B617-540B1170AD83}" name="Neoadjuvant Tx7 Agent" dataDxfId="143"/>
    <tableColumn id="82" xr3:uid="{4921B1A2-80A4-4171-BCB7-29619C504880}" name="Tumour response Neoadjuvant  Tx7" dataDxfId="142"/>
    <tableColumn id="83" xr3:uid="{A3558817-EFD6-43B4-87C3-D6613CC1483F}" name="Neoadjuvant Tx8" dataDxfId="141"/>
    <tableColumn id="84" xr3:uid="{4DBCC76C-BBC5-48BF-B1F0-6245BBD7CC02}" name="Neoadjuvant Tx8 Agent" dataDxfId="140"/>
    <tableColumn id="85" xr3:uid="{8A9BAB5E-DA61-47F6-83FB-0E9129FC64C9}" name="Tumour response Neoadjuvant  Tx8" dataDxfId="139"/>
    <tableColumn id="86" xr3:uid="{AD7DBC94-D194-456D-91E8-3221B7F5F96A}" name="Neoadjuvant Tx9" dataDxfId="138"/>
    <tableColumn id="87" xr3:uid="{09762D03-5BCB-4D5E-89FF-2E5E33C05C7C}" name="Neoadjuvant Tx9 Agent" dataDxfId="137"/>
    <tableColumn id="88" xr3:uid="{3A6BC0AC-FB5D-486E-8C42-68104288BDBD}" name="Tumour response Neoadjuvant  Tx9" dataDxfId="136"/>
    <tableColumn id="89" xr3:uid="{15DA554E-6704-4CEF-B403-F8D7E2024F04}" name="Neoadjuvant Tx10" dataDxfId="135"/>
    <tableColumn id="90" xr3:uid="{B1917056-2C6B-4B8C-825C-18DD38B5D623}" name="Neoadjuvant Tx10 Agent" dataDxfId="134"/>
    <tableColumn id="91" xr3:uid="{A0915F2D-FF64-47C2-A802-5530057C62F8}" name="Tumour response Neoadjuvant Tx10" dataDxfId="133"/>
    <tableColumn id="92" xr3:uid="{5BA4A981-55C0-4636-93EA-7C2E6C5A5625}" name="Adjuvant Tx1" dataDxfId="132"/>
    <tableColumn id="93" xr3:uid="{B83D7A1C-8CE5-4156-A7FC-DF0B0E7A39AC}" name="Adjuvant Tx1 Agent" dataDxfId="131"/>
    <tableColumn id="94" xr3:uid="{50D97B84-99E0-4422-BE49-953A418C27BA}" name="Adjuvant Tx1 Start Date"/>
    <tableColumn id="95" xr3:uid="{EBFF5FA1-B732-4EFB-B37D-9D775F082710}" name="Adjuvant Tx1 End Date"/>
    <tableColumn id="96" xr3:uid="{592556A6-AF4D-4C3C-8952-A6D8C45ACC92}" name="Tumour response Adjuvant Tx1" dataDxfId="130"/>
    <tableColumn id="97" xr3:uid="{B83EDA41-EDBB-4465-B60D-AC50BE277292}" name="Adjuvant Tx2"/>
    <tableColumn id="98" xr3:uid="{D46B276B-0086-440A-9244-8022A556903E}" name="Adjuvant Tx2 Agent" dataDxfId="129"/>
    <tableColumn id="99" xr3:uid="{3F167471-007C-4CE0-8726-6B67F63772E6}" name="Tumour response Adjuvant  Tx2" dataDxfId="128"/>
    <tableColumn id="100" xr3:uid="{7E7878E5-FF6D-48D2-9018-DF9BBFEC3B87}" name="Adjuvant Tx3" dataDxfId="127"/>
    <tableColumn id="101" xr3:uid="{14ED9958-3A05-4C05-A0D8-AB862EB9661E}" name="Adjuvant Tx3 Agent" dataDxfId="126"/>
    <tableColumn id="102" xr3:uid="{D2AD09D0-429B-4634-9445-489ECFBB84AD}" name="Tumour response Adjuvant  Tx3" dataDxfId="125"/>
    <tableColumn id="103" xr3:uid="{D99D072C-D9EC-4646-BBE7-D238BDBAE61E}" name="Adjuvant Tx4" dataDxfId="124"/>
    <tableColumn id="104" xr3:uid="{248F2604-F932-4ABA-9326-D46942C0E2BE}" name="Adjuvant Tx4 Agent" dataDxfId="123"/>
    <tableColumn id="105" xr3:uid="{22D7BBEA-BA27-47A7-9432-05F6BD4BBB43}" name="Tumour response Adjuvant  Tx4" dataDxfId="122"/>
    <tableColumn id="106" xr3:uid="{E1494E08-8B7F-4C1E-ACF9-F960D397A125}" name="Adjuvant Tx5" dataDxfId="121"/>
    <tableColumn id="107" xr3:uid="{C064379D-5628-44D8-B2B5-C82E24828561}" name="Adjuvant Tx5 Agent" dataDxfId="120"/>
    <tableColumn id="108" xr3:uid="{68C1E9B5-9FE0-435D-8DC0-5FC347355247}" name="Tumour response Adjuvant  Tx5" dataDxfId="119"/>
    <tableColumn id="109" xr3:uid="{94CFD318-E1F5-4F39-9FF8-C44DCC6754CD}" name="Adjuvant Tx6" dataDxfId="118"/>
    <tableColumn id="110" xr3:uid="{74D1FAC7-1EC4-4348-B9E6-B35BB4E86008}" name="Adjuvant Tx6 Agent" dataDxfId="117"/>
    <tableColumn id="111" xr3:uid="{331605E6-ACDF-449D-BD31-1695F2CB4D79}" name="Tumour response Adjuvant  Tx6" dataDxfId="116"/>
    <tableColumn id="112" xr3:uid="{7E271A9F-088E-4C7C-8EFE-FE1111302E44}" name="Adjuvant Tx7" dataDxfId="115"/>
    <tableColumn id="113" xr3:uid="{775AE58C-A18C-4F26-8E8C-F36E0CC991CC}" name="Adjuvant Tx7 Agent" dataDxfId="114"/>
    <tableColumn id="114" xr3:uid="{A28E6CD9-C98D-4137-96AD-DB001E2158FD}" name="Tumour response Adjuvant  Tx7" dataDxfId="113"/>
    <tableColumn id="115" xr3:uid="{F5E7A107-359D-4E4D-BB01-CC92E86A995F}" name="Adjuvant Tx8" dataDxfId="112"/>
    <tableColumn id="116" xr3:uid="{B6B027D9-2FB9-493D-8902-D727C640EDD4}" name="Adjuvant Tx8 Agent" dataDxfId="111"/>
    <tableColumn id="117" xr3:uid="{E13BC162-3470-40D3-A9BB-8F32EB6CC06E}" name="Tumour response Adjuvant  Tx8" dataDxfId="110"/>
    <tableColumn id="118" xr3:uid="{8371AEFF-8FD3-4EEE-8FBA-BC61F675425F}" name="Adjuvant Tx9" dataDxfId="109"/>
    <tableColumn id="119" xr3:uid="{C842887B-248D-42A4-881A-8E2D25DC4EEB}" name="Adjuvant Tx9 Agent" dataDxfId="108"/>
    <tableColumn id="120" xr3:uid="{AABA74BB-6811-4389-BFA1-35A139E122B4}" name="Tumour response Adjuvant  Tx9" dataDxfId="107"/>
    <tableColumn id="121" xr3:uid="{A1887161-4F93-4334-81A3-8E450EC01C2D}" name="Adjuvant Tx10" dataDxfId="106"/>
    <tableColumn id="122" xr3:uid="{7D0B12D1-9BD5-4CE3-AC3B-26D3096A6AD7}" name="Adjuvant Tx10 Agent" dataDxfId="105"/>
    <tableColumn id="123" xr3:uid="{238621C9-AA40-4470-8D21-346F67AE0441}" name="Tumour response Adjuvant Tx10" dataDxfId="104"/>
    <tableColumn id="124" xr3:uid="{04BBE4B1-3D14-467B-ACB5-D2750E1E890D}" name="Adjuvant Tx11" dataDxfId="103"/>
    <tableColumn id="125" xr3:uid="{376A768A-4E14-4612-93F6-CF024CF628D3}" name="Adjuvant Tx11 Agent" dataDxfId="102"/>
    <tableColumn id="126" xr3:uid="{BD643EBD-E5B0-465C-946C-279373E208C7}" name="Tumour response Adjuvant Tx11" dataDxfId="101"/>
    <tableColumn id="127" xr3:uid="{94E02B3B-20E4-46DD-B79C-37DED4E1200B}" name="Adjuvant Tx12" dataDxfId="100"/>
    <tableColumn id="128" xr3:uid="{50EEB0C9-84F8-4CAE-BE57-BB72800A3A1D}" name="Adjuvant Tx12 Agent" dataDxfId="99"/>
    <tableColumn id="129" xr3:uid="{410630C4-0E26-4E49-9D4F-7BE7B3B8ECBC}" name="Tumour response Adjuvant Tx12" dataDxfId="98"/>
    <tableColumn id="130" xr3:uid="{A4EBDCC9-AD2A-487D-B801-E5E010614A84}" name="Adjuvant Tx13" dataDxfId="97"/>
    <tableColumn id="131" xr3:uid="{1A9CBE68-DCB7-4983-8D49-9F6602CCDF3E}" name="Adjuvant Tx13 Agent" dataDxfId="96"/>
    <tableColumn id="132" xr3:uid="{17CCB738-7A9D-4E77-9E3C-F63F030666E7}" name="Tumour response Adjuvant Tx13" dataDxfId="95"/>
    <tableColumn id="133" xr3:uid="{CCF9FBD0-03D3-4777-8B2F-7780586C8FD7}" name="Adjuvant Tx14" dataDxfId="94"/>
    <tableColumn id="134" xr3:uid="{3CAFD5BA-557B-4ABC-8058-B62075D9AFFB}" name="Adjuvant Tx14 Agent" dataDxfId="93"/>
    <tableColumn id="135" xr3:uid="{A19EDDB5-00A1-4021-8601-7C758CC3CCCD}" name="Tumour response Adjuvant Tx14" dataDxfId="92"/>
    <tableColumn id="136" xr3:uid="{7E4C54CB-AD53-48E7-A84A-828817306114}" name="Adjuvant Tx15" dataDxfId="91"/>
    <tableColumn id="137" xr3:uid="{CFF05869-09E1-4258-8018-4ED540106ACB}" name="Adjuvant Tx15 Agent" dataDxfId="90"/>
    <tableColumn id="138" xr3:uid="{222B6D46-7C73-4E09-BAA2-F7C637EA0DD7}" name="Tumour response Adjuvant Tx15" dataDxfId="89"/>
    <tableColumn id="139" xr3:uid="{FD8F7860-FD94-4DD5-8BEE-7D086CC40797}" name="Date recurrence/ progression 1"/>
    <tableColumn id="140" xr3:uid="{7C906ED1-0B8A-4AB2-9E7D-1BD8E3D1BD12}" name="Sites recurrence/ progression 1" dataDxfId="88"/>
    <tableColumn id="141" xr3:uid="{A186BD3A-0D69-4CDE-A3D5-93D4B5F85FAB}" name="Subsequent Tx1"/>
    <tableColumn id="142" xr3:uid="{BACB80E7-77B8-49DB-BFBF-D9D0B989B0B1}" name="Subsequent Tx1 Agent" dataDxfId="87"/>
    <tableColumn id="143" xr3:uid="{0B6AE1EF-1636-4EB1-A78C-F909539286AC}" name="Subsequent Tx1 Start Date"/>
    <tableColumn id="144" xr3:uid="{CAE565E8-7624-46B6-A51D-BA3F59EC842B}" name="Subsequent Tx1        End Date"/>
    <tableColumn id="145" xr3:uid="{E1ECB787-C079-4E71-8317-242C92E06EBC}" name="Tumour response to Subsequent Tx1" dataDxfId="86"/>
    <tableColumn id="146" xr3:uid="{1415EAAF-81AD-4238-BD70-A8693E3F802B}" name="Subsequent Tx2"/>
    <tableColumn id="147" xr3:uid="{35ED47CC-980F-44DF-B8E8-6F4A53D58BDA}" name="Subsequent Tx2 Agent" dataDxfId="85"/>
    <tableColumn id="148" xr3:uid="{8D6203BE-BA1E-4479-948D-C59CF533C373}" name="Tumour response to Subsequent Tx2" dataDxfId="84"/>
    <tableColumn id="149" xr3:uid="{69233857-100E-4A97-A041-DC031861D939}" name="Subsequent Tx3"/>
    <tableColumn id="150" xr3:uid="{5415D664-3DBE-480A-85CD-8E241214F1FF}" name="Subsequent Tx3 Agent" dataDxfId="83"/>
    <tableColumn id="151" xr3:uid="{0C8905DD-E9E4-41E0-BA96-C4B944D00B68}" name="Tumour response to Subsequent Tx3" dataDxfId="82"/>
    <tableColumn id="152" xr3:uid="{3D795715-8DEB-4343-AEF1-36032141EEF5}" name="Subsequent Tx4"/>
    <tableColumn id="153" xr3:uid="{A0E60AA6-51D7-4389-91FD-B7E81EFDB0C5}" name="Subsequent Tx4 Agent" dataDxfId="81"/>
    <tableColumn id="154" xr3:uid="{3C233452-E8BA-467F-917C-3453DADFFCA2}" name="Tumour response to Subsequent Tx4" dataDxfId="80"/>
    <tableColumn id="155" xr3:uid="{A16888F4-8A53-4690-BA39-952E8E06BF27}" name="Subsequent Tx5" dataDxfId="79"/>
    <tableColumn id="156" xr3:uid="{6AC1F557-77E1-45DA-B338-52F16E9BCDCB}" name="Subsequent Tx5 Agent" dataDxfId="78"/>
    <tableColumn id="157" xr3:uid="{E5B45201-5708-4D44-B430-F2231E35E7D9}" name="Tumour response to Subsequent Tx5" dataDxfId="77"/>
    <tableColumn id="158" xr3:uid="{F03CA3DD-3DE1-4FD3-B9A3-EA79613D5B93}" name="Subsequent Tx6" dataDxfId="76"/>
    <tableColumn id="159" xr3:uid="{4481BE82-0E5A-4C67-B7BE-DF8D116C2AFA}" name="Subsequent Tx6 Agent" dataDxfId="75"/>
    <tableColumn id="160" xr3:uid="{E5FA90E1-823C-4C09-81F4-E04887FBAE08}" name="Tumour response to Subsequent Tx6" dataDxfId="74"/>
    <tableColumn id="161" xr3:uid="{974FF9E1-A87D-426F-9C37-09A7149075C2}" name="Subsequent Tx7" dataDxfId="73"/>
    <tableColumn id="162" xr3:uid="{4927EC5C-AE82-4B9D-A795-EB8012FEF45B}" name="Subsequent Tx7 Agent" dataDxfId="72"/>
    <tableColumn id="163" xr3:uid="{51FDE7EC-BD09-4A5E-81FD-21E03B30DD8E}" name="Tumour response to Subsequent Tx7" dataDxfId="71"/>
    <tableColumn id="164" xr3:uid="{5D7B4637-B781-495B-9FB4-8146FB38BF2F}" name="Subsequent Tx8" dataDxfId="70"/>
    <tableColumn id="165" xr3:uid="{54D4A8FA-FE99-482F-99DD-965753BE7AE2}" name="Subsequent Tx8 Agent" dataDxfId="69"/>
    <tableColumn id="166" xr3:uid="{4E552015-009D-469C-BA4B-B5AE0DD56756}" name="Tumour response to Subsequent Tx8" dataDxfId="68"/>
    <tableColumn id="167" xr3:uid="{A6BF5166-5C5C-4D98-A4C9-3E23D8991269}" name="Subsequent Tx9" dataDxfId="67"/>
    <tableColumn id="168" xr3:uid="{20F6717A-11AC-4D99-8C30-FE890433041D}" name="Subsequent Tx9 Agent" dataDxfId="66"/>
    <tableColumn id="169" xr3:uid="{480AB05E-7A93-4397-9F4A-B59915ED419B}" name="Tumour response to Subsequent Tx9" dataDxfId="65"/>
    <tableColumn id="170" xr3:uid="{89C43692-7730-4144-8207-D7C0383328E9}" name="Subsequent Tx10" dataDxfId="64"/>
    <tableColumn id="171" xr3:uid="{C48077EF-4AEC-43B9-B717-8AD0A5B900D3}" name="Subsequent Tx10 Agent" dataDxfId="63"/>
    <tableColumn id="172" xr3:uid="{1425C3A3-8F34-45B0-8C84-A779A0EB5AD7}" name="Tumour response to Subsequent Tx10" dataDxfId="62"/>
    <tableColumn id="173" xr3:uid="{D5A7C639-3459-4786-B3C8-8E5B37F435E1}" name="Subsequent Tx11" dataDxfId="61"/>
    <tableColumn id="174" xr3:uid="{DC99C91A-383B-4364-BCCE-68E3EAA6AC4F}" name="Subsequent Tx11 Agent" dataDxfId="60"/>
    <tableColumn id="175" xr3:uid="{E089185C-E75F-4710-93D5-FDFB168AB6C3}" name="Tumour response to Subsequent Tx11" dataDxfId="59"/>
    <tableColumn id="176" xr3:uid="{1B194E4D-8750-48A0-9B19-07C5740CE8C6}" name="Subsequent Tx12" dataDxfId="58"/>
    <tableColumn id="177" xr3:uid="{8C6579AC-EDE2-4413-98B8-AA5C61CDFED6}" name="Subsequent Tx12 Agent" dataDxfId="57"/>
    <tableColumn id="178" xr3:uid="{02305886-985E-4223-9452-62B059B6E1E6}" name="Tumour response to Subsequent Tx12" dataDxfId="56"/>
    <tableColumn id="179" xr3:uid="{A5E341D8-C534-46AF-9D17-4D927BB35664}" name="Subsequent Tx13" dataDxfId="55"/>
    <tableColumn id="180" xr3:uid="{B8635924-225C-438F-A175-6FDB99F5FCC7}" name="Subsequent Tx13 Agent" dataDxfId="54"/>
    <tableColumn id="181" xr3:uid="{6B695659-BDDA-4DC8-83A5-6DDF11132754}" name="Tumour response to Subsequent Tx13" dataDxfId="53"/>
    <tableColumn id="182" xr3:uid="{A3A00746-6157-422E-8944-2E329E8B5B40}" name="Subsequent Tx14" dataDxfId="52"/>
    <tableColumn id="183" xr3:uid="{330A6DEE-EEE3-42EF-8995-8798192CC376}" name="Subsequent Tx14 Agent" dataDxfId="51"/>
    <tableColumn id="184" xr3:uid="{13ED5038-BBCC-4730-B83E-AC05337E4342}" name="Tumour response to Subsequent Tx14" dataDxfId="50"/>
    <tableColumn id="185" xr3:uid="{B6259A24-22F3-4F53-A6D4-19AD7BB5CFB7}" name="Subsequent Tx15" dataDxfId="49"/>
    <tableColumn id="186" xr3:uid="{B287EC64-EAEF-4449-8DB6-D930805301EF}" name="Subsequent Tx15 Agent" dataDxfId="48"/>
    <tableColumn id="187" xr3:uid="{5395C400-9F84-4B2A-BE55-BCBB1986D745}" name="Tumour response to Subsequent Tx15" dataDxfId="47"/>
    <tableColumn id="188" xr3:uid="{608F07F5-C8C9-4927-9A6E-2D93A375A273}" name="Current Status" dataDxfId="46"/>
    <tableColumn id="189" xr3:uid="{B61B58C1-548F-42EC-98B8-EBAA3F3090B3}" name="Death date" dataDxfId="45"/>
    <tableColumn id="190" xr3:uid="{CC5F2284-8663-404D-96B3-3EFAAA1DEDDB}" name="Death tumour related" dataDxfId="44"/>
    <tableColumn id="191" xr3:uid="{576CEECD-E7FD-4F10-AD9A-DD213FEB74C8}" name="Cause of death" dataDxfId="43"/>
    <tableColumn id="192" xr3:uid="{E6D236F3-640B-44F6-8BCA-11501EEFA97E}" name="Date last follow-up" dataDxfId="42"/>
    <tableColumn id="193" xr3:uid="{8C7CB0B3-0F98-4E02-B7AC-7A9204D69763}" name="Date Last Seen" dataDxfId="41"/>
    <tableColumn id="194" xr3:uid="{4CB9036F-741B-4F80-810F-9CEF26B27277}" name="Comments from clinical team" dataDxfId="40"/>
    <tableColumn id="195" xr3:uid="{F3D75A08-4338-444E-9C6A-38B88FCDB8F4}" name="TTE Neoadjuvant Tx1 Start Date" dataDxfId="39">
      <calculatedColumnFormula>IFERROR(INT(BJ4 - $AS4)/30,"N/A")</calculatedColumnFormula>
    </tableColumn>
    <tableColumn id="196" xr3:uid="{AE82245F-9C90-46AE-A828-CB6009574221}" name="TTE Neoadjuvant Tx1 End Date" dataDxfId="38">
      <calculatedColumnFormula>IFERROR(INT(BK4 - $AS4)/30,"N/A")</calculatedColumnFormula>
    </tableColumn>
    <tableColumn id="197" xr3:uid="{0B02F1FE-BF41-4815-9E16-428258EABF6A}" name="TTE Specimen surgery date" dataDxfId="37">
      <calculatedColumnFormula>IFERROR(INT(H4 - $AS4)/30,"N/A")</calculatedColumnFormula>
    </tableColumn>
    <tableColumn id="198" xr3:uid="{F2899DE1-C7EA-43B2-90AB-2106697CF4FD}" name="TTE Primary Surgery date" dataDxfId="36">
      <calculatedColumnFormula>IFERROR(INT(K4 - $AS4)/30,"N/A")</calculatedColumnFormula>
    </tableColumn>
    <tableColumn id="199" xr3:uid="{28D58A9F-15E4-4CD9-B435-6DD3D68161C5}" name="TTE Matched met 1 Surgery Date" dataDxfId="35">
      <calculatedColumnFormula>IFERROR(INT(P4 - $AS4)/30,"N/A")</calculatedColumnFormula>
    </tableColumn>
    <tableColumn id="200" xr3:uid="{190C6286-14FD-4104-A59D-F18D24DF3DE8}" name="TTE Matched met 2 Surgery Date" dataDxfId="34">
      <calculatedColumnFormula>IFERROR(INT(U4 - $AS4)/30,"N/A")</calculatedColumnFormula>
    </tableColumn>
    <tableColumn id="201" xr3:uid="{ECA685A8-5DD8-42EE-95B2-2C2439911C1A}" name="TTE Matched met 3 Surgery Date" dataDxfId="33">
      <calculatedColumnFormula>IFERROR(INT(Z4 - $AS4)/30,"N/A")</calculatedColumnFormula>
    </tableColumn>
    <tableColumn id="202" xr3:uid="{D1888A97-E711-4304-9648-E148D317F8B6}" name="TTE Matched met 4 Surgery Date" dataDxfId="32">
      <calculatedColumnFormula>IFERROR(INT(AE4 - $AS4)/30,"N/A")</calculatedColumnFormula>
    </tableColumn>
    <tableColumn id="203" xr3:uid="{24D8E558-2AE0-4BA8-87C9-7052FD12AE45}" name="TTE Matched met 5 Surgery Date" dataDxfId="31">
      <calculatedColumnFormula>IFERROR(INT(AJ4 - $AS4)/30,"N/A")</calculatedColumnFormula>
    </tableColumn>
    <tableColumn id="204" xr3:uid="{CFAB6D9C-6095-4139-A7BC-69DEEC5F1D5E}" name="TTE Matched Normal tissue Surgery Date" dataDxfId="30">
      <calculatedColumnFormula>IFERROR(INT(AO4 - $AS4)/30,"N/A")</calculatedColumnFormula>
    </tableColumn>
    <tableColumn id="205" xr3:uid="{4B713C47-3D98-4829-99B6-D3C28E26363E}" name="TTE Adjuvant Tx1 Start Date" dataDxfId="29">
      <calculatedColumnFormula>IFERROR(INT(CP4 - $AS4)/30,"N/A")</calculatedColumnFormula>
    </tableColumn>
    <tableColumn id="206" xr3:uid="{0192965A-EB6E-41CF-8092-B2B159FA21B7}" name="TTE Adjuvant Tx1 End Date" dataDxfId="28">
      <calculatedColumnFormula>IFERROR(INT(CQ4 - $AS4)/30,"N/A")</calculatedColumnFormula>
    </tableColumn>
    <tableColumn id="207" xr3:uid="{74D4BCD0-120B-4216-BAE2-C4886CB52254}" name="TTE Date recurrence/ progression 1" dataDxfId="27">
      <calculatedColumnFormula>IFERROR(INT(EI4 - $AS4)/30,"N/A")</calculatedColumnFormula>
    </tableColumn>
    <tableColumn id="208" xr3:uid="{7040948A-E710-4B70-BF30-F5C61209B7B9}" name="TTE Subsequent Tx1 Start Date" dataDxfId="26">
      <calculatedColumnFormula>IFERROR(INT(EM4 - $AS4)/30,"N/A")</calculatedColumnFormula>
    </tableColumn>
    <tableColumn id="209" xr3:uid="{0482E8AD-438E-400E-9A74-0062ECFBB68A}" name="TTE Subsequent Tx1 End Date" dataDxfId="25">
      <calculatedColumnFormula>IFERROR(INT(EN4 - $AS4)/30,"N/A")</calculatedColumnFormula>
    </tableColumn>
    <tableColumn id="210" xr3:uid="{7EF3AD9E-DFF8-46E7-B36F-896BACA132CE}" name="TTE Recurrence (PFS)" dataDxfId="24">
      <calculatedColumnFormula>$GY4</calculatedColumnFormula>
    </tableColumn>
    <tableColumn id="211" xr3:uid="{BA0A9F42-AC21-45E6-89B9-B5FC3D66589B}" name="TTE Death (OS and PFS)" dataDxfId="23">
      <calculatedColumnFormula>IFERROR(INT(GG4 - $AS4)/30,"N/A")</calculatedColumnFormula>
    </tableColumn>
    <tableColumn id="212" xr3:uid="{08FDE8BD-516B-4347-8474-2BB2168F0570}" name="TTE Date last follow-up (PFS)" dataDxfId="22">
      <calculatedColumnFormula>IFERROR(INT(GJ4 - $AS4)/30,"N/A")</calculatedColumnFormula>
    </tableColumn>
    <tableColumn id="213" xr3:uid="{A440BAA2-A47E-4666-AA88-6783029924D1}" name="TTE Date last seen (OS)" dataDxfId="21">
      <calculatedColumnFormula>IFERROR(INT(GK4 - $AS4)/30,"N/A")</calculatedColumnFormula>
    </tableColumn>
    <tableColumn id="214" xr3:uid="{2560E28F-80AF-40B1-8AB9-4EC8862C5929}" name="TTE Overall survival (OS) in months" dataDxfId="20" dataCellStyle="Normal 2">
      <calculatedColumnFormula>SUM($HC4,$HE4)</calculatedColumnFormula>
    </tableColumn>
    <tableColumn id="215" xr3:uid="{4D09D970-7640-4056-B721-D0CD49FE099E}" name="TTE Progression free survival (PFS) in months" dataDxfId="19" dataCellStyle="Normal 2">
      <calculatedColumnFormula array="1">INDEX($HB4:$HD4,MATCH(TRUE,INDEX(ISNUMBER($HB4:$HD4),0),0))</calculatedColumnFormula>
    </tableColumn>
    <tableColumn id="216" xr3:uid="{24B0D81C-3D90-496F-86E7-09AC303C90FE}" name="Event (recurrence/progression)" dataDxfId="18" dataCellStyle="Normal 2">
      <calculatedColumnFormula>IF($HB4="N/A",0,1)</calculatedColumnFormula>
    </tableColumn>
    <tableColumn id="217" xr3:uid="{59F8E05C-F52F-4B3B-9A76-DE5422315910}" name="Event (cancer death)" dataDxfId="17" dataCellStyle="Normal 2">
      <calculatedColumnFormula>IF($GH4="Yes",1,0)</calculatedColumnFormula>
    </tableColumn>
    <tableColumn id="218" xr3:uid="{AF1BB078-E127-4601-99B4-6686EEEA02CD}" name="Event (death; all causes)" dataDxfId="16" dataCellStyle="Normal 2">
      <calculatedColumnFormula>IF($HC4="N/A",0,1)</calculatedColumnFormula>
    </tableColumn>
    <tableColumn id="219" xr3:uid="{ACC965D3-A919-46BD-86C3-DFB878D75C9B}" name="Event (recurrence or cancer death)" dataDxfId="15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129F5F-3DCC-406C-AA33-D4D030565FBA}" name="Supplementary_1" displayName="Supplementary_1" ref="A1:P43" totalsRowShown="0" tableBorderDxfId="14">
  <autoFilter ref="A1:P43" xr:uid="{A3129F5F-3DCC-406C-AA33-D4D030565FBA}"/>
  <tableColumns count="16">
    <tableColumn id="1" xr3:uid="{B4E052B0-62E8-4221-BF32-489029C1BBDA}" name="NHS number" dataDxfId="13"/>
    <tableColumn id="2" xr3:uid="{AF85CB3B-87BA-44BC-A20A-1E2E9D055557}" name="Donor ID" dataDxfId="12"/>
    <tableColumn id="3" xr3:uid="{BB0C3DAD-3A29-48C2-BBE5-5485648F2A8A}" name="Selected specimen Anonymised ID" dataDxfId="11"/>
    <tableColumn id="4" xr3:uid="{8412EBB8-E203-4486-8D2C-788510408761}" name="Specimen number used for screening (if different)" dataDxfId="10"/>
    <tableColumn id="5" xr3:uid="{13E159D9-A295-4BD3-AB16-9B15116F1A07}" name="Block used for MMR IHC" dataDxfId="9"/>
    <tableColumn id="6" xr3:uid="{958F7FFA-7394-440A-830D-E646140BB556}" name="MMR result (normal/abnormal)" dataDxfId="8"/>
    <tableColumn id="7" xr3:uid="{F56FA7C9-81FC-4574-9278-DEE14AB13268}" name="MLH1 IHC (pos / neg / clonal neg)" dataDxfId="7"/>
    <tableColumn id="8" xr3:uid="{FE27C53C-771B-4F6A-8AF5-0683FDECECF3}" name="PMS2 IHC (pos/ neg / clonal neg" dataDxfId="6"/>
    <tableColumn id="9" xr3:uid="{6AF1EC87-AB66-4354-B23D-3CDB048C7A64}" name="MSH2 IHC (pos/ neg / clonal neg" dataDxfId="5"/>
    <tableColumn id="10" xr3:uid="{68C0CA63-8653-4FCB-AE7B-BEDF87D51BB9}" name="MSH6 IHC (pos/ neg/ clonal neg)" dataDxfId="4"/>
    <tableColumn id="11" xr3:uid="{F61417E9-AFD6-4EA9-8341-804D84F9F043}" name="MLH1 promoter hypermethylation (Detected/not detected/not tested)" dataDxfId="3"/>
    <tableColumn id="12" xr3:uid="{7C99DA2B-B679-43D8-974A-A8743917D432}" name="Lynch Syndrome" dataDxfId="2"/>
    <tableColumn id="13" xr3:uid="{03728C08-6CA7-45FF-848F-63909D7FF736}" name="Inferred MSI status" dataDxfId="1"/>
    <tableColumn id="14" xr3:uid="{6700864C-66A7-4EAE-A7E5-3D05EC99FBD1}" name="P53 status (IHC)"/>
    <tableColumn id="15" xr3:uid="{15B252A2-C869-42CC-8788-C8CFAC046AC7}" name="Inferred p53 mutation status"/>
    <tableColumn id="16" xr3:uid="{10019CE8-2F6B-4349-B77B-6DB482C103FB}" name="Indication" dataDxfId="0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36" dataDxfId="235">
  <autoFilter ref="E1:I10" xr:uid="{D6CB22BC-1695-4F56-9502-53B227EFDF84}"/>
  <tableColumns count="5">
    <tableColumn id="1" xr3:uid="{63272864-20E5-4A7C-8D58-41CB534C8CC6}" name="Therapy type" dataDxfId="234"/>
    <tableColumn id="2" xr3:uid="{B73E30ED-C9DE-48F0-B683-FC8FE9EC3B63}" name="Yes/No" dataDxfId="233"/>
    <tableColumn id="3" xr3:uid="{03246ABE-255C-4892-868D-F0AEF1FAC5E9}" name="Matched Normal treatment subgrouping" dataDxfId="232"/>
    <tableColumn id="4" xr3:uid="{85936DCB-2C5F-44AE-84FF-5D7F3DD5CA45}" name="Staging/grading info provided for:" dataDxfId="231"/>
    <tableColumn id="5" xr3:uid="{CE5B5999-5BA0-43D3-9526-3C81CFAB2209}" name="Staging criteria" dataDxfId="230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1CE9FA-B58F-4040-9F77-CD0083EB42AF}" name="error_log" displayName="error_log" ref="A1:C5" totalsRowShown="0">
  <autoFilter ref="A1:C5" xr:uid="{0C1CE9FA-B58F-4040-9F77-CD0083EB42AF}"/>
  <tableColumns count="3">
    <tableColumn id="1" xr3:uid="{037EFD7C-6447-483F-A3FC-FA5BEE585198}" name="Row Number" dataDxfId="229"/>
    <tableColumn id="2" xr3:uid="{43CDCB4B-195B-4A25-AD59-59B3F811523F}" name="NHS Number" dataDxfId="228"/>
    <tableColumn id="3" xr3:uid="{CE151FF0-8C2E-46B2-8914-7E56AE9F543C}" name="TTE Error Reasoning" dataDxfId="2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4" dT="2023-10-12T14:55:35.04" personId="{D340D889-24B4-430D-A9CF-B8DFD299DBD4}" id="{E4B1A0FC-A7BA-4E40-A0FC-EEF467D3A072}">
    <text>No LNs removed so no pN score</text>
  </threadedComment>
  <threadedComment ref="F5" dT="2023-10-04T13:30:07.34" personId="{2A5FE3D6-A1D2-49BE-9AB9-338FF002D1C9}" id="{CBC70FBE-9223-48D9-9BC0-8E02894568B4}">
    <text>Not in path report</text>
  </threadedComment>
  <threadedComment ref="G5" dT="2023-10-04T13:30:12.10" personId="{2A5FE3D6-A1D2-49BE-9AB9-338FF002D1C9}" id="{355CBB4D-1E49-4D54-92E3-F8047CFF07C5}">
    <text>Not in path report</text>
  </threadedComment>
  <threadedComment ref="AY9" dT="2023-10-13T13:29:38.59" personId="{D340D889-24B4-430D-A9CF-B8DFD299DBD4}" id="{6D10069E-9536-42A7-AE55-275A28C52623}">
    <text>para aortic node involved</text>
  </threadedComment>
  <threadedComment ref="A15" dT="2023-10-15T19:57:49.51" personId="{D340D889-24B4-430D-A9CF-B8DFD299DBD4}" id="{3545A716-1EEA-4B8C-B56D-4110570B8D30}">
    <text>A12 used for further testing- include?</text>
  </threadedComment>
  <threadedComment ref="F15" dT="2023-09-20T09:48:25.69" personId="{07886208-BBEF-41FA-9EB2-4A146C88B429}" id="{4CE0070F-80C1-46BB-A548-CD1A74243ABC}">
    <text>A14 used for further testing</text>
  </threadedComment>
  <threadedComment ref="BA15" dT="2023-10-14T17:09:29.36" personId="{D340D889-24B4-430D-A9CF-B8DFD299DBD4}" id="{56B2ACBC-9197-4CD4-9C48-D20DC2C94D50}">
    <text>I'm not sure the mesenteric tumour is considered direct invasion rather than a met since the tumour has been staged as 3C1</text>
  </threadedComment>
  <threadedComment ref="A17" dT="2023-10-15T21:29:57.12" personId="{D340D889-24B4-430D-A9CF-B8DFD299DBD4}" id="{B0887188-55B2-419C-B8F5-18A532178C4F}">
    <text>A9 used for IHC - send?</text>
  </threadedComment>
  <threadedComment ref="F17" dT="2023-09-18T12:31:39.38" personId="{07886208-BBEF-41FA-9EB2-4A146C88B429}" id="{AB09ABB3-E695-4437-984F-3B97265A930A}">
    <text>A8 Used for IHC</text>
  </threadedComment>
  <threadedComment ref="A18" dT="2023-10-15T21:30:26.72" personId="{D340D889-24B4-430D-A9CF-B8DFD299DBD4}" id="{2247C507-B450-46E4-95D2-1FDC61A58951}">
    <text>A15 used for further testing</text>
  </threadedComment>
  <threadedComment ref="G18" dT="2023-09-20T11:04:20.55" personId="{07886208-BBEF-41FA-9EB2-4A146C88B429}" id="{BDFC1A30-A417-4FBB-AD7E-711F59BDD47C}">
    <text>A11 used for further testing</text>
  </threadedComment>
  <threadedComment ref="BE18" dT="2023-10-13T15:28:34.06" personId="{D340D889-24B4-430D-A9CF-B8DFD299DBD4}" id="{6785C468-AB87-4463-840E-848B93C1C0ED}">
    <text>metastases actually from synchronous pancreatic cancer so stage IB endometrial cancer not stage IVB. I have put this in the notes from clinical team</text>
  </threadedComment>
  <threadedComment ref="F20" dT="2023-09-20T11:11:19.34" personId="{07886208-BBEF-41FA-9EB2-4A146C88B429}" id="{95685ECF-A4A2-4C74-AE78-5F08F25AA919}">
    <text>A2 used for further testing</text>
  </threadedComment>
  <threadedComment ref="F20" dT="2023-10-04T11:44:47.28" personId="{2A5FE3D6-A1D2-49BE-9AB9-338FF002D1C9}" id="{0604CE06-BD3A-4934-AAA8-D40894C60D5B}" parentId="{95685ECF-A4A2-4C74-AE78-5F08F25AA919}">
    <text>No block to replace with, remove cohort</text>
  </threadedComment>
  <threadedComment ref="BE23" dT="2023-10-15T20:07:48.01" personId="{D340D889-24B4-430D-A9CF-B8DFD299DBD4}" id="{1F7DCD51-1854-467C-B05C-54CB69AA2018}">
    <text>invades cervical stroma &amp; is stage II on PPM (diagnosis)</text>
  </threadedComment>
  <threadedComment ref="BE26" dT="2023-10-15T20:44:15.49" personId="{D340D889-24B4-430D-A9CF-B8DFD299DBD4}" id="{CAFEE374-1B65-444E-9CC3-B3CD0A48F1C4}">
    <text>involves cervical stroma</text>
  </threadedComment>
  <threadedComment ref="F33" dT="2023-10-04T11:56:25.41" personId="{2A5FE3D6-A1D2-49BE-9AB9-338FF002D1C9}" id="{1C2CCFEE-FA40-448A-8060-793B5C939FAF}">
    <text>Not in path report</text>
  </threadedComment>
  <threadedComment ref="N38" dT="2023-10-04T11:31:24.50" personId="{2A5FE3D6-A1D2-49BE-9AB9-338FF002D1C9}" id="{5C904C56-4FDF-4654-9EA4-5972A5210E98}">
    <text>Not in path report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3-09-25T12:05:24.31" personId="{BB3219FE-CB47-4D1E-B531-6BA85F1567A4}" id="{3F08848A-3786-4EB2-BF9E-0EFC8F4B1018}">
    <text>dMMR/pMMR</text>
  </threadedComment>
  <threadedComment ref="L4" dT="2023-10-12T15:07:45.64" personId="{D340D889-24B4-430D-A9CF-B8DFD299DBD4}" id="{F2B91DAE-8132-40C4-85E2-1A30BD9187E9}">
    <text>I'm putting this in as if MLH1 methylation, unlikely Lynch</text>
  </threadedComment>
  <threadedComment ref="F8" dT="2023-09-25T12:05:14.94" personId="{BB3219FE-CB47-4D1E-B531-6BA85F1567A4}" id="{2641AD0D-568D-430B-A311-67993934C299}">
    <text>dMMR</text>
  </threadedComment>
  <threadedComment ref="I9" dT="2023-10-02T06:17:15.21" personId="{07886208-BBEF-41FA-9EB2-4A146C88B429}" id="{CD31D7F4-69AB-40A8-BBAF-DCC690FD6026}">
    <text>Performed at different trust. No results on PPM or CoPath</text>
  </threadedComment>
  <threadedComment ref="J9" dT="2023-10-02T06:17:26.16" personId="{07886208-BBEF-41FA-9EB2-4A146C88B429}" id="{EA264A2F-AC18-4038-9261-6DE392715EC0}">
    <text>Performed at different trust. No results on PPM or CoPath</text>
  </threadedComment>
  <threadedComment ref="E13" dT="2023-10-02T06:29:55.07" personId="{07886208-BBEF-41FA-9EB2-4A146C88B429}" id="{75B08BF1-E835-4ABE-8BEF-9A6EAB4DA3C8}">
    <text>Block collected</text>
  </threadedComment>
  <threadedComment ref="E15" dT="2023-10-02T06:29:58.49" personId="{07886208-BBEF-41FA-9EB2-4A146C88B429}" id="{BBC1637D-2432-4868-A234-FA2EF2D8C946}">
    <text>Block collected</text>
  </threadedComment>
  <threadedComment ref="L15" dT="2023-10-12T15:22:18.21" personId="{D340D889-24B4-430D-A9CF-B8DFD299DBD4}" id="{DC8F0A81-5976-4CAF-A67E-88EA3A7D233D}">
    <text>as per letter from clinical genetics</text>
  </threadedComment>
  <threadedComment ref="E16" dT="2023-10-02T06:30:02.04" personId="{07886208-BBEF-41FA-9EB2-4A146C88B429}" id="{07E0A634-D2BB-49F6-B5D5-744448C7B990}">
    <text>Block collected</text>
  </threadedComment>
  <threadedComment ref="E18" dT="2023-10-02T06:30:06.44" personId="{07886208-BBEF-41FA-9EB2-4A146C88B429}" id="{E0364573-2C4C-4F9B-911A-B96DD8BD8477}">
    <text>Block collected</text>
  </threadedComment>
  <threadedComment ref="E18" dT="2023-10-04T11:44:18.58" personId="{2A5FE3D6-A1D2-49BE-9AB9-338FF002D1C9}" id="{EA04BA33-C772-4268-8BB3-727A7091DF4E}" parentId="{E0364573-2C4C-4F9B-911A-B96DD8BD8477}">
    <text>No block to replace with</text>
  </threadedComment>
  <threadedComment ref="L30" dT="2023-10-12T15:36:14.43" personId="{D340D889-24B4-430D-A9CF-B8DFD299DBD4}" id="{46CCAA74-7D0B-4E3A-A497-414168CE0D82}">
    <text>clinical genetics letter says gremlin mutation in MSH6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45"/>
  <sheetViews>
    <sheetView zoomScale="120" zoomScaleNormal="120" workbookViewId="0">
      <pane xSplit="1" topLeftCell="B1" activePane="topRight" state="frozen"/>
      <selection pane="topRight" activeCell="B4" sqref="B4"/>
    </sheetView>
  </sheetViews>
  <sheetFormatPr defaultColWidth="9.1796875" defaultRowHeight="15" customHeight="1" outlineLevelCol="1" x14ac:dyDescent="0.3"/>
  <cols>
    <col min="1" max="1" width="13" style="3" customWidth="1"/>
    <col min="2" max="2" width="18" style="3" customWidth="1"/>
    <col min="3" max="3" width="27.6328125" style="3" customWidth="1"/>
    <col min="4" max="4" width="21.1796875" style="3" customWidth="1"/>
    <col min="5" max="5" width="28.26953125" style="3" customWidth="1"/>
    <col min="6" max="7" width="21.90625" style="3" customWidth="1"/>
    <col min="8" max="8" width="19.54296875" style="57" customWidth="1"/>
    <col min="9" max="9" width="32" style="3" customWidth="1"/>
    <col min="10" max="10" width="18.90625" style="3" customWidth="1"/>
    <col min="11" max="11" width="18.36328125" style="57" customWidth="1"/>
    <col min="12" max="12" width="17.6328125" style="3" customWidth="1"/>
    <col min="13" max="13" width="25.7265625" style="3" customWidth="1"/>
    <col min="14" max="14" width="24.90625" style="3" customWidth="1"/>
    <col min="15" max="15" width="17" style="3" customWidth="1"/>
    <col min="16" max="16" width="23.90625" style="57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7" style="3" customWidth="1" outlineLevel="1"/>
    <col min="21" max="21" width="23.90625" style="57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7" style="3" customWidth="1" outlineLevel="1"/>
    <col min="26" max="26" width="23.90625" style="57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7" style="3" customWidth="1" outlineLevel="1"/>
    <col min="31" max="31" width="23.90625" style="57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7" style="3" customWidth="1" outlineLevel="1"/>
    <col min="36" max="36" width="23.90625" style="57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1796875" style="57" customWidth="1" outlineLevel="1"/>
    <col min="42" max="42" width="33.1796875" style="3" customWidth="1" outlineLevel="1"/>
    <col min="43" max="43" width="8" style="3" customWidth="1"/>
    <col min="44" max="44" width="16" style="57" customWidth="1"/>
    <col min="45" max="45" width="16.1796875" style="57" customWidth="1"/>
    <col min="46" max="46" width="14.81640625" style="3" customWidth="1"/>
    <col min="47" max="47" width="26.54296875" style="3" customWidth="1"/>
    <col min="48" max="48" width="28" style="3" customWidth="1"/>
    <col min="49" max="49" width="20.36328125" style="3" customWidth="1"/>
    <col min="50" max="51" width="8" style="3" customWidth="1"/>
    <col min="52" max="53" width="7.54296875" style="3" customWidth="1"/>
    <col min="54" max="54" width="11.26953125" style="3" customWidth="1"/>
    <col min="55" max="55" width="9.453125" style="3" customWidth="1"/>
    <col min="56" max="56" width="13.6328125" style="3" customWidth="1"/>
    <col min="57" max="57" width="10.81640625" style="3" customWidth="1"/>
    <col min="58" max="58" width="21.7265625" style="3" customWidth="1" collapsed="1"/>
    <col min="59" max="59" width="36.6328125" style="59" customWidth="1"/>
    <col min="60" max="60" width="15.1796875" style="3" customWidth="1"/>
    <col min="61" max="61" width="20" style="3" customWidth="1"/>
    <col min="62" max="62" width="23.08984375" style="57" customWidth="1"/>
    <col min="63" max="63" width="22.36328125" style="57" customWidth="1"/>
    <col min="64" max="64" width="28.90625" style="3" customWidth="1"/>
    <col min="65" max="65" width="15.1796875" style="3" customWidth="1"/>
    <col min="66" max="66" width="20" style="3" customWidth="1"/>
    <col min="67" max="67" width="29.36328125" style="3" customWidth="1"/>
    <col min="68" max="68" width="15.1796875" style="3" customWidth="1"/>
    <col min="69" max="69" width="20" style="3" customWidth="1"/>
    <col min="70" max="70" width="29.36328125" style="3" customWidth="1"/>
    <col min="71" max="71" width="15.1796875" style="3" customWidth="1"/>
    <col min="72" max="72" width="20" style="3" customWidth="1"/>
    <col min="73" max="73" width="29.36328125" style="3" customWidth="1"/>
    <col min="74" max="74" width="15.1796875" style="3" customWidth="1"/>
    <col min="75" max="75" width="20" style="3" customWidth="1"/>
    <col min="76" max="76" width="29.36328125" style="3" customWidth="1"/>
    <col min="77" max="77" width="15.1796875" style="3" customWidth="1"/>
    <col min="78" max="78" width="20" style="3" customWidth="1"/>
    <col min="79" max="79" width="29.36328125" style="3" customWidth="1"/>
    <col min="80" max="80" width="15.1796875" style="3" customWidth="1"/>
    <col min="81" max="81" width="20" style="3" customWidth="1"/>
    <col min="82" max="82" width="29.36328125" style="3" customWidth="1"/>
    <col min="83" max="83" width="15.1796875" style="3" customWidth="1"/>
    <col min="84" max="84" width="20" style="3" customWidth="1"/>
    <col min="85" max="85" width="29.36328125" style="3" customWidth="1"/>
    <col min="86" max="86" width="15.1796875" style="3" customWidth="1"/>
    <col min="87" max="87" width="20" style="3" customWidth="1"/>
    <col min="88" max="88" width="29.36328125" style="3" customWidth="1"/>
    <col min="89" max="89" width="16.08984375" style="3" customWidth="1"/>
    <col min="90" max="90" width="20.90625" style="3" customWidth="1"/>
    <col min="91" max="91" width="29.81640625" style="3" customWidth="1"/>
    <col min="92" max="92" width="14.81640625" style="3" customWidth="1"/>
    <col min="93" max="93" width="32.7265625" style="3" customWidth="1"/>
    <col min="94" max="94" width="20.26953125" style="57" customWidth="1"/>
    <col min="95" max="95" width="19.453125" style="57" customWidth="1"/>
    <col min="96" max="96" width="26.08984375" style="3" customWidth="1"/>
    <col min="97" max="97" width="12.26953125" style="3" customWidth="1"/>
    <col min="98" max="98" width="29.453125" style="3" customWidth="1"/>
    <col min="99" max="99" width="26.453125" style="3" customWidth="1"/>
    <col min="100" max="100" width="14" style="3" customWidth="1"/>
    <col min="101" max="101" width="17.08984375" style="3" customWidth="1"/>
    <col min="102" max="102" width="26.453125" style="3" customWidth="1"/>
    <col min="103" max="103" width="15.81640625" style="3" customWidth="1"/>
    <col min="104" max="104" width="17.08984375" style="3" customWidth="1"/>
    <col min="105" max="105" width="26.453125" style="3" customWidth="1"/>
    <col min="106" max="106" width="15.81640625" style="3" customWidth="1"/>
    <col min="107" max="107" width="17.08984375" style="3" customWidth="1"/>
    <col min="108" max="108" width="26.453125" style="3" customWidth="1"/>
    <col min="109" max="109" width="15.81640625" style="3" customWidth="1"/>
    <col min="110" max="110" width="17.08984375" style="3" customWidth="1"/>
    <col min="111" max="111" width="26.453125" style="3" customWidth="1"/>
    <col min="112" max="112" width="15.81640625" style="3" customWidth="1"/>
    <col min="113" max="113" width="17.08984375" style="3" customWidth="1"/>
    <col min="114" max="114" width="26.453125" style="3" customWidth="1"/>
    <col min="115" max="115" width="15.81640625" style="3" customWidth="1"/>
    <col min="116" max="116" width="17.08984375" style="3" customWidth="1"/>
    <col min="117" max="117" width="26.453125" style="3" customWidth="1"/>
    <col min="118" max="118" width="15.81640625" style="3" customWidth="1"/>
    <col min="119" max="119" width="17.08984375" style="3" customWidth="1"/>
    <col min="120" max="120" width="26.453125" style="3" customWidth="1"/>
    <col min="121" max="121" width="15.81640625" style="3" customWidth="1"/>
    <col min="122" max="122" width="18" style="3" customWidth="1"/>
    <col min="123" max="123" width="27" style="3" customWidth="1"/>
    <col min="124" max="124" width="15.81640625" style="3" customWidth="1"/>
    <col min="125" max="125" width="18" style="3" customWidth="1"/>
    <col min="126" max="126" width="27" style="3" customWidth="1"/>
    <col min="127" max="127" width="15.81640625" style="3" customWidth="1"/>
    <col min="128" max="128" width="18" style="3" customWidth="1"/>
    <col min="129" max="129" width="27" style="3" customWidth="1"/>
    <col min="130" max="130" width="15.81640625" style="3" customWidth="1"/>
    <col min="131" max="131" width="18" style="3" customWidth="1"/>
    <col min="132" max="132" width="27" style="3" customWidth="1"/>
    <col min="133" max="133" width="15.81640625" style="3" customWidth="1"/>
    <col min="134" max="134" width="18" style="3" customWidth="1"/>
    <col min="135" max="135" width="27" style="3" customWidth="1"/>
    <col min="136" max="136" width="15.81640625" style="3" customWidth="1"/>
    <col min="137" max="137" width="18" style="3" customWidth="1"/>
    <col min="138" max="138" width="27" style="3" customWidth="1"/>
    <col min="139" max="139" width="26" style="57" customWidth="1" collapsed="1"/>
    <col min="140" max="140" width="50.81640625" style="3" customWidth="1"/>
    <col min="141" max="141" width="15.453125" style="3" customWidth="1"/>
    <col min="142" max="142" width="39.54296875" style="3" customWidth="1"/>
    <col min="143" max="143" width="22.26953125" style="57" customWidth="1"/>
    <col min="144" max="144" width="24.1796875" style="57" customWidth="1"/>
    <col min="145" max="145" width="30.08984375" style="3" customWidth="1"/>
    <col min="146" max="146" width="15.54296875" style="3" customWidth="1"/>
    <col min="147" max="147" width="33.1796875" style="3" customWidth="1"/>
    <col min="148" max="148" width="30.08984375" style="3" customWidth="1"/>
    <col min="149" max="149" width="14.36328125" style="3" customWidth="1"/>
    <col min="150" max="150" width="26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" style="3" customWidth="1"/>
    <col min="171" max="171" width="20.08984375" style="3" customWidth="1"/>
    <col min="172" max="172" width="31" style="3" customWidth="1"/>
    <col min="173" max="173" width="16" style="3" customWidth="1"/>
    <col min="174" max="174" width="20.08984375" style="3" customWidth="1"/>
    <col min="175" max="175" width="31" style="3" customWidth="1"/>
    <col min="176" max="176" width="16" style="3" customWidth="1"/>
    <col min="177" max="177" width="20.08984375" style="3" customWidth="1"/>
    <col min="178" max="178" width="31" style="3" customWidth="1"/>
    <col min="179" max="179" width="16" style="3" customWidth="1"/>
    <col min="180" max="180" width="20.08984375" style="3" customWidth="1"/>
    <col min="181" max="181" width="31" style="3" customWidth="1"/>
    <col min="182" max="182" width="16" style="3" customWidth="1"/>
    <col min="183" max="183" width="20.08984375" style="3" customWidth="1"/>
    <col min="184" max="184" width="31" style="3" customWidth="1"/>
    <col min="185" max="185" width="16" style="3" customWidth="1"/>
    <col min="186" max="186" width="20.08984375" style="3" customWidth="1"/>
    <col min="187" max="187" width="31" style="3" customWidth="1"/>
    <col min="188" max="188" width="13.26953125" style="3" customWidth="1"/>
    <col min="189" max="189" width="16" style="57" customWidth="1"/>
    <col min="190" max="190" width="18.90625" style="3" customWidth="1"/>
    <col min="191" max="191" width="26.26953125" style="3" customWidth="1"/>
    <col min="192" max="192" width="16.7265625" style="57" customWidth="1"/>
    <col min="193" max="193" width="15.7265625" style="57" customWidth="1"/>
    <col min="194" max="194" width="24.7265625" style="57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453125" style="3" customWidth="1"/>
    <col min="199" max="203" width="27" style="3" customWidth="1"/>
    <col min="204" max="204" width="33.26953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179687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7.816406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 t="s">
        <v>1</v>
      </c>
    </row>
    <row r="3" spans="1:219" ht="57.75" customHeight="1" x14ac:dyDescent="0.3">
      <c r="A3" s="115" t="s">
        <v>2</v>
      </c>
      <c r="B3" s="116" t="s">
        <v>3</v>
      </c>
      <c r="C3" s="116" t="s">
        <v>4</v>
      </c>
      <c r="D3" s="117" t="s">
        <v>5</v>
      </c>
      <c r="E3" s="117" t="s">
        <v>6</v>
      </c>
      <c r="F3" s="117" t="s">
        <v>7</v>
      </c>
      <c r="G3" s="117" t="s">
        <v>8</v>
      </c>
      <c r="H3" s="118" t="s">
        <v>9</v>
      </c>
      <c r="I3" s="117" t="s">
        <v>10</v>
      </c>
      <c r="J3" s="117" t="s">
        <v>11</v>
      </c>
      <c r="K3" s="118" t="s">
        <v>12</v>
      </c>
      <c r="L3" s="116" t="s">
        <v>13</v>
      </c>
      <c r="M3" s="119" t="s">
        <v>14</v>
      </c>
      <c r="N3" s="119" t="s">
        <v>15</v>
      </c>
      <c r="O3" s="119" t="s">
        <v>16</v>
      </c>
      <c r="P3" s="120" t="s">
        <v>17</v>
      </c>
      <c r="Q3" s="121" t="s">
        <v>18</v>
      </c>
      <c r="R3" s="119" t="s">
        <v>19</v>
      </c>
      <c r="S3" s="119" t="s">
        <v>20</v>
      </c>
      <c r="T3" s="119" t="s">
        <v>21</v>
      </c>
      <c r="U3" s="120" t="s">
        <v>22</v>
      </c>
      <c r="V3" s="121" t="s">
        <v>23</v>
      </c>
      <c r="W3" s="119" t="s">
        <v>24</v>
      </c>
      <c r="X3" s="119" t="s">
        <v>25</v>
      </c>
      <c r="Y3" s="119" t="s">
        <v>26</v>
      </c>
      <c r="Z3" s="120" t="s">
        <v>27</v>
      </c>
      <c r="AA3" s="121" t="s">
        <v>28</v>
      </c>
      <c r="AB3" s="119" t="s">
        <v>29</v>
      </c>
      <c r="AC3" s="119" t="s">
        <v>30</v>
      </c>
      <c r="AD3" s="119" t="s">
        <v>31</v>
      </c>
      <c r="AE3" s="120" t="s">
        <v>32</v>
      </c>
      <c r="AF3" s="121" t="s">
        <v>33</v>
      </c>
      <c r="AG3" s="119" t="s">
        <v>34</v>
      </c>
      <c r="AH3" s="119" t="s">
        <v>35</v>
      </c>
      <c r="AI3" s="119" t="s">
        <v>36</v>
      </c>
      <c r="AJ3" s="120" t="s">
        <v>37</v>
      </c>
      <c r="AK3" s="121" t="s">
        <v>38</v>
      </c>
      <c r="AL3" s="119" t="s">
        <v>39</v>
      </c>
      <c r="AM3" s="119" t="s">
        <v>40</v>
      </c>
      <c r="AN3" s="119" t="s">
        <v>41</v>
      </c>
      <c r="AO3" s="120" t="s">
        <v>42</v>
      </c>
      <c r="AP3" s="121" t="s">
        <v>43</v>
      </c>
      <c r="AQ3" s="117" t="s">
        <v>44</v>
      </c>
      <c r="AR3" s="118" t="s">
        <v>45</v>
      </c>
      <c r="AS3" s="122" t="s">
        <v>46</v>
      </c>
      <c r="AT3" s="123" t="s">
        <v>47</v>
      </c>
      <c r="AU3" s="124" t="s">
        <v>48</v>
      </c>
      <c r="AV3" s="124" t="s">
        <v>49</v>
      </c>
      <c r="AW3" s="123" t="s">
        <v>50</v>
      </c>
      <c r="AX3" s="123" t="s">
        <v>51</v>
      </c>
      <c r="AY3" s="123" t="s">
        <v>52</v>
      </c>
      <c r="AZ3" s="123" t="s">
        <v>53</v>
      </c>
      <c r="BA3" s="123" t="s">
        <v>54</v>
      </c>
      <c r="BB3" s="124" t="s">
        <v>55</v>
      </c>
      <c r="BC3" s="124" t="s">
        <v>56</v>
      </c>
      <c r="BD3" s="124" t="s">
        <v>57</v>
      </c>
      <c r="BE3" s="125" t="s">
        <v>58</v>
      </c>
      <c r="BF3" s="126" t="s">
        <v>59</v>
      </c>
      <c r="BG3" s="127" t="s">
        <v>60</v>
      </c>
      <c r="BH3" s="128" t="s">
        <v>61</v>
      </c>
      <c r="BI3" s="128" t="s">
        <v>62</v>
      </c>
      <c r="BJ3" s="129" t="s">
        <v>63</v>
      </c>
      <c r="BK3" s="129" t="s">
        <v>64</v>
      </c>
      <c r="BL3" s="128" t="s">
        <v>65</v>
      </c>
      <c r="BM3" s="128" t="s">
        <v>66</v>
      </c>
      <c r="BN3" s="128" t="s">
        <v>67</v>
      </c>
      <c r="BO3" s="128" t="s">
        <v>68</v>
      </c>
      <c r="BP3" s="128" t="s">
        <v>69</v>
      </c>
      <c r="BQ3" s="128" t="s">
        <v>70</v>
      </c>
      <c r="BR3" s="128" t="s">
        <v>71</v>
      </c>
      <c r="BS3" s="128" t="s">
        <v>72</v>
      </c>
      <c r="BT3" s="128" t="s">
        <v>73</v>
      </c>
      <c r="BU3" s="128" t="s">
        <v>74</v>
      </c>
      <c r="BV3" s="128" t="s">
        <v>75</v>
      </c>
      <c r="BW3" s="128" t="s">
        <v>76</v>
      </c>
      <c r="BX3" s="128" t="s">
        <v>77</v>
      </c>
      <c r="BY3" s="128" t="s">
        <v>78</v>
      </c>
      <c r="BZ3" s="128" t="s">
        <v>79</v>
      </c>
      <c r="CA3" s="128" t="s">
        <v>80</v>
      </c>
      <c r="CB3" s="128" t="s">
        <v>81</v>
      </c>
      <c r="CC3" s="128" t="s">
        <v>82</v>
      </c>
      <c r="CD3" s="128" t="s">
        <v>83</v>
      </c>
      <c r="CE3" s="128" t="s">
        <v>84</v>
      </c>
      <c r="CF3" s="128" t="s">
        <v>85</v>
      </c>
      <c r="CG3" s="128" t="s">
        <v>86</v>
      </c>
      <c r="CH3" s="128" t="s">
        <v>87</v>
      </c>
      <c r="CI3" s="128" t="s">
        <v>88</v>
      </c>
      <c r="CJ3" s="128" t="s">
        <v>89</v>
      </c>
      <c r="CK3" s="128" t="s">
        <v>90</v>
      </c>
      <c r="CL3" s="128" t="s">
        <v>91</v>
      </c>
      <c r="CM3" s="128" t="s">
        <v>92</v>
      </c>
      <c r="CN3" s="130" t="s">
        <v>93</v>
      </c>
      <c r="CO3" s="130" t="s">
        <v>94</v>
      </c>
      <c r="CP3" s="131" t="s">
        <v>95</v>
      </c>
      <c r="CQ3" s="131" t="s">
        <v>96</v>
      </c>
      <c r="CR3" s="130" t="s">
        <v>97</v>
      </c>
      <c r="CS3" s="130" t="s">
        <v>98</v>
      </c>
      <c r="CT3" s="130" t="s">
        <v>99</v>
      </c>
      <c r="CU3" s="130" t="s">
        <v>100</v>
      </c>
      <c r="CV3" s="130" t="s">
        <v>101</v>
      </c>
      <c r="CW3" s="130" t="s">
        <v>102</v>
      </c>
      <c r="CX3" s="130" t="s">
        <v>103</v>
      </c>
      <c r="CY3" s="130" t="s">
        <v>104</v>
      </c>
      <c r="CZ3" s="130" t="s">
        <v>105</v>
      </c>
      <c r="DA3" s="130" t="s">
        <v>106</v>
      </c>
      <c r="DB3" s="130" t="s">
        <v>107</v>
      </c>
      <c r="DC3" s="130" t="s">
        <v>108</v>
      </c>
      <c r="DD3" s="130" t="s">
        <v>109</v>
      </c>
      <c r="DE3" s="130" t="s">
        <v>110</v>
      </c>
      <c r="DF3" s="130" t="s">
        <v>111</v>
      </c>
      <c r="DG3" s="130" t="s">
        <v>112</v>
      </c>
      <c r="DH3" s="130" t="s">
        <v>113</v>
      </c>
      <c r="DI3" s="130" t="s">
        <v>114</v>
      </c>
      <c r="DJ3" s="130" t="s">
        <v>115</v>
      </c>
      <c r="DK3" s="130" t="s">
        <v>116</v>
      </c>
      <c r="DL3" s="130" t="s">
        <v>117</v>
      </c>
      <c r="DM3" s="130" t="s">
        <v>118</v>
      </c>
      <c r="DN3" s="130" t="s">
        <v>119</v>
      </c>
      <c r="DO3" s="130" t="s">
        <v>120</v>
      </c>
      <c r="DP3" s="130" t="s">
        <v>121</v>
      </c>
      <c r="DQ3" s="130" t="s">
        <v>122</v>
      </c>
      <c r="DR3" s="130" t="s">
        <v>123</v>
      </c>
      <c r="DS3" s="130" t="s">
        <v>124</v>
      </c>
      <c r="DT3" s="130" t="s">
        <v>125</v>
      </c>
      <c r="DU3" s="130" t="s">
        <v>126</v>
      </c>
      <c r="DV3" s="130" t="s">
        <v>127</v>
      </c>
      <c r="DW3" s="130" t="s">
        <v>128</v>
      </c>
      <c r="DX3" s="130" t="s">
        <v>129</v>
      </c>
      <c r="DY3" s="130" t="s">
        <v>130</v>
      </c>
      <c r="DZ3" s="130" t="s">
        <v>131</v>
      </c>
      <c r="EA3" s="130" t="s">
        <v>132</v>
      </c>
      <c r="EB3" s="130" t="s">
        <v>133</v>
      </c>
      <c r="EC3" s="130" t="s">
        <v>134</v>
      </c>
      <c r="ED3" s="130" t="s">
        <v>135</v>
      </c>
      <c r="EE3" s="130" t="s">
        <v>136</v>
      </c>
      <c r="EF3" s="130" t="s">
        <v>137</v>
      </c>
      <c r="EG3" s="130" t="s">
        <v>138</v>
      </c>
      <c r="EH3" s="130" t="s">
        <v>139</v>
      </c>
      <c r="EI3" s="132" t="s">
        <v>140</v>
      </c>
      <c r="EJ3" s="133" t="s">
        <v>141</v>
      </c>
      <c r="EK3" s="134" t="s">
        <v>142</v>
      </c>
      <c r="EL3" s="134" t="s">
        <v>143</v>
      </c>
      <c r="EM3" s="135" t="s">
        <v>144</v>
      </c>
      <c r="EN3" s="135" t="s">
        <v>145</v>
      </c>
      <c r="EO3" s="134" t="s">
        <v>146</v>
      </c>
      <c r="EP3" s="134" t="s">
        <v>147</v>
      </c>
      <c r="EQ3" s="134" t="s">
        <v>148</v>
      </c>
      <c r="ER3" s="134" t="s">
        <v>149</v>
      </c>
      <c r="ES3" s="134" t="s">
        <v>150</v>
      </c>
      <c r="ET3" s="134" t="s">
        <v>151</v>
      </c>
      <c r="EU3" s="134" t="s">
        <v>152</v>
      </c>
      <c r="EV3" s="134" t="s">
        <v>153</v>
      </c>
      <c r="EW3" s="134" t="s">
        <v>154</v>
      </c>
      <c r="EX3" s="134" t="s">
        <v>155</v>
      </c>
      <c r="EY3" s="134" t="s">
        <v>156</v>
      </c>
      <c r="EZ3" s="134" t="s">
        <v>157</v>
      </c>
      <c r="FA3" s="134" t="s">
        <v>158</v>
      </c>
      <c r="FB3" s="134" t="s">
        <v>159</v>
      </c>
      <c r="FC3" s="134" t="s">
        <v>160</v>
      </c>
      <c r="FD3" s="134" t="s">
        <v>161</v>
      </c>
      <c r="FE3" s="134" t="s">
        <v>162</v>
      </c>
      <c r="FF3" s="134" t="s">
        <v>163</v>
      </c>
      <c r="FG3" s="134" t="s">
        <v>164</v>
      </c>
      <c r="FH3" s="134" t="s">
        <v>165</v>
      </c>
      <c r="FI3" s="134" t="s">
        <v>166</v>
      </c>
      <c r="FJ3" s="134" t="s">
        <v>167</v>
      </c>
      <c r="FK3" s="134" t="s">
        <v>168</v>
      </c>
      <c r="FL3" s="134" t="s">
        <v>169</v>
      </c>
      <c r="FM3" s="134" t="s">
        <v>170</v>
      </c>
      <c r="FN3" s="134" t="s">
        <v>171</v>
      </c>
      <c r="FO3" s="134" t="s">
        <v>172</v>
      </c>
      <c r="FP3" s="134" t="s">
        <v>173</v>
      </c>
      <c r="FQ3" s="134" t="s">
        <v>174</v>
      </c>
      <c r="FR3" s="134" t="s">
        <v>175</v>
      </c>
      <c r="FS3" s="134" t="s">
        <v>176</v>
      </c>
      <c r="FT3" s="134" t="s">
        <v>177</v>
      </c>
      <c r="FU3" s="134" t="s">
        <v>178</v>
      </c>
      <c r="FV3" s="134" t="s">
        <v>179</v>
      </c>
      <c r="FW3" s="134" t="s">
        <v>180</v>
      </c>
      <c r="FX3" s="134" t="s">
        <v>181</v>
      </c>
      <c r="FY3" s="134" t="s">
        <v>182</v>
      </c>
      <c r="FZ3" s="134" t="s">
        <v>183</v>
      </c>
      <c r="GA3" s="134" t="s">
        <v>184</v>
      </c>
      <c r="GB3" s="134" t="s">
        <v>185</v>
      </c>
      <c r="GC3" s="134" t="s">
        <v>186</v>
      </c>
      <c r="GD3" s="134" t="s">
        <v>187</v>
      </c>
      <c r="GE3" s="134" t="s">
        <v>188</v>
      </c>
      <c r="GF3" s="136" t="s">
        <v>189</v>
      </c>
      <c r="GG3" s="137" t="s">
        <v>190</v>
      </c>
      <c r="GH3" s="138" t="s">
        <v>191</v>
      </c>
      <c r="GI3" s="35" t="s">
        <v>192</v>
      </c>
      <c r="GJ3" s="137" t="s">
        <v>193</v>
      </c>
      <c r="GK3" s="137" t="s">
        <v>194</v>
      </c>
      <c r="GL3" s="139" t="s">
        <v>195</v>
      </c>
      <c r="GM3" s="140" t="s">
        <v>196</v>
      </c>
      <c r="GN3" s="140" t="s">
        <v>197</v>
      </c>
      <c r="GO3" s="140" t="s">
        <v>198</v>
      </c>
      <c r="GP3" s="140" t="s">
        <v>199</v>
      </c>
      <c r="GQ3" s="140" t="s">
        <v>200</v>
      </c>
      <c r="GR3" s="140" t="s">
        <v>201</v>
      </c>
      <c r="GS3" s="140" t="s">
        <v>202</v>
      </c>
      <c r="GT3" s="140" t="s">
        <v>203</v>
      </c>
      <c r="GU3" s="140" t="s">
        <v>204</v>
      </c>
      <c r="GV3" s="140" t="s">
        <v>205</v>
      </c>
      <c r="GW3" s="140" t="s">
        <v>206</v>
      </c>
      <c r="GX3" s="140" t="s">
        <v>207</v>
      </c>
      <c r="GY3" s="140" t="s">
        <v>208</v>
      </c>
      <c r="GZ3" s="140" t="s">
        <v>209</v>
      </c>
      <c r="HA3" s="140" t="s">
        <v>210</v>
      </c>
      <c r="HB3" s="140" t="s">
        <v>211</v>
      </c>
      <c r="HC3" s="140" t="s">
        <v>212</v>
      </c>
      <c r="HD3" s="140" t="s">
        <v>213</v>
      </c>
      <c r="HE3" s="140" t="s">
        <v>214</v>
      </c>
      <c r="HF3" s="141" t="s">
        <v>215</v>
      </c>
      <c r="HG3" s="142" t="s">
        <v>216</v>
      </c>
      <c r="HH3" s="143" t="s">
        <v>217</v>
      </c>
      <c r="HI3" s="144" t="s">
        <v>218</v>
      </c>
      <c r="HJ3" s="90" t="s">
        <v>219</v>
      </c>
      <c r="HK3" s="142" t="s">
        <v>220</v>
      </c>
    </row>
    <row r="4" spans="1:219" s="60" customFormat="1" ht="15" customHeight="1" x14ac:dyDescent="0.3">
      <c r="A4" s="61">
        <v>4342908360</v>
      </c>
      <c r="B4" s="93" t="s">
        <v>221</v>
      </c>
      <c r="C4" s="93" t="s">
        <v>222</v>
      </c>
      <c r="D4" s="93" t="s">
        <v>221</v>
      </c>
      <c r="E4" s="145" t="s">
        <v>223</v>
      </c>
      <c r="F4" s="146">
        <v>7</v>
      </c>
      <c r="G4" s="146">
        <v>8</v>
      </c>
      <c r="H4" s="70">
        <v>41711</v>
      </c>
      <c r="I4" s="147" t="s">
        <v>224</v>
      </c>
      <c r="J4" s="148" t="s">
        <v>225</v>
      </c>
      <c r="K4" s="93" t="s">
        <v>226</v>
      </c>
      <c r="L4" s="93" t="s">
        <v>226</v>
      </c>
      <c r="M4" s="93" t="s">
        <v>226</v>
      </c>
      <c r="N4" s="93" t="s">
        <v>226</v>
      </c>
      <c r="O4" s="93" t="s">
        <v>226</v>
      </c>
      <c r="P4" s="93" t="s">
        <v>226</v>
      </c>
      <c r="Q4" s="93" t="s">
        <v>226</v>
      </c>
      <c r="R4" s="93" t="s">
        <v>226</v>
      </c>
      <c r="S4" s="93" t="s">
        <v>226</v>
      </c>
      <c r="T4" s="93" t="s">
        <v>226</v>
      </c>
      <c r="U4" s="93" t="s">
        <v>226</v>
      </c>
      <c r="V4" s="93" t="s">
        <v>226</v>
      </c>
      <c r="W4" s="93" t="s">
        <v>226</v>
      </c>
      <c r="X4" s="93" t="s">
        <v>226</v>
      </c>
      <c r="Y4" s="93" t="s">
        <v>226</v>
      </c>
      <c r="Z4" s="93" t="s">
        <v>226</v>
      </c>
      <c r="AA4" s="93" t="s">
        <v>226</v>
      </c>
      <c r="AB4" s="93" t="s">
        <v>226</v>
      </c>
      <c r="AC4" s="93" t="s">
        <v>226</v>
      </c>
      <c r="AD4" s="93" t="s">
        <v>226</v>
      </c>
      <c r="AE4" s="93" t="s">
        <v>226</v>
      </c>
      <c r="AF4" s="93" t="s">
        <v>226</v>
      </c>
      <c r="AG4" s="93" t="s">
        <v>226</v>
      </c>
      <c r="AH4" s="93" t="s">
        <v>226</v>
      </c>
      <c r="AI4" s="93" t="s">
        <v>226</v>
      </c>
      <c r="AJ4" s="93" t="s">
        <v>226</v>
      </c>
      <c r="AK4" s="93" t="s">
        <v>226</v>
      </c>
      <c r="AL4" s="93" t="s">
        <v>226</v>
      </c>
      <c r="AM4" s="93" t="s">
        <v>226</v>
      </c>
      <c r="AN4" s="93" t="s">
        <v>226</v>
      </c>
      <c r="AO4" s="93" t="s">
        <v>226</v>
      </c>
      <c r="AP4" s="93" t="s">
        <v>226</v>
      </c>
      <c r="AQ4" s="145" t="s">
        <v>227</v>
      </c>
      <c r="AR4" s="69">
        <v>9953</v>
      </c>
      <c r="AS4" s="70">
        <v>41667</v>
      </c>
      <c r="AT4" s="149">
        <f t="shared" ref="AT4:AT45" si="0">DATEDIF(AR4, AS4,"Y")</f>
        <v>86</v>
      </c>
      <c r="AU4" s="147" t="s">
        <v>228</v>
      </c>
      <c r="AV4" s="93" t="s">
        <v>229</v>
      </c>
      <c r="AW4" s="93" t="s">
        <v>230</v>
      </c>
      <c r="AX4" s="150" t="s">
        <v>231</v>
      </c>
      <c r="AY4" s="151" t="s">
        <v>232</v>
      </c>
      <c r="AZ4" s="150" t="s">
        <v>232</v>
      </c>
      <c r="BA4" s="150">
        <v>0</v>
      </c>
      <c r="BB4" s="93" t="s">
        <v>233</v>
      </c>
      <c r="BC4" s="152">
        <v>3</v>
      </c>
      <c r="BD4" s="153" t="s">
        <v>234</v>
      </c>
      <c r="BE4" s="93" t="s">
        <v>235</v>
      </c>
      <c r="BF4" s="153" t="s">
        <v>221</v>
      </c>
      <c r="BG4" s="154" t="s">
        <v>226</v>
      </c>
      <c r="BH4" s="155" t="s">
        <v>226</v>
      </c>
      <c r="BI4" s="155" t="s">
        <v>226</v>
      </c>
      <c r="BJ4" s="155" t="s">
        <v>226</v>
      </c>
      <c r="BK4" s="155" t="s">
        <v>226</v>
      </c>
      <c r="BL4" s="155" t="s">
        <v>226</v>
      </c>
      <c r="BM4" s="155" t="s">
        <v>226</v>
      </c>
      <c r="BN4" s="155" t="s">
        <v>226</v>
      </c>
      <c r="BO4" s="155" t="s">
        <v>226</v>
      </c>
      <c r="BP4" s="155" t="s">
        <v>226</v>
      </c>
      <c r="BQ4" s="155" t="s">
        <v>226</v>
      </c>
      <c r="BR4" s="155" t="s">
        <v>226</v>
      </c>
      <c r="BS4" s="155" t="s">
        <v>226</v>
      </c>
      <c r="BT4" s="155" t="s">
        <v>226</v>
      </c>
      <c r="BU4" s="155" t="s">
        <v>226</v>
      </c>
      <c r="BV4" s="155" t="s">
        <v>226</v>
      </c>
      <c r="BW4" s="155" t="s">
        <v>226</v>
      </c>
      <c r="BX4" s="155" t="s">
        <v>226</v>
      </c>
      <c r="BY4" s="155" t="s">
        <v>226</v>
      </c>
      <c r="BZ4" s="155" t="s">
        <v>226</v>
      </c>
      <c r="CA4" s="155" t="s">
        <v>226</v>
      </c>
      <c r="CB4" s="155" t="s">
        <v>226</v>
      </c>
      <c r="CC4" s="155" t="s">
        <v>226</v>
      </c>
      <c r="CD4" s="155" t="s">
        <v>226</v>
      </c>
      <c r="CE4" s="155" t="s">
        <v>226</v>
      </c>
      <c r="CF4" s="155" t="s">
        <v>226</v>
      </c>
      <c r="CG4" s="155" t="s">
        <v>226</v>
      </c>
      <c r="CH4" s="155" t="s">
        <v>226</v>
      </c>
      <c r="CI4" s="155" t="s">
        <v>226</v>
      </c>
      <c r="CJ4" s="155" t="s">
        <v>226</v>
      </c>
      <c r="CK4" s="155" t="s">
        <v>226</v>
      </c>
      <c r="CL4" s="155" t="s">
        <v>226</v>
      </c>
      <c r="CM4" s="155" t="s">
        <v>226</v>
      </c>
      <c r="CN4" s="155" t="s">
        <v>226</v>
      </c>
      <c r="CO4" s="155" t="s">
        <v>226</v>
      </c>
      <c r="CP4" s="155" t="s">
        <v>226</v>
      </c>
      <c r="CQ4" s="155" t="s">
        <v>226</v>
      </c>
      <c r="CR4" s="155" t="s">
        <v>226</v>
      </c>
      <c r="CS4" s="155" t="s">
        <v>226</v>
      </c>
      <c r="CT4" s="155" t="s">
        <v>226</v>
      </c>
      <c r="CU4" s="155" t="s">
        <v>226</v>
      </c>
      <c r="CV4" s="155" t="s">
        <v>226</v>
      </c>
      <c r="CW4" s="155" t="s">
        <v>226</v>
      </c>
      <c r="CX4" s="155" t="s">
        <v>226</v>
      </c>
      <c r="CY4" s="155" t="s">
        <v>226</v>
      </c>
      <c r="CZ4" s="155" t="s">
        <v>226</v>
      </c>
      <c r="DA4" s="155" t="s">
        <v>226</v>
      </c>
      <c r="DB4" s="155" t="s">
        <v>226</v>
      </c>
      <c r="DC4" s="155" t="s">
        <v>226</v>
      </c>
      <c r="DD4" s="155" t="s">
        <v>226</v>
      </c>
      <c r="DE4" s="155" t="s">
        <v>226</v>
      </c>
      <c r="DF4" s="155" t="s">
        <v>226</v>
      </c>
      <c r="DG4" s="155" t="s">
        <v>226</v>
      </c>
      <c r="DH4" s="155" t="s">
        <v>226</v>
      </c>
      <c r="DI4" s="155" t="s">
        <v>226</v>
      </c>
      <c r="DJ4" s="155" t="s">
        <v>226</v>
      </c>
      <c r="DK4" s="155" t="s">
        <v>226</v>
      </c>
      <c r="DL4" s="155" t="s">
        <v>226</v>
      </c>
      <c r="DM4" s="155" t="s">
        <v>226</v>
      </c>
      <c r="DN4" s="155" t="s">
        <v>226</v>
      </c>
      <c r="DO4" s="155" t="s">
        <v>226</v>
      </c>
      <c r="DP4" s="155" t="s">
        <v>226</v>
      </c>
      <c r="DQ4" s="155" t="s">
        <v>226</v>
      </c>
      <c r="DR4" s="155" t="s">
        <v>226</v>
      </c>
      <c r="DS4" s="155" t="s">
        <v>226</v>
      </c>
      <c r="DT4" s="155" t="s">
        <v>226</v>
      </c>
      <c r="DU4" s="155" t="s">
        <v>226</v>
      </c>
      <c r="DV4" s="155" t="s">
        <v>226</v>
      </c>
      <c r="DW4" s="155" t="s">
        <v>226</v>
      </c>
      <c r="DX4" s="155" t="s">
        <v>226</v>
      </c>
      <c r="DY4" s="155" t="s">
        <v>226</v>
      </c>
      <c r="DZ4" s="155" t="s">
        <v>226</v>
      </c>
      <c r="EA4" s="155" t="s">
        <v>226</v>
      </c>
      <c r="EB4" s="155" t="s">
        <v>226</v>
      </c>
      <c r="EC4" s="155" t="s">
        <v>226</v>
      </c>
      <c r="ED4" s="155" t="s">
        <v>226</v>
      </c>
      <c r="EE4" s="155" t="s">
        <v>226</v>
      </c>
      <c r="EF4" s="155" t="s">
        <v>226</v>
      </c>
      <c r="EG4" s="155" t="s">
        <v>226</v>
      </c>
      <c r="EH4" s="155" t="s">
        <v>226</v>
      </c>
      <c r="EI4" s="156">
        <v>42423</v>
      </c>
      <c r="EJ4" s="153" t="s">
        <v>236</v>
      </c>
      <c r="EK4" s="155" t="s">
        <v>226</v>
      </c>
      <c r="EL4" s="157" t="s">
        <v>226</v>
      </c>
      <c r="EM4" s="158" t="s">
        <v>226</v>
      </c>
      <c r="EN4" s="70" t="s">
        <v>226</v>
      </c>
      <c r="EO4" s="155" t="s">
        <v>226</v>
      </c>
      <c r="EP4" s="155" t="s">
        <v>226</v>
      </c>
      <c r="EQ4" s="155" t="s">
        <v>226</v>
      </c>
      <c r="ER4" s="155" t="s">
        <v>226</v>
      </c>
      <c r="ES4" s="155" t="s">
        <v>226</v>
      </c>
      <c r="ET4" s="155" t="s">
        <v>226</v>
      </c>
      <c r="EU4" s="155" t="s">
        <v>226</v>
      </c>
      <c r="EV4" s="155" t="s">
        <v>226</v>
      </c>
      <c r="EW4" s="155" t="s">
        <v>226</v>
      </c>
      <c r="EX4" s="155" t="s">
        <v>226</v>
      </c>
      <c r="EY4" s="155" t="s">
        <v>226</v>
      </c>
      <c r="EZ4" s="155" t="s">
        <v>226</v>
      </c>
      <c r="FA4" s="155" t="s">
        <v>226</v>
      </c>
      <c r="FB4" s="155" t="s">
        <v>226</v>
      </c>
      <c r="FC4" s="155" t="s">
        <v>226</v>
      </c>
      <c r="FD4" s="155" t="s">
        <v>226</v>
      </c>
      <c r="FE4" s="155" t="s">
        <v>226</v>
      </c>
      <c r="FF4" s="155" t="s">
        <v>226</v>
      </c>
      <c r="FG4" s="155" t="s">
        <v>226</v>
      </c>
      <c r="FH4" s="155" t="s">
        <v>226</v>
      </c>
      <c r="FI4" s="155" t="s">
        <v>226</v>
      </c>
      <c r="FJ4" s="155" t="s">
        <v>226</v>
      </c>
      <c r="FK4" s="155" t="s">
        <v>226</v>
      </c>
      <c r="FL4" s="155" t="s">
        <v>226</v>
      </c>
      <c r="FM4" s="155" t="s">
        <v>226</v>
      </c>
      <c r="FN4" s="155" t="s">
        <v>226</v>
      </c>
      <c r="FO4" s="155" t="s">
        <v>226</v>
      </c>
      <c r="FP4" s="155" t="s">
        <v>226</v>
      </c>
      <c r="FQ4" s="155" t="s">
        <v>226</v>
      </c>
      <c r="FR4" s="155" t="s">
        <v>226</v>
      </c>
      <c r="FS4" s="155" t="s">
        <v>226</v>
      </c>
      <c r="FT4" s="155" t="s">
        <v>226</v>
      </c>
      <c r="FU4" s="155" t="s">
        <v>226</v>
      </c>
      <c r="FV4" s="155" t="s">
        <v>226</v>
      </c>
      <c r="FW4" s="155" t="s">
        <v>226</v>
      </c>
      <c r="FX4" s="155" t="s">
        <v>226</v>
      </c>
      <c r="FY4" s="155" t="s">
        <v>226</v>
      </c>
      <c r="FZ4" s="155" t="s">
        <v>226</v>
      </c>
      <c r="GA4" s="155" t="s">
        <v>226</v>
      </c>
      <c r="GB4" s="155" t="s">
        <v>226</v>
      </c>
      <c r="GC4" s="155" t="s">
        <v>226</v>
      </c>
      <c r="GD4" s="155" t="s">
        <v>226</v>
      </c>
      <c r="GE4" s="155" t="s">
        <v>226</v>
      </c>
      <c r="GF4" s="153" t="s">
        <v>237</v>
      </c>
      <c r="GG4" s="156">
        <v>42467</v>
      </c>
      <c r="GH4" s="153" t="s">
        <v>230</v>
      </c>
      <c r="GI4" s="153" t="s">
        <v>238</v>
      </c>
      <c r="GJ4" s="156">
        <v>42443</v>
      </c>
      <c r="GK4" s="156" t="s">
        <v>226</v>
      </c>
      <c r="GL4" s="156" t="s">
        <v>226</v>
      </c>
      <c r="GM4" s="159" t="str">
        <f t="shared" ref="GM4:GM44" si="1">IFERROR(INT(BJ4 - $AS4)/30,"N/A")</f>
        <v>N/A</v>
      </c>
      <c r="GN4" s="159" t="str">
        <f t="shared" ref="GN4:GN44" si="2">IFERROR(INT(BK4 - $AS4)/30,"N/A")</f>
        <v>N/A</v>
      </c>
      <c r="GO4" s="159">
        <f t="shared" ref="GO4:GO44" si="3">IFERROR(INT(H4 - $AS4)/30,"N/A")</f>
        <v>1.4666666666666666</v>
      </c>
      <c r="GP4" s="159" t="str">
        <f t="shared" ref="GP4:GP44" si="4">IFERROR(INT(K4 - $AS4)/30,"N/A")</f>
        <v>N/A</v>
      </c>
      <c r="GQ4" s="159" t="str">
        <f t="shared" ref="GQ4:GQ44" si="5">IFERROR(INT(P4 - $AS4)/30,"N/A")</f>
        <v>N/A</v>
      </c>
      <c r="GR4" s="159" t="str">
        <f t="shared" ref="GR4:GR45" si="6">IFERROR(INT(U4 - $AS4)/30,"N/A")</f>
        <v>N/A</v>
      </c>
      <c r="GS4" s="159" t="str">
        <f t="shared" ref="GS4:GS45" si="7">IFERROR(INT(Z4 - $AS4)/30,"N/A")</f>
        <v>N/A</v>
      </c>
      <c r="GT4" s="159" t="str">
        <f t="shared" ref="GT4:GT45" si="8">IFERROR(INT(AE4 - $AS4)/30,"N/A")</f>
        <v>N/A</v>
      </c>
      <c r="GU4" s="159" t="str">
        <f t="shared" ref="GU4:GU45" si="9">IFERROR(INT(AJ4 - $AS4)/30,"N/A")</f>
        <v>N/A</v>
      </c>
      <c r="GV4" s="159" t="str">
        <f t="shared" ref="GV4:GV45" si="10">IFERROR(INT(AO4 - $AS4)/30,"N/A")</f>
        <v>N/A</v>
      </c>
      <c r="GW4" s="159" t="str">
        <f t="shared" ref="GW4:GW45" si="11">IFERROR(INT(CP4 - $AS4)/30,"N/A")</f>
        <v>N/A</v>
      </c>
      <c r="GX4" s="159" t="str">
        <f t="shared" ref="GX4:GX45" si="12">IFERROR(INT(CQ4 - $AS4)/30,"N/A")</f>
        <v>N/A</v>
      </c>
      <c r="GY4" s="159">
        <f t="shared" ref="GY4:GY45" si="13">IFERROR(INT(EI4 - $AS4)/30,"N/A")</f>
        <v>25.2</v>
      </c>
      <c r="GZ4" s="159" t="str">
        <f t="shared" ref="GZ4:GZ45" si="14">IFERROR(INT(EM4 - $AS4)/30,"N/A")</f>
        <v>N/A</v>
      </c>
      <c r="HA4" s="159" t="str">
        <f t="shared" ref="HA4:HA45" si="15">IFERROR(INT(EN4 - $AS4)/30,"N/A")</f>
        <v>N/A</v>
      </c>
      <c r="HB4" s="159">
        <f t="shared" ref="HB4:HB45" si="16">$GY4</f>
        <v>25.2</v>
      </c>
      <c r="HC4" s="159">
        <f t="shared" ref="HC4:HC45" si="17">IFERROR(INT(GG4 - $AS4)/30,"N/A")</f>
        <v>26.666666666666668</v>
      </c>
      <c r="HD4" s="159">
        <f t="shared" ref="HD4:HD45" si="18">IFERROR(INT(GJ4 - $AS4)/30,"N/A")</f>
        <v>25.866666666666667</v>
      </c>
      <c r="HE4" s="159" t="str">
        <f t="shared" ref="HE4:HE45" si="19">IFERROR(INT(GK4 - $AS4)/30,"N/A")</f>
        <v>N/A</v>
      </c>
      <c r="HF4" s="160">
        <f t="shared" ref="HF4:HF45" si="20">SUM($HC4,$HE4)</f>
        <v>26.666666666666668</v>
      </c>
      <c r="HG4" s="160" cm="1">
        <f t="array" ref="HG4">INDEX($HB4:$HD4,MATCH(TRUE,INDEX(ISNUMBER($HB4:$HD4),0),0))</f>
        <v>25.2</v>
      </c>
      <c r="HH4" s="161">
        <f t="shared" ref="HH4:HH45" si="21">IF($HB4="N/A",0,1)</f>
        <v>1</v>
      </c>
      <c r="HI4" s="108">
        <f t="shared" ref="HI4:HI45" si="22">IF($GH4="Yes",1,0)</f>
        <v>1</v>
      </c>
      <c r="HJ4" s="91">
        <f t="shared" ref="HJ4:HJ45" si="23">IF($HC4="N/A",0,1)</f>
        <v>1</v>
      </c>
      <c r="HK4" s="205" t="str">
        <f t="shared" ref="HK4:HK45" si="24">IF(OR($HH4=1,$HI4=1),"1","0")</f>
        <v>1</v>
      </c>
    </row>
    <row r="5" spans="1:219" ht="15" customHeight="1" x14ac:dyDescent="0.3">
      <c r="A5" s="146">
        <v>4382389941</v>
      </c>
      <c r="B5" s="93" t="s">
        <v>221</v>
      </c>
      <c r="C5" s="93" t="s">
        <v>222</v>
      </c>
      <c r="D5" s="93" t="s">
        <v>221</v>
      </c>
      <c r="E5" s="145" t="s">
        <v>239</v>
      </c>
      <c r="F5" s="162" t="s">
        <v>240</v>
      </c>
      <c r="G5" s="162" t="s">
        <v>241</v>
      </c>
      <c r="H5" s="70">
        <v>42165</v>
      </c>
      <c r="I5" s="147" t="s">
        <v>242</v>
      </c>
      <c r="J5" s="148" t="s">
        <v>225</v>
      </c>
      <c r="K5" s="93" t="s">
        <v>226</v>
      </c>
      <c r="L5" s="93" t="s">
        <v>226</v>
      </c>
      <c r="M5" s="93" t="s">
        <v>226</v>
      </c>
      <c r="N5" s="93" t="s">
        <v>226</v>
      </c>
      <c r="O5" s="93" t="s">
        <v>226</v>
      </c>
      <c r="P5" s="93" t="s">
        <v>226</v>
      </c>
      <c r="Q5" s="93" t="s">
        <v>226</v>
      </c>
      <c r="R5" s="93" t="s">
        <v>226</v>
      </c>
      <c r="S5" s="93" t="s">
        <v>226</v>
      </c>
      <c r="T5" s="93" t="s">
        <v>226</v>
      </c>
      <c r="U5" s="93" t="s">
        <v>226</v>
      </c>
      <c r="V5" s="93" t="s">
        <v>226</v>
      </c>
      <c r="W5" s="93" t="s">
        <v>226</v>
      </c>
      <c r="X5" s="93" t="s">
        <v>226</v>
      </c>
      <c r="Y5" s="93" t="s">
        <v>226</v>
      </c>
      <c r="Z5" s="93" t="s">
        <v>226</v>
      </c>
      <c r="AA5" s="93" t="s">
        <v>226</v>
      </c>
      <c r="AB5" s="93" t="s">
        <v>226</v>
      </c>
      <c r="AC5" s="93" t="s">
        <v>226</v>
      </c>
      <c r="AD5" s="93" t="s">
        <v>226</v>
      </c>
      <c r="AE5" s="93" t="s">
        <v>226</v>
      </c>
      <c r="AF5" s="93" t="s">
        <v>226</v>
      </c>
      <c r="AG5" s="93" t="s">
        <v>226</v>
      </c>
      <c r="AH5" s="93" t="s">
        <v>226</v>
      </c>
      <c r="AI5" s="93" t="s">
        <v>226</v>
      </c>
      <c r="AJ5" s="93" t="s">
        <v>226</v>
      </c>
      <c r="AK5" s="93" t="s">
        <v>226</v>
      </c>
      <c r="AL5" s="93" t="s">
        <v>226</v>
      </c>
      <c r="AM5" s="93" t="s">
        <v>226</v>
      </c>
      <c r="AN5" s="93" t="s">
        <v>226</v>
      </c>
      <c r="AO5" s="93" t="s">
        <v>226</v>
      </c>
      <c r="AP5" s="93" t="s">
        <v>226</v>
      </c>
      <c r="AQ5" s="145" t="s">
        <v>227</v>
      </c>
      <c r="AR5" s="69">
        <v>15750</v>
      </c>
      <c r="AS5" s="70">
        <v>42143</v>
      </c>
      <c r="AT5" s="149">
        <f t="shared" si="0"/>
        <v>72</v>
      </c>
      <c r="AU5" s="148" t="s">
        <v>243</v>
      </c>
      <c r="AV5" s="93" t="s">
        <v>229</v>
      </c>
      <c r="AW5" s="150" t="s">
        <v>221</v>
      </c>
      <c r="AX5" s="150" t="s">
        <v>232</v>
      </c>
      <c r="AY5" s="150">
        <v>2</v>
      </c>
      <c r="AZ5" s="150" t="s">
        <v>232</v>
      </c>
      <c r="BA5" s="150">
        <v>0</v>
      </c>
      <c r="BB5" s="93" t="s">
        <v>226</v>
      </c>
      <c r="BC5" s="163" t="s">
        <v>244</v>
      </c>
      <c r="BD5" s="153" t="s">
        <v>234</v>
      </c>
      <c r="BE5" s="93" t="s">
        <v>245</v>
      </c>
      <c r="BF5" s="153" t="s">
        <v>221</v>
      </c>
      <c r="BG5" s="154" t="s">
        <v>226</v>
      </c>
      <c r="BH5" s="155" t="s">
        <v>226</v>
      </c>
      <c r="BI5" s="155" t="s">
        <v>226</v>
      </c>
      <c r="BJ5" s="155" t="s">
        <v>226</v>
      </c>
      <c r="BK5" s="155" t="s">
        <v>226</v>
      </c>
      <c r="BL5" s="155" t="s">
        <v>226</v>
      </c>
      <c r="BM5" s="155" t="s">
        <v>226</v>
      </c>
      <c r="BN5" s="155" t="s">
        <v>226</v>
      </c>
      <c r="BO5" s="155" t="s">
        <v>226</v>
      </c>
      <c r="BP5" s="155" t="s">
        <v>226</v>
      </c>
      <c r="BQ5" s="155" t="s">
        <v>226</v>
      </c>
      <c r="BR5" s="155" t="s">
        <v>226</v>
      </c>
      <c r="BS5" s="155" t="s">
        <v>226</v>
      </c>
      <c r="BT5" s="155" t="s">
        <v>226</v>
      </c>
      <c r="BU5" s="155" t="s">
        <v>226</v>
      </c>
      <c r="BV5" s="155" t="s">
        <v>226</v>
      </c>
      <c r="BW5" s="155" t="s">
        <v>226</v>
      </c>
      <c r="BX5" s="155" t="s">
        <v>226</v>
      </c>
      <c r="BY5" s="155" t="s">
        <v>226</v>
      </c>
      <c r="BZ5" s="155" t="s">
        <v>226</v>
      </c>
      <c r="CA5" s="155" t="s">
        <v>226</v>
      </c>
      <c r="CB5" s="155" t="s">
        <v>226</v>
      </c>
      <c r="CC5" s="155" t="s">
        <v>226</v>
      </c>
      <c r="CD5" s="155" t="s">
        <v>226</v>
      </c>
      <c r="CE5" s="155" t="s">
        <v>226</v>
      </c>
      <c r="CF5" s="155" t="s">
        <v>226</v>
      </c>
      <c r="CG5" s="155" t="s">
        <v>226</v>
      </c>
      <c r="CH5" s="155" t="s">
        <v>226</v>
      </c>
      <c r="CI5" s="155" t="s">
        <v>226</v>
      </c>
      <c r="CJ5" s="155" t="s">
        <v>226</v>
      </c>
      <c r="CK5" s="155" t="s">
        <v>226</v>
      </c>
      <c r="CL5" s="155" t="s">
        <v>226</v>
      </c>
      <c r="CM5" s="155" t="s">
        <v>226</v>
      </c>
      <c r="CN5" s="106" t="s">
        <v>226</v>
      </c>
      <c r="CO5" s="155" t="s">
        <v>226</v>
      </c>
      <c r="CP5" s="155" t="s">
        <v>226</v>
      </c>
      <c r="CQ5" s="155" t="s">
        <v>226</v>
      </c>
      <c r="CR5" s="155" t="s">
        <v>226</v>
      </c>
      <c r="CS5" s="155" t="s">
        <v>226</v>
      </c>
      <c r="CT5" s="155" t="s">
        <v>226</v>
      </c>
      <c r="CU5" s="155" t="s">
        <v>226</v>
      </c>
      <c r="CV5" s="155" t="s">
        <v>226</v>
      </c>
      <c r="CW5" s="155" t="s">
        <v>226</v>
      </c>
      <c r="CX5" s="155" t="s">
        <v>226</v>
      </c>
      <c r="CY5" s="155" t="s">
        <v>226</v>
      </c>
      <c r="CZ5" s="155" t="s">
        <v>226</v>
      </c>
      <c r="DA5" s="155" t="s">
        <v>226</v>
      </c>
      <c r="DB5" s="155" t="s">
        <v>226</v>
      </c>
      <c r="DC5" s="155" t="s">
        <v>226</v>
      </c>
      <c r="DD5" s="155" t="s">
        <v>226</v>
      </c>
      <c r="DE5" s="155" t="s">
        <v>226</v>
      </c>
      <c r="DF5" s="155" t="s">
        <v>226</v>
      </c>
      <c r="DG5" s="155" t="s">
        <v>226</v>
      </c>
      <c r="DH5" s="155" t="s">
        <v>226</v>
      </c>
      <c r="DI5" s="155" t="s">
        <v>226</v>
      </c>
      <c r="DJ5" s="155" t="s">
        <v>226</v>
      </c>
      <c r="DK5" s="155" t="s">
        <v>226</v>
      </c>
      <c r="DL5" s="155" t="s">
        <v>226</v>
      </c>
      <c r="DM5" s="155" t="s">
        <v>226</v>
      </c>
      <c r="DN5" s="155" t="s">
        <v>226</v>
      </c>
      <c r="DO5" s="155" t="s">
        <v>226</v>
      </c>
      <c r="DP5" s="155" t="s">
        <v>226</v>
      </c>
      <c r="DQ5" s="155" t="s">
        <v>226</v>
      </c>
      <c r="DR5" s="155" t="s">
        <v>226</v>
      </c>
      <c r="DS5" s="155" t="s">
        <v>226</v>
      </c>
      <c r="DT5" s="155" t="s">
        <v>226</v>
      </c>
      <c r="DU5" s="155" t="s">
        <v>226</v>
      </c>
      <c r="DV5" s="155" t="s">
        <v>226</v>
      </c>
      <c r="DW5" s="155" t="s">
        <v>226</v>
      </c>
      <c r="DX5" s="155" t="s">
        <v>226</v>
      </c>
      <c r="DY5" s="155" t="s">
        <v>226</v>
      </c>
      <c r="DZ5" s="155" t="s">
        <v>226</v>
      </c>
      <c r="EA5" s="155" t="s">
        <v>226</v>
      </c>
      <c r="EB5" s="155" t="s">
        <v>226</v>
      </c>
      <c r="EC5" s="155" t="s">
        <v>226</v>
      </c>
      <c r="ED5" s="155" t="s">
        <v>226</v>
      </c>
      <c r="EE5" s="155" t="s">
        <v>226</v>
      </c>
      <c r="EF5" s="155" t="s">
        <v>226</v>
      </c>
      <c r="EG5" s="155" t="s">
        <v>226</v>
      </c>
      <c r="EH5" s="155" t="s">
        <v>226</v>
      </c>
      <c r="EI5" s="70">
        <v>42948</v>
      </c>
      <c r="EJ5" s="145" t="s">
        <v>246</v>
      </c>
      <c r="EK5" s="106" t="s">
        <v>247</v>
      </c>
      <c r="EL5" s="145" t="s">
        <v>248</v>
      </c>
      <c r="EM5" s="70">
        <v>42965</v>
      </c>
      <c r="EN5" s="70">
        <v>42965</v>
      </c>
      <c r="EO5" s="145" t="s">
        <v>226</v>
      </c>
      <c r="EP5" s="106" t="s">
        <v>226</v>
      </c>
      <c r="EQ5" s="145" t="s">
        <v>226</v>
      </c>
      <c r="ER5" s="145" t="s">
        <v>226</v>
      </c>
      <c r="ES5" s="106" t="s">
        <v>226</v>
      </c>
      <c r="ET5" s="145" t="s">
        <v>226</v>
      </c>
      <c r="EU5" s="145" t="s">
        <v>226</v>
      </c>
      <c r="EV5" s="106" t="s">
        <v>226</v>
      </c>
      <c r="EW5" s="145" t="s">
        <v>226</v>
      </c>
      <c r="EX5" s="145" t="s">
        <v>226</v>
      </c>
      <c r="EY5" s="106" t="s">
        <v>226</v>
      </c>
      <c r="EZ5" s="145" t="s">
        <v>226</v>
      </c>
      <c r="FA5" s="145" t="s">
        <v>226</v>
      </c>
      <c r="FB5" s="106" t="s">
        <v>226</v>
      </c>
      <c r="FC5" s="145" t="s">
        <v>226</v>
      </c>
      <c r="FD5" s="145" t="s">
        <v>226</v>
      </c>
      <c r="FE5" s="155" t="s">
        <v>226</v>
      </c>
      <c r="FF5" s="155" t="s">
        <v>226</v>
      </c>
      <c r="FG5" s="155" t="s">
        <v>226</v>
      </c>
      <c r="FH5" s="155" t="s">
        <v>226</v>
      </c>
      <c r="FI5" s="155" t="s">
        <v>226</v>
      </c>
      <c r="FJ5" s="155" t="s">
        <v>226</v>
      </c>
      <c r="FK5" s="155" t="s">
        <v>226</v>
      </c>
      <c r="FL5" s="155" t="s">
        <v>226</v>
      </c>
      <c r="FM5" s="155" t="s">
        <v>226</v>
      </c>
      <c r="FN5" s="155" t="s">
        <v>226</v>
      </c>
      <c r="FO5" s="155" t="s">
        <v>226</v>
      </c>
      <c r="FP5" s="155" t="s">
        <v>226</v>
      </c>
      <c r="FQ5" s="155" t="s">
        <v>226</v>
      </c>
      <c r="FR5" s="155" t="s">
        <v>226</v>
      </c>
      <c r="FS5" s="155" t="s">
        <v>226</v>
      </c>
      <c r="FT5" s="155" t="s">
        <v>226</v>
      </c>
      <c r="FU5" s="155" t="s">
        <v>226</v>
      </c>
      <c r="FV5" s="155" t="s">
        <v>226</v>
      </c>
      <c r="FW5" s="155" t="s">
        <v>226</v>
      </c>
      <c r="FX5" s="155" t="s">
        <v>226</v>
      </c>
      <c r="FY5" s="155" t="s">
        <v>226</v>
      </c>
      <c r="FZ5" s="155" t="s">
        <v>226</v>
      </c>
      <c r="GA5" s="155" t="s">
        <v>226</v>
      </c>
      <c r="GB5" s="155" t="s">
        <v>226</v>
      </c>
      <c r="GC5" s="155" t="s">
        <v>226</v>
      </c>
      <c r="GD5" s="155" t="s">
        <v>226</v>
      </c>
      <c r="GE5" s="155" t="s">
        <v>226</v>
      </c>
      <c r="GF5" s="150" t="s">
        <v>237</v>
      </c>
      <c r="GG5" s="70">
        <v>43162</v>
      </c>
      <c r="GH5" s="93" t="s">
        <v>230</v>
      </c>
      <c r="GI5" s="153" t="s">
        <v>238</v>
      </c>
      <c r="GJ5" s="70">
        <v>43159</v>
      </c>
      <c r="GK5" s="70" t="s">
        <v>226</v>
      </c>
      <c r="GL5" s="70" t="s">
        <v>226</v>
      </c>
      <c r="GM5" s="159" t="str">
        <f t="shared" si="1"/>
        <v>N/A</v>
      </c>
      <c r="GN5" s="159" t="str">
        <f t="shared" si="2"/>
        <v>N/A</v>
      </c>
      <c r="GO5" s="159">
        <f t="shared" si="3"/>
        <v>0.73333333333333328</v>
      </c>
      <c r="GP5" s="159" t="str">
        <f t="shared" si="4"/>
        <v>N/A</v>
      </c>
      <c r="GQ5" s="159" t="str">
        <f t="shared" si="5"/>
        <v>N/A</v>
      </c>
      <c r="GR5" s="159" t="str">
        <f t="shared" si="6"/>
        <v>N/A</v>
      </c>
      <c r="GS5" s="159" t="str">
        <f t="shared" si="7"/>
        <v>N/A</v>
      </c>
      <c r="GT5" s="159" t="str">
        <f t="shared" si="8"/>
        <v>N/A</v>
      </c>
      <c r="GU5" s="159" t="str">
        <f t="shared" si="9"/>
        <v>N/A</v>
      </c>
      <c r="GV5" s="159" t="str">
        <f t="shared" si="10"/>
        <v>N/A</v>
      </c>
      <c r="GW5" s="159" t="str">
        <f t="shared" si="11"/>
        <v>N/A</v>
      </c>
      <c r="GX5" s="159" t="str">
        <f t="shared" si="12"/>
        <v>N/A</v>
      </c>
      <c r="GY5" s="159">
        <f t="shared" si="13"/>
        <v>26.833333333333332</v>
      </c>
      <c r="GZ5" s="159">
        <f t="shared" si="14"/>
        <v>27.4</v>
      </c>
      <c r="HA5" s="159">
        <f t="shared" si="15"/>
        <v>27.4</v>
      </c>
      <c r="HB5" s="159">
        <f t="shared" si="16"/>
        <v>26.833333333333332</v>
      </c>
      <c r="HC5" s="159">
        <f t="shared" si="17"/>
        <v>33.966666666666669</v>
      </c>
      <c r="HD5" s="159">
        <f t="shared" si="18"/>
        <v>33.866666666666667</v>
      </c>
      <c r="HE5" s="159" t="str">
        <f t="shared" si="19"/>
        <v>N/A</v>
      </c>
      <c r="HF5" s="160">
        <f t="shared" si="20"/>
        <v>33.966666666666669</v>
      </c>
      <c r="HG5" s="160" cm="1">
        <f t="array" ref="HG5">INDEX($HB5:$HD5,MATCH(TRUE,INDEX(ISNUMBER($HB5:$HD5),0),0))</f>
        <v>26.833333333333332</v>
      </c>
      <c r="HH5" s="161">
        <f t="shared" si="21"/>
        <v>1</v>
      </c>
      <c r="HI5" s="108">
        <f t="shared" si="22"/>
        <v>1</v>
      </c>
      <c r="HJ5" s="91">
        <f t="shared" si="23"/>
        <v>1</v>
      </c>
      <c r="HK5" s="205" t="str">
        <f t="shared" si="24"/>
        <v>1</v>
      </c>
    </row>
    <row r="6" spans="1:219" ht="15" customHeight="1" x14ac:dyDescent="0.3">
      <c r="A6" s="146">
        <v>4160684432</v>
      </c>
      <c r="B6" s="93" t="s">
        <v>221</v>
      </c>
      <c r="C6" s="93" t="s">
        <v>222</v>
      </c>
      <c r="D6" s="93" t="s">
        <v>221</v>
      </c>
      <c r="E6" s="145" t="s">
        <v>249</v>
      </c>
      <c r="F6" s="146" t="s">
        <v>250</v>
      </c>
      <c r="G6" s="145" t="s">
        <v>226</v>
      </c>
      <c r="H6" s="70">
        <v>42689</v>
      </c>
      <c r="I6" s="147" t="s">
        <v>251</v>
      </c>
      <c r="J6" s="148" t="s">
        <v>225</v>
      </c>
      <c r="K6" s="93" t="s">
        <v>226</v>
      </c>
      <c r="L6" s="93" t="s">
        <v>226</v>
      </c>
      <c r="M6" s="93" t="s">
        <v>226</v>
      </c>
      <c r="N6" s="93" t="s">
        <v>226</v>
      </c>
      <c r="O6" s="93" t="s">
        <v>226</v>
      </c>
      <c r="P6" s="93" t="s">
        <v>226</v>
      </c>
      <c r="Q6" s="93" t="s">
        <v>226</v>
      </c>
      <c r="R6" s="93" t="s">
        <v>226</v>
      </c>
      <c r="S6" s="93" t="s">
        <v>226</v>
      </c>
      <c r="T6" s="93" t="s">
        <v>226</v>
      </c>
      <c r="U6" s="93" t="s">
        <v>226</v>
      </c>
      <c r="V6" s="93" t="s">
        <v>226</v>
      </c>
      <c r="W6" s="93" t="s">
        <v>226</v>
      </c>
      <c r="X6" s="93" t="s">
        <v>226</v>
      </c>
      <c r="Y6" s="93" t="s">
        <v>226</v>
      </c>
      <c r="Z6" s="93" t="s">
        <v>226</v>
      </c>
      <c r="AA6" s="93" t="s">
        <v>226</v>
      </c>
      <c r="AB6" s="93" t="s">
        <v>226</v>
      </c>
      <c r="AC6" s="93" t="s">
        <v>226</v>
      </c>
      <c r="AD6" s="93" t="s">
        <v>226</v>
      </c>
      <c r="AE6" s="93" t="s">
        <v>226</v>
      </c>
      <c r="AF6" s="93" t="s">
        <v>226</v>
      </c>
      <c r="AG6" s="93" t="s">
        <v>226</v>
      </c>
      <c r="AH6" s="93" t="s">
        <v>226</v>
      </c>
      <c r="AI6" s="93" t="s">
        <v>226</v>
      </c>
      <c r="AJ6" s="93" t="s">
        <v>226</v>
      </c>
      <c r="AK6" s="93" t="s">
        <v>226</v>
      </c>
      <c r="AL6" s="93" t="s">
        <v>226</v>
      </c>
      <c r="AM6" s="93" t="s">
        <v>226</v>
      </c>
      <c r="AN6" s="93" t="s">
        <v>226</v>
      </c>
      <c r="AO6" s="93" t="s">
        <v>226</v>
      </c>
      <c r="AP6" s="93" t="s">
        <v>226</v>
      </c>
      <c r="AQ6" s="145" t="s">
        <v>227</v>
      </c>
      <c r="AR6" s="69">
        <v>25307</v>
      </c>
      <c r="AS6" s="70">
        <v>42650</v>
      </c>
      <c r="AT6" s="149">
        <f t="shared" si="0"/>
        <v>47</v>
      </c>
      <c r="AU6" s="149" t="s">
        <v>252</v>
      </c>
      <c r="AV6" s="93" t="s">
        <v>229</v>
      </c>
      <c r="AW6" s="93" t="s">
        <v>230</v>
      </c>
      <c r="AX6" s="150">
        <v>2</v>
      </c>
      <c r="AY6" s="150">
        <v>0</v>
      </c>
      <c r="AZ6" s="150" t="s">
        <v>232</v>
      </c>
      <c r="BA6" s="150">
        <v>0</v>
      </c>
      <c r="BB6" s="93" t="s">
        <v>253</v>
      </c>
      <c r="BC6" s="152">
        <v>2</v>
      </c>
      <c r="BD6" s="153" t="s">
        <v>234</v>
      </c>
      <c r="BE6" s="93" t="s">
        <v>254</v>
      </c>
      <c r="BF6" s="153" t="s">
        <v>221</v>
      </c>
      <c r="BG6" s="154" t="s">
        <v>226</v>
      </c>
      <c r="BH6" s="155" t="s">
        <v>226</v>
      </c>
      <c r="BI6" s="155" t="s">
        <v>226</v>
      </c>
      <c r="BJ6" s="155" t="s">
        <v>226</v>
      </c>
      <c r="BK6" s="155" t="s">
        <v>226</v>
      </c>
      <c r="BL6" s="155" t="s">
        <v>226</v>
      </c>
      <c r="BM6" s="155" t="s">
        <v>226</v>
      </c>
      <c r="BN6" s="155" t="s">
        <v>226</v>
      </c>
      <c r="BO6" s="155" t="s">
        <v>226</v>
      </c>
      <c r="BP6" s="155" t="s">
        <v>226</v>
      </c>
      <c r="BQ6" s="155" t="s">
        <v>226</v>
      </c>
      <c r="BR6" s="155" t="s">
        <v>226</v>
      </c>
      <c r="BS6" s="155" t="s">
        <v>226</v>
      </c>
      <c r="BT6" s="155" t="s">
        <v>226</v>
      </c>
      <c r="BU6" s="155" t="s">
        <v>226</v>
      </c>
      <c r="BV6" s="155" t="s">
        <v>226</v>
      </c>
      <c r="BW6" s="155" t="s">
        <v>226</v>
      </c>
      <c r="BX6" s="155" t="s">
        <v>226</v>
      </c>
      <c r="BY6" s="155" t="s">
        <v>226</v>
      </c>
      <c r="BZ6" s="155" t="s">
        <v>226</v>
      </c>
      <c r="CA6" s="155" t="s">
        <v>226</v>
      </c>
      <c r="CB6" s="155" t="s">
        <v>226</v>
      </c>
      <c r="CC6" s="155" t="s">
        <v>226</v>
      </c>
      <c r="CD6" s="155" t="s">
        <v>226</v>
      </c>
      <c r="CE6" s="155" t="s">
        <v>226</v>
      </c>
      <c r="CF6" s="155" t="s">
        <v>226</v>
      </c>
      <c r="CG6" s="155" t="s">
        <v>226</v>
      </c>
      <c r="CH6" s="155" t="s">
        <v>226</v>
      </c>
      <c r="CI6" s="155" t="s">
        <v>226</v>
      </c>
      <c r="CJ6" s="155" t="s">
        <v>226</v>
      </c>
      <c r="CK6" s="155" t="s">
        <v>226</v>
      </c>
      <c r="CL6" s="155" t="s">
        <v>226</v>
      </c>
      <c r="CM6" s="155" t="s">
        <v>226</v>
      </c>
      <c r="CN6" s="106" t="s">
        <v>247</v>
      </c>
      <c r="CO6" s="145" t="s">
        <v>255</v>
      </c>
      <c r="CP6" s="70">
        <v>42745</v>
      </c>
      <c r="CQ6" s="70">
        <v>42752</v>
      </c>
      <c r="CR6" s="155" t="s">
        <v>226</v>
      </c>
      <c r="CS6" s="155" t="s">
        <v>226</v>
      </c>
      <c r="CT6" s="155" t="s">
        <v>226</v>
      </c>
      <c r="CU6" s="155" t="s">
        <v>226</v>
      </c>
      <c r="CV6" s="155" t="s">
        <v>226</v>
      </c>
      <c r="CW6" s="155" t="s">
        <v>226</v>
      </c>
      <c r="CX6" s="155" t="s">
        <v>226</v>
      </c>
      <c r="CY6" s="155" t="s">
        <v>226</v>
      </c>
      <c r="CZ6" s="155" t="s">
        <v>226</v>
      </c>
      <c r="DA6" s="155" t="s">
        <v>226</v>
      </c>
      <c r="DB6" s="155" t="s">
        <v>226</v>
      </c>
      <c r="DC6" s="155" t="s">
        <v>226</v>
      </c>
      <c r="DD6" s="155" t="s">
        <v>226</v>
      </c>
      <c r="DE6" s="155" t="s">
        <v>226</v>
      </c>
      <c r="DF6" s="155" t="s">
        <v>226</v>
      </c>
      <c r="DG6" s="155" t="s">
        <v>226</v>
      </c>
      <c r="DH6" s="155" t="s">
        <v>226</v>
      </c>
      <c r="DI6" s="155" t="s">
        <v>226</v>
      </c>
      <c r="DJ6" s="155" t="s">
        <v>226</v>
      </c>
      <c r="DK6" s="155" t="s">
        <v>226</v>
      </c>
      <c r="DL6" s="155" t="s">
        <v>226</v>
      </c>
      <c r="DM6" s="155" t="s">
        <v>226</v>
      </c>
      <c r="DN6" s="155" t="s">
        <v>226</v>
      </c>
      <c r="DO6" s="155" t="s">
        <v>226</v>
      </c>
      <c r="DP6" s="155" t="s">
        <v>226</v>
      </c>
      <c r="DQ6" s="155" t="s">
        <v>226</v>
      </c>
      <c r="DR6" s="155" t="s">
        <v>226</v>
      </c>
      <c r="DS6" s="155" t="s">
        <v>226</v>
      </c>
      <c r="DT6" s="155" t="s">
        <v>226</v>
      </c>
      <c r="DU6" s="155" t="s">
        <v>226</v>
      </c>
      <c r="DV6" s="155" t="s">
        <v>226</v>
      </c>
      <c r="DW6" s="155" t="s">
        <v>226</v>
      </c>
      <c r="DX6" s="155" t="s">
        <v>226</v>
      </c>
      <c r="DY6" s="155" t="s">
        <v>226</v>
      </c>
      <c r="DZ6" s="155" t="s">
        <v>226</v>
      </c>
      <c r="EA6" s="155" t="s">
        <v>226</v>
      </c>
      <c r="EB6" s="155" t="s">
        <v>226</v>
      </c>
      <c r="EC6" s="155" t="s">
        <v>226</v>
      </c>
      <c r="ED6" s="155" t="s">
        <v>226</v>
      </c>
      <c r="EE6" s="155" t="s">
        <v>226</v>
      </c>
      <c r="EF6" s="155" t="s">
        <v>226</v>
      </c>
      <c r="EG6" s="155" t="s">
        <v>226</v>
      </c>
      <c r="EH6" s="155" t="s">
        <v>226</v>
      </c>
      <c r="EI6" s="155" t="s">
        <v>226</v>
      </c>
      <c r="EJ6" s="155" t="s">
        <v>226</v>
      </c>
      <c r="EK6" s="155" t="s">
        <v>226</v>
      </c>
      <c r="EL6" s="155" t="s">
        <v>226</v>
      </c>
      <c r="EM6" s="155" t="s">
        <v>226</v>
      </c>
      <c r="EN6" s="155" t="s">
        <v>226</v>
      </c>
      <c r="EO6" s="155" t="s">
        <v>226</v>
      </c>
      <c r="EP6" s="155" t="s">
        <v>226</v>
      </c>
      <c r="EQ6" s="155" t="s">
        <v>226</v>
      </c>
      <c r="ER6" s="155" t="s">
        <v>226</v>
      </c>
      <c r="ES6" s="155" t="s">
        <v>226</v>
      </c>
      <c r="ET6" s="155" t="s">
        <v>226</v>
      </c>
      <c r="EU6" s="155" t="s">
        <v>226</v>
      </c>
      <c r="EV6" s="155" t="s">
        <v>226</v>
      </c>
      <c r="EW6" s="155" t="s">
        <v>226</v>
      </c>
      <c r="EX6" s="155" t="s">
        <v>226</v>
      </c>
      <c r="EY6" s="155" t="s">
        <v>226</v>
      </c>
      <c r="EZ6" s="155" t="s">
        <v>226</v>
      </c>
      <c r="FA6" s="155" t="s">
        <v>226</v>
      </c>
      <c r="FB6" s="155" t="s">
        <v>226</v>
      </c>
      <c r="FC6" s="155" t="s">
        <v>226</v>
      </c>
      <c r="FD6" s="155" t="s">
        <v>226</v>
      </c>
      <c r="FE6" s="155" t="s">
        <v>226</v>
      </c>
      <c r="FF6" s="155" t="s">
        <v>226</v>
      </c>
      <c r="FG6" s="155" t="s">
        <v>226</v>
      </c>
      <c r="FH6" s="155" t="s">
        <v>226</v>
      </c>
      <c r="FI6" s="155" t="s">
        <v>226</v>
      </c>
      <c r="FJ6" s="155" t="s">
        <v>226</v>
      </c>
      <c r="FK6" s="155" t="s">
        <v>226</v>
      </c>
      <c r="FL6" s="155" t="s">
        <v>226</v>
      </c>
      <c r="FM6" s="155" t="s">
        <v>226</v>
      </c>
      <c r="FN6" s="155" t="s">
        <v>226</v>
      </c>
      <c r="FO6" s="155" t="s">
        <v>226</v>
      </c>
      <c r="FP6" s="155" t="s">
        <v>226</v>
      </c>
      <c r="FQ6" s="155" t="s">
        <v>226</v>
      </c>
      <c r="FR6" s="155" t="s">
        <v>226</v>
      </c>
      <c r="FS6" s="155" t="s">
        <v>226</v>
      </c>
      <c r="FT6" s="155" t="s">
        <v>226</v>
      </c>
      <c r="FU6" s="155" t="s">
        <v>226</v>
      </c>
      <c r="FV6" s="155" t="s">
        <v>226</v>
      </c>
      <c r="FW6" s="155" t="s">
        <v>226</v>
      </c>
      <c r="FX6" s="155" t="s">
        <v>226</v>
      </c>
      <c r="FY6" s="155" t="s">
        <v>226</v>
      </c>
      <c r="FZ6" s="155" t="s">
        <v>226</v>
      </c>
      <c r="GA6" s="155" t="s">
        <v>226</v>
      </c>
      <c r="GB6" s="155" t="s">
        <v>226</v>
      </c>
      <c r="GC6" s="155" t="s">
        <v>226</v>
      </c>
      <c r="GD6" s="155" t="s">
        <v>226</v>
      </c>
      <c r="GE6" s="155" t="s">
        <v>226</v>
      </c>
      <c r="GF6" s="150" t="s">
        <v>256</v>
      </c>
      <c r="GG6" s="70" t="s">
        <v>226</v>
      </c>
      <c r="GH6" s="93" t="s">
        <v>226</v>
      </c>
      <c r="GI6" s="145" t="s">
        <v>226</v>
      </c>
      <c r="GJ6" s="70">
        <v>42894</v>
      </c>
      <c r="GK6" s="70">
        <v>45856</v>
      </c>
      <c r="GL6" s="70" t="s">
        <v>226</v>
      </c>
      <c r="GM6" s="159" t="str">
        <f t="shared" si="1"/>
        <v>N/A</v>
      </c>
      <c r="GN6" s="159" t="str">
        <f t="shared" si="2"/>
        <v>N/A</v>
      </c>
      <c r="GO6" s="159">
        <f t="shared" si="3"/>
        <v>1.3</v>
      </c>
      <c r="GP6" s="159" t="str">
        <f t="shared" si="4"/>
        <v>N/A</v>
      </c>
      <c r="GQ6" s="159" t="str">
        <f t="shared" si="5"/>
        <v>N/A</v>
      </c>
      <c r="GR6" s="159" t="str">
        <f t="shared" si="6"/>
        <v>N/A</v>
      </c>
      <c r="GS6" s="159" t="str">
        <f t="shared" si="7"/>
        <v>N/A</v>
      </c>
      <c r="GT6" s="159" t="str">
        <f t="shared" si="8"/>
        <v>N/A</v>
      </c>
      <c r="GU6" s="159" t="str">
        <f t="shared" si="9"/>
        <v>N/A</v>
      </c>
      <c r="GV6" s="159" t="str">
        <f t="shared" si="10"/>
        <v>N/A</v>
      </c>
      <c r="GW6" s="159">
        <f t="shared" si="11"/>
        <v>3.1666666666666665</v>
      </c>
      <c r="GX6" s="159">
        <f t="shared" si="12"/>
        <v>3.4</v>
      </c>
      <c r="GY6" s="159" t="str">
        <f t="shared" si="13"/>
        <v>N/A</v>
      </c>
      <c r="GZ6" s="159" t="str">
        <f t="shared" si="14"/>
        <v>N/A</v>
      </c>
      <c r="HA6" s="159" t="str">
        <f t="shared" si="15"/>
        <v>N/A</v>
      </c>
      <c r="HB6" s="159" t="str">
        <f t="shared" si="16"/>
        <v>N/A</v>
      </c>
      <c r="HC6" s="159" t="str">
        <f t="shared" si="17"/>
        <v>N/A</v>
      </c>
      <c r="HD6" s="159">
        <f t="shared" si="18"/>
        <v>8.1333333333333329</v>
      </c>
      <c r="HE6" s="159">
        <f t="shared" si="19"/>
        <v>106.86666666666666</v>
      </c>
      <c r="HF6" s="160">
        <f t="shared" si="20"/>
        <v>106.86666666666666</v>
      </c>
      <c r="HG6" s="160" cm="1">
        <f t="array" ref="HG6">INDEX($HB6:$HD6,MATCH(TRUE,INDEX(ISNUMBER($HB6:$HD6),0),0))</f>
        <v>8.1333333333333329</v>
      </c>
      <c r="HH6" s="161">
        <f t="shared" si="21"/>
        <v>0</v>
      </c>
      <c r="HI6" s="108">
        <f t="shared" si="22"/>
        <v>0</v>
      </c>
      <c r="HJ6" s="91">
        <f t="shared" si="23"/>
        <v>0</v>
      </c>
      <c r="HK6" s="205" t="str">
        <f t="shared" si="24"/>
        <v>0</v>
      </c>
    </row>
    <row r="7" spans="1:219" ht="15" customHeight="1" x14ac:dyDescent="0.3">
      <c r="A7" s="146">
        <v>4861674565</v>
      </c>
      <c r="B7" s="93" t="s">
        <v>221</v>
      </c>
      <c r="C7" s="93" t="s">
        <v>222</v>
      </c>
      <c r="D7" s="93" t="s">
        <v>221</v>
      </c>
      <c r="E7" s="145" t="s">
        <v>257</v>
      </c>
      <c r="F7" s="146">
        <v>17</v>
      </c>
      <c r="G7" s="146">
        <v>11</v>
      </c>
      <c r="H7" s="70">
        <v>42893</v>
      </c>
      <c r="I7" s="147" t="s">
        <v>224</v>
      </c>
      <c r="J7" s="148" t="s">
        <v>258</v>
      </c>
      <c r="K7" s="93" t="s">
        <v>226</v>
      </c>
      <c r="L7" s="93" t="s">
        <v>226</v>
      </c>
      <c r="M7" s="93" t="s">
        <v>226</v>
      </c>
      <c r="N7" s="93" t="s">
        <v>226</v>
      </c>
      <c r="O7" s="93" t="s">
        <v>226</v>
      </c>
      <c r="P7" s="93" t="s">
        <v>226</v>
      </c>
      <c r="Q7" s="93" t="s">
        <v>226</v>
      </c>
      <c r="R7" s="93" t="s">
        <v>226</v>
      </c>
      <c r="S7" s="93" t="s">
        <v>226</v>
      </c>
      <c r="T7" s="93" t="s">
        <v>226</v>
      </c>
      <c r="U7" s="93" t="s">
        <v>226</v>
      </c>
      <c r="V7" s="93" t="s">
        <v>226</v>
      </c>
      <c r="W7" s="93" t="s">
        <v>226</v>
      </c>
      <c r="X7" s="93" t="s">
        <v>226</v>
      </c>
      <c r="Y7" s="93" t="s">
        <v>226</v>
      </c>
      <c r="Z7" s="93" t="s">
        <v>226</v>
      </c>
      <c r="AA7" s="93" t="s">
        <v>226</v>
      </c>
      <c r="AB7" s="93" t="s">
        <v>226</v>
      </c>
      <c r="AC7" s="93" t="s">
        <v>226</v>
      </c>
      <c r="AD7" s="93" t="s">
        <v>226</v>
      </c>
      <c r="AE7" s="93" t="s">
        <v>226</v>
      </c>
      <c r="AF7" s="93" t="s">
        <v>226</v>
      </c>
      <c r="AG7" s="93" t="s">
        <v>226</v>
      </c>
      <c r="AH7" s="93" t="s">
        <v>226</v>
      </c>
      <c r="AI7" s="93" t="s">
        <v>226</v>
      </c>
      <c r="AJ7" s="93" t="s">
        <v>226</v>
      </c>
      <c r="AK7" s="93" t="s">
        <v>226</v>
      </c>
      <c r="AL7" s="93" t="s">
        <v>226</v>
      </c>
      <c r="AM7" s="93" t="s">
        <v>226</v>
      </c>
      <c r="AN7" s="93" t="s">
        <v>226</v>
      </c>
      <c r="AO7" s="93" t="s">
        <v>226</v>
      </c>
      <c r="AP7" s="93" t="s">
        <v>226</v>
      </c>
      <c r="AQ7" s="145" t="s">
        <v>227</v>
      </c>
      <c r="AR7" s="69">
        <v>21638</v>
      </c>
      <c r="AS7" s="70">
        <v>42835</v>
      </c>
      <c r="AT7" s="149">
        <f t="shared" si="0"/>
        <v>58</v>
      </c>
      <c r="AU7" s="147" t="s">
        <v>228</v>
      </c>
      <c r="AV7" s="93" t="s">
        <v>229</v>
      </c>
      <c r="AW7" s="93" t="s">
        <v>230</v>
      </c>
      <c r="AX7" s="150">
        <v>2</v>
      </c>
      <c r="AY7" s="151" t="s">
        <v>232</v>
      </c>
      <c r="AZ7" s="150" t="s">
        <v>232</v>
      </c>
      <c r="BA7" s="150">
        <v>0</v>
      </c>
      <c r="BB7" s="93" t="s">
        <v>253</v>
      </c>
      <c r="BC7" s="152">
        <v>1</v>
      </c>
      <c r="BD7" s="153" t="s">
        <v>234</v>
      </c>
      <c r="BE7" s="93" t="s">
        <v>254</v>
      </c>
      <c r="BF7" s="153" t="s">
        <v>221</v>
      </c>
      <c r="BG7" s="154" t="s">
        <v>226</v>
      </c>
      <c r="BH7" s="155" t="s">
        <v>226</v>
      </c>
      <c r="BI7" s="155" t="s">
        <v>226</v>
      </c>
      <c r="BJ7" s="155" t="s">
        <v>226</v>
      </c>
      <c r="BK7" s="155" t="s">
        <v>226</v>
      </c>
      <c r="BL7" s="155" t="s">
        <v>226</v>
      </c>
      <c r="BM7" s="155" t="s">
        <v>226</v>
      </c>
      <c r="BN7" s="155" t="s">
        <v>226</v>
      </c>
      <c r="BO7" s="155" t="s">
        <v>226</v>
      </c>
      <c r="BP7" s="155" t="s">
        <v>226</v>
      </c>
      <c r="BQ7" s="155" t="s">
        <v>226</v>
      </c>
      <c r="BR7" s="155" t="s">
        <v>226</v>
      </c>
      <c r="BS7" s="155" t="s">
        <v>226</v>
      </c>
      <c r="BT7" s="155" t="s">
        <v>226</v>
      </c>
      <c r="BU7" s="155" t="s">
        <v>226</v>
      </c>
      <c r="BV7" s="155" t="s">
        <v>226</v>
      </c>
      <c r="BW7" s="155" t="s">
        <v>226</v>
      </c>
      <c r="BX7" s="155" t="s">
        <v>226</v>
      </c>
      <c r="BY7" s="155" t="s">
        <v>226</v>
      </c>
      <c r="BZ7" s="155" t="s">
        <v>226</v>
      </c>
      <c r="CA7" s="155" t="s">
        <v>226</v>
      </c>
      <c r="CB7" s="155" t="s">
        <v>226</v>
      </c>
      <c r="CC7" s="155" t="s">
        <v>226</v>
      </c>
      <c r="CD7" s="155" t="s">
        <v>226</v>
      </c>
      <c r="CE7" s="155" t="s">
        <v>226</v>
      </c>
      <c r="CF7" s="155" t="s">
        <v>226</v>
      </c>
      <c r="CG7" s="155" t="s">
        <v>226</v>
      </c>
      <c r="CH7" s="155" t="s">
        <v>226</v>
      </c>
      <c r="CI7" s="155" t="s">
        <v>226</v>
      </c>
      <c r="CJ7" s="155" t="s">
        <v>226</v>
      </c>
      <c r="CK7" s="155" t="s">
        <v>226</v>
      </c>
      <c r="CL7" s="155" t="s">
        <v>226</v>
      </c>
      <c r="CM7" s="155" t="s">
        <v>226</v>
      </c>
      <c r="CN7" s="106" t="s">
        <v>247</v>
      </c>
      <c r="CO7" s="145" t="s">
        <v>255</v>
      </c>
      <c r="CP7" s="70">
        <v>42955</v>
      </c>
      <c r="CQ7" s="70">
        <v>42962</v>
      </c>
      <c r="CR7" s="155" t="s">
        <v>226</v>
      </c>
      <c r="CS7" s="155" t="s">
        <v>226</v>
      </c>
      <c r="CT7" s="155" t="s">
        <v>226</v>
      </c>
      <c r="CU7" s="155" t="s">
        <v>226</v>
      </c>
      <c r="CV7" s="155" t="s">
        <v>226</v>
      </c>
      <c r="CW7" s="155" t="s">
        <v>226</v>
      </c>
      <c r="CX7" s="155" t="s">
        <v>226</v>
      </c>
      <c r="CY7" s="155" t="s">
        <v>226</v>
      </c>
      <c r="CZ7" s="155" t="s">
        <v>226</v>
      </c>
      <c r="DA7" s="155" t="s">
        <v>226</v>
      </c>
      <c r="DB7" s="155" t="s">
        <v>226</v>
      </c>
      <c r="DC7" s="155" t="s">
        <v>226</v>
      </c>
      <c r="DD7" s="155" t="s">
        <v>226</v>
      </c>
      <c r="DE7" s="155" t="s">
        <v>226</v>
      </c>
      <c r="DF7" s="155" t="s">
        <v>226</v>
      </c>
      <c r="DG7" s="155" t="s">
        <v>226</v>
      </c>
      <c r="DH7" s="155" t="s">
        <v>226</v>
      </c>
      <c r="DI7" s="155" t="s">
        <v>226</v>
      </c>
      <c r="DJ7" s="155" t="s">
        <v>226</v>
      </c>
      <c r="DK7" s="155" t="s">
        <v>226</v>
      </c>
      <c r="DL7" s="155" t="s">
        <v>226</v>
      </c>
      <c r="DM7" s="155" t="s">
        <v>226</v>
      </c>
      <c r="DN7" s="155" t="s">
        <v>226</v>
      </c>
      <c r="DO7" s="155" t="s">
        <v>226</v>
      </c>
      <c r="DP7" s="155" t="s">
        <v>226</v>
      </c>
      <c r="DQ7" s="155" t="s">
        <v>226</v>
      </c>
      <c r="DR7" s="155" t="s">
        <v>226</v>
      </c>
      <c r="DS7" s="155" t="s">
        <v>226</v>
      </c>
      <c r="DT7" s="155" t="s">
        <v>226</v>
      </c>
      <c r="DU7" s="155" t="s">
        <v>226</v>
      </c>
      <c r="DV7" s="155" t="s">
        <v>226</v>
      </c>
      <c r="DW7" s="155" t="s">
        <v>226</v>
      </c>
      <c r="DX7" s="155" t="s">
        <v>226</v>
      </c>
      <c r="DY7" s="155" t="s">
        <v>226</v>
      </c>
      <c r="DZ7" s="155" t="s">
        <v>226</v>
      </c>
      <c r="EA7" s="155" t="s">
        <v>226</v>
      </c>
      <c r="EB7" s="155" t="s">
        <v>226</v>
      </c>
      <c r="EC7" s="155" t="s">
        <v>226</v>
      </c>
      <c r="ED7" s="155" t="s">
        <v>226</v>
      </c>
      <c r="EE7" s="155" t="s">
        <v>226</v>
      </c>
      <c r="EF7" s="155" t="s">
        <v>226</v>
      </c>
      <c r="EG7" s="155" t="s">
        <v>226</v>
      </c>
      <c r="EH7" s="155" t="s">
        <v>226</v>
      </c>
      <c r="EI7" s="155" t="s">
        <v>226</v>
      </c>
      <c r="EJ7" s="155" t="s">
        <v>226</v>
      </c>
      <c r="EK7" s="155" t="s">
        <v>226</v>
      </c>
      <c r="EL7" s="155" t="s">
        <v>226</v>
      </c>
      <c r="EM7" s="155" t="s">
        <v>226</v>
      </c>
      <c r="EN7" s="155" t="s">
        <v>226</v>
      </c>
      <c r="EO7" s="155" t="s">
        <v>226</v>
      </c>
      <c r="EP7" s="155" t="s">
        <v>226</v>
      </c>
      <c r="EQ7" s="155" t="s">
        <v>226</v>
      </c>
      <c r="ER7" s="155" t="s">
        <v>226</v>
      </c>
      <c r="ES7" s="155" t="s">
        <v>226</v>
      </c>
      <c r="ET7" s="155" t="s">
        <v>226</v>
      </c>
      <c r="EU7" s="155" t="s">
        <v>226</v>
      </c>
      <c r="EV7" s="155" t="s">
        <v>226</v>
      </c>
      <c r="EW7" s="155" t="s">
        <v>226</v>
      </c>
      <c r="EX7" s="155" t="s">
        <v>226</v>
      </c>
      <c r="EY7" s="155" t="s">
        <v>226</v>
      </c>
      <c r="EZ7" s="155" t="s">
        <v>226</v>
      </c>
      <c r="FA7" s="155" t="s">
        <v>226</v>
      </c>
      <c r="FB7" s="155" t="s">
        <v>226</v>
      </c>
      <c r="FC7" s="155" t="s">
        <v>226</v>
      </c>
      <c r="FD7" s="155" t="s">
        <v>226</v>
      </c>
      <c r="FE7" s="155" t="s">
        <v>226</v>
      </c>
      <c r="FF7" s="155" t="s">
        <v>226</v>
      </c>
      <c r="FG7" s="155" t="s">
        <v>226</v>
      </c>
      <c r="FH7" s="155" t="s">
        <v>226</v>
      </c>
      <c r="FI7" s="155" t="s">
        <v>226</v>
      </c>
      <c r="FJ7" s="155" t="s">
        <v>226</v>
      </c>
      <c r="FK7" s="155" t="s">
        <v>226</v>
      </c>
      <c r="FL7" s="155" t="s">
        <v>226</v>
      </c>
      <c r="FM7" s="155" t="s">
        <v>226</v>
      </c>
      <c r="FN7" s="155" t="s">
        <v>226</v>
      </c>
      <c r="FO7" s="155" t="s">
        <v>226</v>
      </c>
      <c r="FP7" s="155" t="s">
        <v>226</v>
      </c>
      <c r="FQ7" s="155" t="s">
        <v>226</v>
      </c>
      <c r="FR7" s="155" t="s">
        <v>226</v>
      </c>
      <c r="FS7" s="155" t="s">
        <v>226</v>
      </c>
      <c r="FT7" s="155" t="s">
        <v>226</v>
      </c>
      <c r="FU7" s="155" t="s">
        <v>226</v>
      </c>
      <c r="FV7" s="155" t="s">
        <v>226</v>
      </c>
      <c r="FW7" s="155" t="s">
        <v>226</v>
      </c>
      <c r="FX7" s="155" t="s">
        <v>226</v>
      </c>
      <c r="FY7" s="155" t="s">
        <v>226</v>
      </c>
      <c r="FZ7" s="155" t="s">
        <v>226</v>
      </c>
      <c r="GA7" s="155" t="s">
        <v>226</v>
      </c>
      <c r="GB7" s="155" t="s">
        <v>226</v>
      </c>
      <c r="GC7" s="155" t="s">
        <v>226</v>
      </c>
      <c r="GD7" s="155" t="s">
        <v>226</v>
      </c>
      <c r="GE7" s="155" t="s">
        <v>226</v>
      </c>
      <c r="GF7" s="150" t="s">
        <v>256</v>
      </c>
      <c r="GG7" s="70" t="s">
        <v>226</v>
      </c>
      <c r="GH7" s="93" t="s">
        <v>226</v>
      </c>
      <c r="GI7" s="145" t="s">
        <v>226</v>
      </c>
      <c r="GJ7" s="70">
        <v>44984</v>
      </c>
      <c r="GK7" s="70">
        <v>45971</v>
      </c>
      <c r="GL7" s="164" t="s">
        <v>259</v>
      </c>
      <c r="GM7" s="159" t="str">
        <f t="shared" si="1"/>
        <v>N/A</v>
      </c>
      <c r="GN7" s="159" t="str">
        <f t="shared" si="2"/>
        <v>N/A</v>
      </c>
      <c r="GO7" s="159">
        <f t="shared" si="3"/>
        <v>1.9333333333333333</v>
      </c>
      <c r="GP7" s="159" t="str">
        <f t="shared" si="4"/>
        <v>N/A</v>
      </c>
      <c r="GQ7" s="159" t="str">
        <f t="shared" si="5"/>
        <v>N/A</v>
      </c>
      <c r="GR7" s="159" t="str">
        <f t="shared" si="6"/>
        <v>N/A</v>
      </c>
      <c r="GS7" s="159" t="str">
        <f t="shared" si="7"/>
        <v>N/A</v>
      </c>
      <c r="GT7" s="159" t="str">
        <f t="shared" si="8"/>
        <v>N/A</v>
      </c>
      <c r="GU7" s="159" t="str">
        <f t="shared" si="9"/>
        <v>N/A</v>
      </c>
      <c r="GV7" s="159" t="str">
        <f t="shared" si="10"/>
        <v>N/A</v>
      </c>
      <c r="GW7" s="159">
        <f t="shared" si="11"/>
        <v>4</v>
      </c>
      <c r="GX7" s="159">
        <f t="shared" si="12"/>
        <v>4.2333333333333334</v>
      </c>
      <c r="GY7" s="159" t="str">
        <f t="shared" si="13"/>
        <v>N/A</v>
      </c>
      <c r="GZ7" s="159" t="str">
        <f t="shared" si="14"/>
        <v>N/A</v>
      </c>
      <c r="HA7" s="159" t="str">
        <f t="shared" si="15"/>
        <v>N/A</v>
      </c>
      <c r="HB7" s="159" t="str">
        <f t="shared" si="16"/>
        <v>N/A</v>
      </c>
      <c r="HC7" s="159" t="str">
        <f t="shared" si="17"/>
        <v>N/A</v>
      </c>
      <c r="HD7" s="159">
        <f t="shared" si="18"/>
        <v>71.63333333333334</v>
      </c>
      <c r="HE7" s="159">
        <f t="shared" si="19"/>
        <v>104.53333333333333</v>
      </c>
      <c r="HF7" s="160">
        <f t="shared" si="20"/>
        <v>104.53333333333333</v>
      </c>
      <c r="HG7" s="160" cm="1">
        <f t="array" ref="HG7">INDEX($HB7:$HD7,MATCH(TRUE,INDEX(ISNUMBER($HB7:$HD7),0),0))</f>
        <v>71.63333333333334</v>
      </c>
      <c r="HH7" s="161">
        <f t="shared" si="21"/>
        <v>0</v>
      </c>
      <c r="HI7" s="108">
        <f t="shared" si="22"/>
        <v>0</v>
      </c>
      <c r="HJ7" s="91">
        <f t="shared" si="23"/>
        <v>0</v>
      </c>
      <c r="HK7" s="205" t="str">
        <f t="shared" si="24"/>
        <v>0</v>
      </c>
    </row>
    <row r="8" spans="1:219" ht="15" customHeight="1" x14ac:dyDescent="0.3">
      <c r="A8" s="153">
        <v>7047516980</v>
      </c>
      <c r="B8" s="93" t="s">
        <v>221</v>
      </c>
      <c r="C8" s="93" t="s">
        <v>222</v>
      </c>
      <c r="D8" s="93" t="s">
        <v>221</v>
      </c>
      <c r="E8" s="153" t="s">
        <v>260</v>
      </c>
      <c r="F8" s="165" t="s">
        <v>261</v>
      </c>
      <c r="G8" s="150" t="s">
        <v>262</v>
      </c>
      <c r="H8" s="166">
        <v>43462</v>
      </c>
      <c r="I8" s="149" t="s">
        <v>263</v>
      </c>
      <c r="J8" s="167" t="s">
        <v>264</v>
      </c>
      <c r="K8" s="93" t="s">
        <v>226</v>
      </c>
      <c r="L8" s="93" t="s">
        <v>226</v>
      </c>
      <c r="M8" s="149" t="s">
        <v>226</v>
      </c>
      <c r="N8" s="149" t="s">
        <v>226</v>
      </c>
      <c r="O8" s="97" t="s">
        <v>226</v>
      </c>
      <c r="P8" s="97" t="s">
        <v>226</v>
      </c>
      <c r="Q8" s="93" t="s">
        <v>226</v>
      </c>
      <c r="R8" s="97" t="s">
        <v>226</v>
      </c>
      <c r="S8" s="97" t="s">
        <v>226</v>
      </c>
      <c r="T8" s="97" t="s">
        <v>226</v>
      </c>
      <c r="U8" s="97" t="s">
        <v>226</v>
      </c>
      <c r="V8" s="93" t="s">
        <v>226</v>
      </c>
      <c r="W8" s="97" t="s">
        <v>226</v>
      </c>
      <c r="X8" s="97" t="s">
        <v>226</v>
      </c>
      <c r="Y8" s="97" t="s">
        <v>226</v>
      </c>
      <c r="Z8" s="97" t="s">
        <v>226</v>
      </c>
      <c r="AA8" s="93" t="s">
        <v>226</v>
      </c>
      <c r="AB8" s="97" t="s">
        <v>226</v>
      </c>
      <c r="AC8" s="97" t="s">
        <v>226</v>
      </c>
      <c r="AD8" s="97" t="s">
        <v>226</v>
      </c>
      <c r="AE8" s="97" t="s">
        <v>226</v>
      </c>
      <c r="AF8" s="93" t="s">
        <v>226</v>
      </c>
      <c r="AG8" s="97" t="s">
        <v>226</v>
      </c>
      <c r="AH8" s="97" t="s">
        <v>226</v>
      </c>
      <c r="AI8" s="97" t="s">
        <v>226</v>
      </c>
      <c r="AJ8" s="97" t="s">
        <v>226</v>
      </c>
      <c r="AK8" s="93" t="s">
        <v>226</v>
      </c>
      <c r="AL8" s="97" t="s">
        <v>226</v>
      </c>
      <c r="AM8" s="97" t="s">
        <v>226</v>
      </c>
      <c r="AN8" s="97" t="s">
        <v>226</v>
      </c>
      <c r="AO8" s="97" t="s">
        <v>226</v>
      </c>
      <c r="AP8" s="93" t="s">
        <v>226</v>
      </c>
      <c r="AQ8" s="106" t="s">
        <v>227</v>
      </c>
      <c r="AR8" s="166">
        <v>24938</v>
      </c>
      <c r="AS8" s="168">
        <v>43444</v>
      </c>
      <c r="AT8" s="149">
        <f t="shared" si="0"/>
        <v>50</v>
      </c>
      <c r="AU8" s="149" t="s">
        <v>252</v>
      </c>
      <c r="AV8" s="93" t="s">
        <v>229</v>
      </c>
      <c r="AW8" s="93" t="s">
        <v>230</v>
      </c>
      <c r="AX8" s="150" t="s">
        <v>265</v>
      </c>
      <c r="AY8" s="150">
        <v>0</v>
      </c>
      <c r="AZ8" s="150" t="s">
        <v>232</v>
      </c>
      <c r="BA8" s="150">
        <v>0</v>
      </c>
      <c r="BB8" s="93" t="s">
        <v>266</v>
      </c>
      <c r="BC8" s="169">
        <v>2</v>
      </c>
      <c r="BD8" s="153" t="s">
        <v>234</v>
      </c>
      <c r="BE8" s="93" t="s">
        <v>267</v>
      </c>
      <c r="BF8" s="153" t="s">
        <v>221</v>
      </c>
      <c r="BG8" s="154" t="s">
        <v>226</v>
      </c>
      <c r="BH8" s="155" t="s">
        <v>226</v>
      </c>
      <c r="BI8" s="155" t="s">
        <v>226</v>
      </c>
      <c r="BJ8" s="155" t="s">
        <v>226</v>
      </c>
      <c r="BK8" s="155" t="s">
        <v>226</v>
      </c>
      <c r="BL8" s="155" t="s">
        <v>226</v>
      </c>
      <c r="BM8" s="155" t="s">
        <v>226</v>
      </c>
      <c r="BN8" s="155" t="s">
        <v>226</v>
      </c>
      <c r="BO8" s="155" t="s">
        <v>226</v>
      </c>
      <c r="BP8" s="155" t="s">
        <v>226</v>
      </c>
      <c r="BQ8" s="155" t="s">
        <v>226</v>
      </c>
      <c r="BR8" s="155" t="s">
        <v>226</v>
      </c>
      <c r="BS8" s="155" t="s">
        <v>226</v>
      </c>
      <c r="BT8" s="155" t="s">
        <v>226</v>
      </c>
      <c r="BU8" s="155" t="s">
        <v>226</v>
      </c>
      <c r="BV8" s="155" t="s">
        <v>226</v>
      </c>
      <c r="BW8" s="155" t="s">
        <v>226</v>
      </c>
      <c r="BX8" s="155" t="s">
        <v>226</v>
      </c>
      <c r="BY8" s="155" t="s">
        <v>226</v>
      </c>
      <c r="BZ8" s="155" t="s">
        <v>226</v>
      </c>
      <c r="CA8" s="155" t="s">
        <v>226</v>
      </c>
      <c r="CB8" s="155" t="s">
        <v>226</v>
      </c>
      <c r="CC8" s="155" t="s">
        <v>226</v>
      </c>
      <c r="CD8" s="155" t="s">
        <v>226</v>
      </c>
      <c r="CE8" s="155" t="s">
        <v>226</v>
      </c>
      <c r="CF8" s="155" t="s">
        <v>226</v>
      </c>
      <c r="CG8" s="155" t="s">
        <v>226</v>
      </c>
      <c r="CH8" s="155" t="s">
        <v>226</v>
      </c>
      <c r="CI8" s="155" t="s">
        <v>226</v>
      </c>
      <c r="CJ8" s="155" t="s">
        <v>226</v>
      </c>
      <c r="CK8" s="155" t="s">
        <v>226</v>
      </c>
      <c r="CL8" s="155" t="s">
        <v>226</v>
      </c>
      <c r="CM8" s="155" t="s">
        <v>226</v>
      </c>
      <c r="CN8" s="106" t="s">
        <v>226</v>
      </c>
      <c r="CO8" s="155" t="s">
        <v>226</v>
      </c>
      <c r="CP8" s="155" t="s">
        <v>226</v>
      </c>
      <c r="CQ8" s="155" t="s">
        <v>226</v>
      </c>
      <c r="CR8" s="155" t="s">
        <v>226</v>
      </c>
      <c r="CS8" s="155" t="s">
        <v>226</v>
      </c>
      <c r="CT8" s="155" t="s">
        <v>226</v>
      </c>
      <c r="CU8" s="155" t="s">
        <v>226</v>
      </c>
      <c r="CV8" s="155" t="s">
        <v>226</v>
      </c>
      <c r="CW8" s="155" t="s">
        <v>226</v>
      </c>
      <c r="CX8" s="155" t="s">
        <v>226</v>
      </c>
      <c r="CY8" s="155" t="s">
        <v>226</v>
      </c>
      <c r="CZ8" s="155" t="s">
        <v>226</v>
      </c>
      <c r="DA8" s="155" t="s">
        <v>226</v>
      </c>
      <c r="DB8" s="155" t="s">
        <v>226</v>
      </c>
      <c r="DC8" s="155" t="s">
        <v>226</v>
      </c>
      <c r="DD8" s="155" t="s">
        <v>226</v>
      </c>
      <c r="DE8" s="155" t="s">
        <v>226</v>
      </c>
      <c r="DF8" s="155" t="s">
        <v>226</v>
      </c>
      <c r="DG8" s="155" t="s">
        <v>226</v>
      </c>
      <c r="DH8" s="155" t="s">
        <v>226</v>
      </c>
      <c r="DI8" s="155" t="s">
        <v>226</v>
      </c>
      <c r="DJ8" s="155" t="s">
        <v>226</v>
      </c>
      <c r="DK8" s="155" t="s">
        <v>226</v>
      </c>
      <c r="DL8" s="155" t="s">
        <v>226</v>
      </c>
      <c r="DM8" s="155" t="s">
        <v>226</v>
      </c>
      <c r="DN8" s="155" t="s">
        <v>226</v>
      </c>
      <c r="DO8" s="155" t="s">
        <v>226</v>
      </c>
      <c r="DP8" s="155" t="s">
        <v>226</v>
      </c>
      <c r="DQ8" s="155" t="s">
        <v>226</v>
      </c>
      <c r="DR8" s="155" t="s">
        <v>226</v>
      </c>
      <c r="DS8" s="155" t="s">
        <v>226</v>
      </c>
      <c r="DT8" s="155" t="s">
        <v>226</v>
      </c>
      <c r="DU8" s="155" t="s">
        <v>226</v>
      </c>
      <c r="DV8" s="155" t="s">
        <v>226</v>
      </c>
      <c r="DW8" s="155" t="s">
        <v>226</v>
      </c>
      <c r="DX8" s="155" t="s">
        <v>226</v>
      </c>
      <c r="DY8" s="155" t="s">
        <v>226</v>
      </c>
      <c r="DZ8" s="155" t="s">
        <v>226</v>
      </c>
      <c r="EA8" s="155" t="s">
        <v>226</v>
      </c>
      <c r="EB8" s="155" t="s">
        <v>226</v>
      </c>
      <c r="EC8" s="155" t="s">
        <v>226</v>
      </c>
      <c r="ED8" s="155" t="s">
        <v>226</v>
      </c>
      <c r="EE8" s="155" t="s">
        <v>226</v>
      </c>
      <c r="EF8" s="155" t="s">
        <v>226</v>
      </c>
      <c r="EG8" s="155" t="s">
        <v>226</v>
      </c>
      <c r="EH8" s="155" t="s">
        <v>226</v>
      </c>
      <c r="EI8" s="155" t="s">
        <v>226</v>
      </c>
      <c r="EJ8" s="155" t="s">
        <v>226</v>
      </c>
      <c r="EK8" s="155" t="s">
        <v>226</v>
      </c>
      <c r="EL8" s="155" t="s">
        <v>226</v>
      </c>
      <c r="EM8" s="155" t="s">
        <v>226</v>
      </c>
      <c r="EN8" s="155" t="s">
        <v>226</v>
      </c>
      <c r="EO8" s="155" t="s">
        <v>226</v>
      </c>
      <c r="EP8" s="155" t="s">
        <v>226</v>
      </c>
      <c r="EQ8" s="155" t="s">
        <v>226</v>
      </c>
      <c r="ER8" s="155" t="s">
        <v>226</v>
      </c>
      <c r="ES8" s="155" t="s">
        <v>226</v>
      </c>
      <c r="ET8" s="155" t="s">
        <v>226</v>
      </c>
      <c r="EU8" s="155" t="s">
        <v>226</v>
      </c>
      <c r="EV8" s="155" t="s">
        <v>226</v>
      </c>
      <c r="EW8" s="155" t="s">
        <v>226</v>
      </c>
      <c r="EX8" s="155" t="s">
        <v>226</v>
      </c>
      <c r="EY8" s="155" t="s">
        <v>226</v>
      </c>
      <c r="EZ8" s="155" t="s">
        <v>226</v>
      </c>
      <c r="FA8" s="155" t="s">
        <v>226</v>
      </c>
      <c r="FB8" s="155" t="s">
        <v>226</v>
      </c>
      <c r="FC8" s="155" t="s">
        <v>226</v>
      </c>
      <c r="FD8" s="155" t="s">
        <v>226</v>
      </c>
      <c r="FE8" s="155" t="s">
        <v>226</v>
      </c>
      <c r="FF8" s="155" t="s">
        <v>226</v>
      </c>
      <c r="FG8" s="155" t="s">
        <v>226</v>
      </c>
      <c r="FH8" s="155" t="s">
        <v>226</v>
      </c>
      <c r="FI8" s="155" t="s">
        <v>226</v>
      </c>
      <c r="FJ8" s="155" t="s">
        <v>226</v>
      </c>
      <c r="FK8" s="155" t="s">
        <v>226</v>
      </c>
      <c r="FL8" s="155" t="s">
        <v>226</v>
      </c>
      <c r="FM8" s="155" t="s">
        <v>226</v>
      </c>
      <c r="FN8" s="155" t="s">
        <v>226</v>
      </c>
      <c r="FO8" s="155" t="s">
        <v>226</v>
      </c>
      <c r="FP8" s="155" t="s">
        <v>226</v>
      </c>
      <c r="FQ8" s="155" t="s">
        <v>226</v>
      </c>
      <c r="FR8" s="155" t="s">
        <v>226</v>
      </c>
      <c r="FS8" s="155" t="s">
        <v>226</v>
      </c>
      <c r="FT8" s="155" t="s">
        <v>226</v>
      </c>
      <c r="FU8" s="155" t="s">
        <v>226</v>
      </c>
      <c r="FV8" s="155" t="s">
        <v>226</v>
      </c>
      <c r="FW8" s="155" t="s">
        <v>226</v>
      </c>
      <c r="FX8" s="155" t="s">
        <v>226</v>
      </c>
      <c r="FY8" s="155" t="s">
        <v>226</v>
      </c>
      <c r="FZ8" s="155" t="s">
        <v>226</v>
      </c>
      <c r="GA8" s="155" t="s">
        <v>226</v>
      </c>
      <c r="GB8" s="155" t="s">
        <v>226</v>
      </c>
      <c r="GC8" s="155" t="s">
        <v>226</v>
      </c>
      <c r="GD8" s="155" t="s">
        <v>226</v>
      </c>
      <c r="GE8" s="155" t="s">
        <v>226</v>
      </c>
      <c r="GF8" s="150" t="s">
        <v>256</v>
      </c>
      <c r="GG8" s="70" t="s">
        <v>226</v>
      </c>
      <c r="GH8" s="93" t="s">
        <v>226</v>
      </c>
      <c r="GI8" s="145" t="s">
        <v>226</v>
      </c>
      <c r="GJ8" s="70">
        <v>43727</v>
      </c>
      <c r="GK8" s="70">
        <v>45964</v>
      </c>
      <c r="GL8" s="70" t="s">
        <v>226</v>
      </c>
      <c r="GM8" s="159" t="str">
        <f t="shared" si="1"/>
        <v>N/A</v>
      </c>
      <c r="GN8" s="159" t="str">
        <f t="shared" si="2"/>
        <v>N/A</v>
      </c>
      <c r="GO8" s="159">
        <f t="shared" si="3"/>
        <v>0.6</v>
      </c>
      <c r="GP8" s="159" t="str">
        <f t="shared" si="4"/>
        <v>N/A</v>
      </c>
      <c r="GQ8" s="159" t="str">
        <f t="shared" si="5"/>
        <v>N/A</v>
      </c>
      <c r="GR8" s="159" t="str">
        <f t="shared" si="6"/>
        <v>N/A</v>
      </c>
      <c r="GS8" s="159" t="str">
        <f t="shared" si="7"/>
        <v>N/A</v>
      </c>
      <c r="GT8" s="159" t="str">
        <f t="shared" si="8"/>
        <v>N/A</v>
      </c>
      <c r="GU8" s="159" t="str">
        <f t="shared" si="9"/>
        <v>N/A</v>
      </c>
      <c r="GV8" s="159" t="str">
        <f t="shared" si="10"/>
        <v>N/A</v>
      </c>
      <c r="GW8" s="159" t="str">
        <f t="shared" si="11"/>
        <v>N/A</v>
      </c>
      <c r="GX8" s="159" t="str">
        <f t="shared" si="12"/>
        <v>N/A</v>
      </c>
      <c r="GY8" s="159" t="str">
        <f t="shared" si="13"/>
        <v>N/A</v>
      </c>
      <c r="GZ8" s="159" t="str">
        <f t="shared" si="14"/>
        <v>N/A</v>
      </c>
      <c r="HA8" s="159" t="str">
        <f t="shared" si="15"/>
        <v>N/A</v>
      </c>
      <c r="HB8" s="159" t="str">
        <f t="shared" si="16"/>
        <v>N/A</v>
      </c>
      <c r="HC8" s="159" t="str">
        <f t="shared" si="17"/>
        <v>N/A</v>
      </c>
      <c r="HD8" s="159">
        <f t="shared" si="18"/>
        <v>9.4333333333333336</v>
      </c>
      <c r="HE8" s="159">
        <f t="shared" si="19"/>
        <v>84</v>
      </c>
      <c r="HF8" s="160">
        <f t="shared" si="20"/>
        <v>84</v>
      </c>
      <c r="HG8" s="160" cm="1">
        <f t="array" ref="HG8">INDEX($HB8:$HD8,MATCH(TRUE,INDEX(ISNUMBER($HB8:$HD8),0),0))</f>
        <v>9.4333333333333336</v>
      </c>
      <c r="HH8" s="161">
        <f t="shared" si="21"/>
        <v>0</v>
      </c>
      <c r="HI8" s="108">
        <f t="shared" si="22"/>
        <v>0</v>
      </c>
      <c r="HJ8" s="91">
        <f t="shared" si="23"/>
        <v>0</v>
      </c>
      <c r="HK8" s="205" t="str">
        <f t="shared" si="24"/>
        <v>0</v>
      </c>
    </row>
    <row r="9" spans="1:219" ht="15" customHeight="1" x14ac:dyDescent="0.3">
      <c r="A9" s="157">
        <v>4185839723</v>
      </c>
      <c r="B9" s="93" t="s">
        <v>221</v>
      </c>
      <c r="C9" s="93" t="s">
        <v>222</v>
      </c>
      <c r="D9" s="93" t="s">
        <v>221</v>
      </c>
      <c r="E9" s="149" t="s">
        <v>268</v>
      </c>
      <c r="F9" s="147" t="s">
        <v>269</v>
      </c>
      <c r="G9" s="145" t="s">
        <v>226</v>
      </c>
      <c r="H9" s="70">
        <v>43472</v>
      </c>
      <c r="I9" s="147" t="s">
        <v>270</v>
      </c>
      <c r="J9" s="148" t="s">
        <v>225</v>
      </c>
      <c r="K9" s="145" t="s">
        <v>226</v>
      </c>
      <c r="L9" s="145" t="s">
        <v>226</v>
      </c>
      <c r="M9" s="149" t="s">
        <v>268</v>
      </c>
      <c r="N9" s="93" t="s">
        <v>271</v>
      </c>
      <c r="O9" s="93" t="s">
        <v>272</v>
      </c>
      <c r="P9" s="70">
        <v>43472</v>
      </c>
      <c r="Q9" s="93" t="s">
        <v>222</v>
      </c>
      <c r="R9" s="97" t="s">
        <v>226</v>
      </c>
      <c r="S9" s="97" t="s">
        <v>226</v>
      </c>
      <c r="T9" s="97" t="s">
        <v>226</v>
      </c>
      <c r="U9" s="97" t="s">
        <v>226</v>
      </c>
      <c r="V9" s="93" t="s">
        <v>226</v>
      </c>
      <c r="W9" s="97" t="s">
        <v>226</v>
      </c>
      <c r="X9" s="97" t="s">
        <v>226</v>
      </c>
      <c r="Y9" s="97" t="s">
        <v>226</v>
      </c>
      <c r="Z9" s="97" t="s">
        <v>226</v>
      </c>
      <c r="AA9" s="93" t="s">
        <v>226</v>
      </c>
      <c r="AB9" s="97" t="s">
        <v>226</v>
      </c>
      <c r="AC9" s="97" t="s">
        <v>226</v>
      </c>
      <c r="AD9" s="97" t="s">
        <v>226</v>
      </c>
      <c r="AE9" s="97" t="s">
        <v>226</v>
      </c>
      <c r="AF9" s="93" t="s">
        <v>226</v>
      </c>
      <c r="AG9" s="97" t="s">
        <v>226</v>
      </c>
      <c r="AH9" s="97" t="s">
        <v>226</v>
      </c>
      <c r="AI9" s="97" t="s">
        <v>226</v>
      </c>
      <c r="AJ9" s="97" t="s">
        <v>226</v>
      </c>
      <c r="AK9" s="93" t="s">
        <v>226</v>
      </c>
      <c r="AL9" s="97" t="s">
        <v>226</v>
      </c>
      <c r="AM9" s="97" t="s">
        <v>226</v>
      </c>
      <c r="AN9" s="97" t="s">
        <v>226</v>
      </c>
      <c r="AO9" s="97" t="s">
        <v>226</v>
      </c>
      <c r="AP9" s="93" t="s">
        <v>226</v>
      </c>
      <c r="AQ9" s="106" t="s">
        <v>227</v>
      </c>
      <c r="AR9" s="69">
        <v>24400</v>
      </c>
      <c r="AS9" s="70">
        <v>43452</v>
      </c>
      <c r="AT9" s="149">
        <f t="shared" si="0"/>
        <v>52</v>
      </c>
      <c r="AU9" s="147" t="s">
        <v>228</v>
      </c>
      <c r="AV9" s="93" t="s">
        <v>229</v>
      </c>
      <c r="AW9" s="150" t="s">
        <v>221</v>
      </c>
      <c r="AX9" s="150" t="s">
        <v>232</v>
      </c>
      <c r="AY9" s="151">
        <v>2</v>
      </c>
      <c r="AZ9" s="150" t="s">
        <v>232</v>
      </c>
      <c r="BA9" s="150">
        <v>1</v>
      </c>
      <c r="BB9" s="93" t="s">
        <v>226</v>
      </c>
      <c r="BC9" s="152">
        <v>2</v>
      </c>
      <c r="BD9" s="153" t="s">
        <v>234</v>
      </c>
      <c r="BE9" s="93" t="s">
        <v>273</v>
      </c>
      <c r="BF9" s="153" t="s">
        <v>221</v>
      </c>
      <c r="BG9" s="154" t="s">
        <v>226</v>
      </c>
      <c r="BH9" s="155" t="s">
        <v>226</v>
      </c>
      <c r="BI9" s="155" t="s">
        <v>226</v>
      </c>
      <c r="BJ9" s="155" t="s">
        <v>226</v>
      </c>
      <c r="BK9" s="155" t="s">
        <v>226</v>
      </c>
      <c r="BL9" s="155" t="s">
        <v>226</v>
      </c>
      <c r="BM9" s="155" t="s">
        <v>226</v>
      </c>
      <c r="BN9" s="155" t="s">
        <v>226</v>
      </c>
      <c r="BO9" s="155" t="s">
        <v>226</v>
      </c>
      <c r="BP9" s="155" t="s">
        <v>226</v>
      </c>
      <c r="BQ9" s="155" t="s">
        <v>226</v>
      </c>
      <c r="BR9" s="155" t="s">
        <v>226</v>
      </c>
      <c r="BS9" s="155" t="s">
        <v>226</v>
      </c>
      <c r="BT9" s="155" t="s">
        <v>226</v>
      </c>
      <c r="BU9" s="155" t="s">
        <v>226</v>
      </c>
      <c r="BV9" s="155" t="s">
        <v>226</v>
      </c>
      <c r="BW9" s="155" t="s">
        <v>226</v>
      </c>
      <c r="BX9" s="155" t="s">
        <v>226</v>
      </c>
      <c r="BY9" s="155" t="s">
        <v>226</v>
      </c>
      <c r="BZ9" s="155" t="s">
        <v>226</v>
      </c>
      <c r="CA9" s="155" t="s">
        <v>226</v>
      </c>
      <c r="CB9" s="155" t="s">
        <v>226</v>
      </c>
      <c r="CC9" s="155" t="s">
        <v>226</v>
      </c>
      <c r="CD9" s="155" t="s">
        <v>226</v>
      </c>
      <c r="CE9" s="155" t="s">
        <v>226</v>
      </c>
      <c r="CF9" s="155" t="s">
        <v>226</v>
      </c>
      <c r="CG9" s="155" t="s">
        <v>226</v>
      </c>
      <c r="CH9" s="155" t="s">
        <v>226</v>
      </c>
      <c r="CI9" s="155" t="s">
        <v>226</v>
      </c>
      <c r="CJ9" s="155" t="s">
        <v>226</v>
      </c>
      <c r="CK9" s="155" t="s">
        <v>226</v>
      </c>
      <c r="CL9" s="155" t="s">
        <v>226</v>
      </c>
      <c r="CM9" s="155" t="s">
        <v>226</v>
      </c>
      <c r="CN9" s="106" t="s">
        <v>274</v>
      </c>
      <c r="CO9" s="145" t="s">
        <v>275</v>
      </c>
      <c r="CP9" s="70">
        <v>43516</v>
      </c>
      <c r="CQ9" s="70">
        <v>43619</v>
      </c>
      <c r="CR9" s="145" t="s">
        <v>276</v>
      </c>
      <c r="CS9" s="106" t="s">
        <v>277</v>
      </c>
      <c r="CT9" s="145" t="s">
        <v>278</v>
      </c>
      <c r="CU9" s="145" t="s">
        <v>279</v>
      </c>
      <c r="CV9" s="106" t="s">
        <v>226</v>
      </c>
      <c r="CW9" s="145" t="s">
        <v>226</v>
      </c>
      <c r="CX9" s="145" t="s">
        <v>226</v>
      </c>
      <c r="CY9" s="155" t="s">
        <v>226</v>
      </c>
      <c r="CZ9" s="155" t="s">
        <v>226</v>
      </c>
      <c r="DA9" s="155" t="s">
        <v>226</v>
      </c>
      <c r="DB9" s="155" t="s">
        <v>226</v>
      </c>
      <c r="DC9" s="155" t="s">
        <v>226</v>
      </c>
      <c r="DD9" s="155" t="s">
        <v>226</v>
      </c>
      <c r="DE9" s="155" t="s">
        <v>226</v>
      </c>
      <c r="DF9" s="155" t="s">
        <v>226</v>
      </c>
      <c r="DG9" s="155" t="s">
        <v>226</v>
      </c>
      <c r="DH9" s="155" t="s">
        <v>226</v>
      </c>
      <c r="DI9" s="155" t="s">
        <v>226</v>
      </c>
      <c r="DJ9" s="155" t="s">
        <v>226</v>
      </c>
      <c r="DK9" s="155" t="s">
        <v>226</v>
      </c>
      <c r="DL9" s="155" t="s">
        <v>226</v>
      </c>
      <c r="DM9" s="155" t="s">
        <v>226</v>
      </c>
      <c r="DN9" s="155" t="s">
        <v>226</v>
      </c>
      <c r="DO9" s="155" t="s">
        <v>226</v>
      </c>
      <c r="DP9" s="155" t="s">
        <v>226</v>
      </c>
      <c r="DQ9" s="155" t="s">
        <v>226</v>
      </c>
      <c r="DR9" s="155" t="s">
        <v>226</v>
      </c>
      <c r="DS9" s="155" t="s">
        <v>226</v>
      </c>
      <c r="DT9" s="155" t="s">
        <v>226</v>
      </c>
      <c r="DU9" s="155" t="s">
        <v>226</v>
      </c>
      <c r="DV9" s="155" t="s">
        <v>226</v>
      </c>
      <c r="DW9" s="155" t="s">
        <v>226</v>
      </c>
      <c r="DX9" s="155" t="s">
        <v>226</v>
      </c>
      <c r="DY9" s="155" t="s">
        <v>226</v>
      </c>
      <c r="DZ9" s="155" t="s">
        <v>226</v>
      </c>
      <c r="EA9" s="155" t="s">
        <v>226</v>
      </c>
      <c r="EB9" s="155" t="s">
        <v>226</v>
      </c>
      <c r="EC9" s="155" t="s">
        <v>226</v>
      </c>
      <c r="ED9" s="155" t="s">
        <v>226</v>
      </c>
      <c r="EE9" s="155" t="s">
        <v>226</v>
      </c>
      <c r="EF9" s="155" t="s">
        <v>226</v>
      </c>
      <c r="EG9" s="155" t="s">
        <v>226</v>
      </c>
      <c r="EH9" s="155" t="s">
        <v>226</v>
      </c>
      <c r="EI9" s="70">
        <v>43721</v>
      </c>
      <c r="EJ9" s="145" t="s">
        <v>280</v>
      </c>
      <c r="EK9" s="106" t="s">
        <v>247</v>
      </c>
      <c r="EL9" s="145" t="s">
        <v>281</v>
      </c>
      <c r="EM9" s="70">
        <v>43740</v>
      </c>
      <c r="EN9" s="70">
        <v>43746</v>
      </c>
      <c r="EO9" s="145" t="s">
        <v>276</v>
      </c>
      <c r="EP9" s="106" t="s">
        <v>274</v>
      </c>
      <c r="EQ9" s="145" t="s">
        <v>282</v>
      </c>
      <c r="ER9" s="145" t="s">
        <v>279</v>
      </c>
      <c r="ES9" s="106" t="s">
        <v>226</v>
      </c>
      <c r="ET9" s="155" t="s">
        <v>226</v>
      </c>
      <c r="EU9" s="155" t="s">
        <v>226</v>
      </c>
      <c r="EV9" s="155" t="s">
        <v>226</v>
      </c>
      <c r="EW9" s="155" t="s">
        <v>226</v>
      </c>
      <c r="EX9" s="155" t="s">
        <v>226</v>
      </c>
      <c r="EY9" s="155" t="s">
        <v>226</v>
      </c>
      <c r="EZ9" s="155" t="s">
        <v>226</v>
      </c>
      <c r="FA9" s="155" t="s">
        <v>226</v>
      </c>
      <c r="FB9" s="155" t="s">
        <v>226</v>
      </c>
      <c r="FC9" s="155" t="s">
        <v>226</v>
      </c>
      <c r="FD9" s="155" t="s">
        <v>226</v>
      </c>
      <c r="FE9" s="155" t="s">
        <v>226</v>
      </c>
      <c r="FF9" s="155" t="s">
        <v>226</v>
      </c>
      <c r="FG9" s="155" t="s">
        <v>226</v>
      </c>
      <c r="FH9" s="155" t="s">
        <v>226</v>
      </c>
      <c r="FI9" s="155" t="s">
        <v>226</v>
      </c>
      <c r="FJ9" s="155" t="s">
        <v>226</v>
      </c>
      <c r="FK9" s="155" t="s">
        <v>226</v>
      </c>
      <c r="FL9" s="155" t="s">
        <v>226</v>
      </c>
      <c r="FM9" s="155" t="s">
        <v>226</v>
      </c>
      <c r="FN9" s="155" t="s">
        <v>226</v>
      </c>
      <c r="FO9" s="155" t="s">
        <v>226</v>
      </c>
      <c r="FP9" s="155" t="s">
        <v>226</v>
      </c>
      <c r="FQ9" s="155" t="s">
        <v>226</v>
      </c>
      <c r="FR9" s="155" t="s">
        <v>226</v>
      </c>
      <c r="FS9" s="155" t="s">
        <v>226</v>
      </c>
      <c r="FT9" s="155" t="s">
        <v>226</v>
      </c>
      <c r="FU9" s="155" t="s">
        <v>226</v>
      </c>
      <c r="FV9" s="155" t="s">
        <v>226</v>
      </c>
      <c r="FW9" s="155" t="s">
        <v>226</v>
      </c>
      <c r="FX9" s="155" t="s">
        <v>226</v>
      </c>
      <c r="FY9" s="155" t="s">
        <v>226</v>
      </c>
      <c r="FZ9" s="155" t="s">
        <v>226</v>
      </c>
      <c r="GA9" s="155" t="s">
        <v>226</v>
      </c>
      <c r="GB9" s="155" t="s">
        <v>226</v>
      </c>
      <c r="GC9" s="155" t="s">
        <v>226</v>
      </c>
      <c r="GD9" s="155" t="s">
        <v>226</v>
      </c>
      <c r="GE9" s="155" t="s">
        <v>226</v>
      </c>
      <c r="GF9" s="150" t="s">
        <v>237</v>
      </c>
      <c r="GG9" s="70">
        <v>44165</v>
      </c>
      <c r="GH9" s="93" t="s">
        <v>230</v>
      </c>
      <c r="GI9" s="145" t="s">
        <v>238</v>
      </c>
      <c r="GJ9" s="70">
        <v>44007</v>
      </c>
      <c r="GK9" s="70" t="s">
        <v>226</v>
      </c>
      <c r="GL9" s="70" t="s">
        <v>226</v>
      </c>
      <c r="GM9" s="159" t="str">
        <f t="shared" si="1"/>
        <v>N/A</v>
      </c>
      <c r="GN9" s="159" t="str">
        <f t="shared" si="2"/>
        <v>N/A</v>
      </c>
      <c r="GO9" s="159">
        <f t="shared" si="3"/>
        <v>0.66666666666666663</v>
      </c>
      <c r="GP9" s="159" t="str">
        <f t="shared" si="4"/>
        <v>N/A</v>
      </c>
      <c r="GQ9" s="159">
        <f t="shared" si="5"/>
        <v>0.66666666666666663</v>
      </c>
      <c r="GR9" s="159" t="str">
        <f t="shared" si="6"/>
        <v>N/A</v>
      </c>
      <c r="GS9" s="159" t="str">
        <f t="shared" si="7"/>
        <v>N/A</v>
      </c>
      <c r="GT9" s="159" t="str">
        <f t="shared" si="8"/>
        <v>N/A</v>
      </c>
      <c r="GU9" s="159" t="str">
        <f t="shared" si="9"/>
        <v>N/A</v>
      </c>
      <c r="GV9" s="159" t="str">
        <f t="shared" si="10"/>
        <v>N/A</v>
      </c>
      <c r="GW9" s="159">
        <f t="shared" si="11"/>
        <v>2.1333333333333333</v>
      </c>
      <c r="GX9" s="159">
        <f t="shared" si="12"/>
        <v>5.5666666666666664</v>
      </c>
      <c r="GY9" s="159">
        <f t="shared" si="13"/>
        <v>8.9666666666666668</v>
      </c>
      <c r="GZ9" s="159">
        <f t="shared" si="14"/>
        <v>9.6</v>
      </c>
      <c r="HA9" s="159">
        <f t="shared" si="15"/>
        <v>9.8000000000000007</v>
      </c>
      <c r="HB9" s="159">
        <f t="shared" si="16"/>
        <v>8.9666666666666668</v>
      </c>
      <c r="HC9" s="159">
        <f t="shared" si="17"/>
        <v>23.766666666666666</v>
      </c>
      <c r="HD9" s="159">
        <f t="shared" si="18"/>
        <v>18.5</v>
      </c>
      <c r="HE9" s="159" t="str">
        <f t="shared" si="19"/>
        <v>N/A</v>
      </c>
      <c r="HF9" s="160">
        <f t="shared" si="20"/>
        <v>23.766666666666666</v>
      </c>
      <c r="HG9" s="160" cm="1">
        <f t="array" ref="HG9">INDEX($HB9:$HD9,MATCH(TRUE,INDEX(ISNUMBER($HB9:$HD9),0),0))</f>
        <v>8.9666666666666668</v>
      </c>
      <c r="HH9" s="161">
        <f t="shared" si="21"/>
        <v>1</v>
      </c>
      <c r="HI9" s="108">
        <f t="shared" si="22"/>
        <v>1</v>
      </c>
      <c r="HJ9" s="91">
        <f t="shared" si="23"/>
        <v>1</v>
      </c>
      <c r="HK9" s="205" t="str">
        <f t="shared" si="24"/>
        <v>1</v>
      </c>
    </row>
    <row r="10" spans="1:219" ht="15" customHeight="1" x14ac:dyDescent="0.3">
      <c r="A10" s="146">
        <v>4862144853</v>
      </c>
      <c r="B10" s="93" t="s">
        <v>221</v>
      </c>
      <c r="C10" s="93" t="s">
        <v>222</v>
      </c>
      <c r="D10" s="93" t="s">
        <v>221</v>
      </c>
      <c r="E10" s="145" t="s">
        <v>283</v>
      </c>
      <c r="F10" s="145" t="s">
        <v>284</v>
      </c>
      <c r="G10" s="145" t="s">
        <v>262</v>
      </c>
      <c r="H10" s="70">
        <v>43566</v>
      </c>
      <c r="I10" s="147" t="s">
        <v>285</v>
      </c>
      <c r="J10" s="170" t="s">
        <v>286</v>
      </c>
      <c r="K10" s="145" t="s">
        <v>226</v>
      </c>
      <c r="L10" s="145" t="s">
        <v>226</v>
      </c>
      <c r="M10" s="145" t="s">
        <v>226</v>
      </c>
      <c r="N10" s="145" t="s">
        <v>226</v>
      </c>
      <c r="O10" s="145" t="s">
        <v>226</v>
      </c>
      <c r="P10" s="70" t="s">
        <v>226</v>
      </c>
      <c r="Q10" s="93" t="s">
        <v>226</v>
      </c>
      <c r="R10" s="97" t="s">
        <v>226</v>
      </c>
      <c r="S10" s="97" t="s">
        <v>226</v>
      </c>
      <c r="T10" s="97" t="s">
        <v>226</v>
      </c>
      <c r="U10" s="97" t="s">
        <v>226</v>
      </c>
      <c r="V10" s="93" t="s">
        <v>226</v>
      </c>
      <c r="W10" s="97" t="s">
        <v>226</v>
      </c>
      <c r="X10" s="97" t="s">
        <v>226</v>
      </c>
      <c r="Y10" s="97" t="s">
        <v>226</v>
      </c>
      <c r="Z10" s="97" t="s">
        <v>226</v>
      </c>
      <c r="AA10" s="93" t="s">
        <v>226</v>
      </c>
      <c r="AB10" s="97" t="s">
        <v>226</v>
      </c>
      <c r="AC10" s="97" t="s">
        <v>226</v>
      </c>
      <c r="AD10" s="97" t="s">
        <v>226</v>
      </c>
      <c r="AE10" s="97" t="s">
        <v>226</v>
      </c>
      <c r="AF10" s="93" t="s">
        <v>226</v>
      </c>
      <c r="AG10" s="97" t="s">
        <v>226</v>
      </c>
      <c r="AH10" s="97" t="s">
        <v>226</v>
      </c>
      <c r="AI10" s="97" t="s">
        <v>226</v>
      </c>
      <c r="AJ10" s="97" t="s">
        <v>226</v>
      </c>
      <c r="AK10" s="93" t="s">
        <v>226</v>
      </c>
      <c r="AL10" s="97" t="s">
        <v>226</v>
      </c>
      <c r="AM10" s="97" t="s">
        <v>226</v>
      </c>
      <c r="AN10" s="97" t="s">
        <v>226</v>
      </c>
      <c r="AO10" s="97" t="s">
        <v>226</v>
      </c>
      <c r="AP10" s="93" t="s">
        <v>226</v>
      </c>
      <c r="AQ10" s="106" t="s">
        <v>227</v>
      </c>
      <c r="AR10" s="69">
        <v>23517</v>
      </c>
      <c r="AS10" s="70">
        <v>43535</v>
      </c>
      <c r="AT10" s="149">
        <f t="shared" si="0"/>
        <v>54</v>
      </c>
      <c r="AU10" s="149" t="s">
        <v>252</v>
      </c>
      <c r="AV10" s="93" t="s">
        <v>229</v>
      </c>
      <c r="AW10" s="93" t="s">
        <v>230</v>
      </c>
      <c r="AX10" s="150" t="s">
        <v>265</v>
      </c>
      <c r="AY10" s="151" t="s">
        <v>232</v>
      </c>
      <c r="AZ10" s="150" t="s">
        <v>232</v>
      </c>
      <c r="BA10" s="150">
        <v>0</v>
      </c>
      <c r="BB10" s="93" t="s">
        <v>266</v>
      </c>
      <c r="BC10" s="152">
        <v>1</v>
      </c>
      <c r="BD10" s="153" t="s">
        <v>234</v>
      </c>
      <c r="BE10" s="93" t="s">
        <v>267</v>
      </c>
      <c r="BF10" s="153" t="s">
        <v>221</v>
      </c>
      <c r="BG10" s="154" t="s">
        <v>226</v>
      </c>
      <c r="BH10" s="155" t="s">
        <v>226</v>
      </c>
      <c r="BI10" s="155" t="s">
        <v>226</v>
      </c>
      <c r="BJ10" s="155" t="s">
        <v>226</v>
      </c>
      <c r="BK10" s="155" t="s">
        <v>226</v>
      </c>
      <c r="BL10" s="155" t="s">
        <v>226</v>
      </c>
      <c r="BM10" s="155" t="s">
        <v>226</v>
      </c>
      <c r="BN10" s="155" t="s">
        <v>226</v>
      </c>
      <c r="BO10" s="155" t="s">
        <v>226</v>
      </c>
      <c r="BP10" s="155" t="s">
        <v>226</v>
      </c>
      <c r="BQ10" s="155" t="s">
        <v>226</v>
      </c>
      <c r="BR10" s="155" t="s">
        <v>226</v>
      </c>
      <c r="BS10" s="155" t="s">
        <v>226</v>
      </c>
      <c r="BT10" s="155" t="s">
        <v>226</v>
      </c>
      <c r="BU10" s="155" t="s">
        <v>226</v>
      </c>
      <c r="BV10" s="155" t="s">
        <v>226</v>
      </c>
      <c r="BW10" s="155" t="s">
        <v>226</v>
      </c>
      <c r="BX10" s="155" t="s">
        <v>226</v>
      </c>
      <c r="BY10" s="155" t="s">
        <v>226</v>
      </c>
      <c r="BZ10" s="155" t="s">
        <v>226</v>
      </c>
      <c r="CA10" s="155" t="s">
        <v>226</v>
      </c>
      <c r="CB10" s="155" t="s">
        <v>226</v>
      </c>
      <c r="CC10" s="155" t="s">
        <v>226</v>
      </c>
      <c r="CD10" s="155" t="s">
        <v>226</v>
      </c>
      <c r="CE10" s="155" t="s">
        <v>226</v>
      </c>
      <c r="CF10" s="155" t="s">
        <v>226</v>
      </c>
      <c r="CG10" s="155" t="s">
        <v>226</v>
      </c>
      <c r="CH10" s="155" t="s">
        <v>226</v>
      </c>
      <c r="CI10" s="155" t="s">
        <v>226</v>
      </c>
      <c r="CJ10" s="155" t="s">
        <v>226</v>
      </c>
      <c r="CK10" s="155" t="s">
        <v>226</v>
      </c>
      <c r="CL10" s="155" t="s">
        <v>226</v>
      </c>
      <c r="CM10" s="155" t="s">
        <v>226</v>
      </c>
      <c r="CN10" s="106" t="s">
        <v>226</v>
      </c>
      <c r="CO10" s="155" t="s">
        <v>226</v>
      </c>
      <c r="CP10" s="155" t="s">
        <v>226</v>
      </c>
      <c r="CQ10" s="155" t="s">
        <v>226</v>
      </c>
      <c r="CR10" s="155" t="s">
        <v>226</v>
      </c>
      <c r="CS10" s="155" t="s">
        <v>226</v>
      </c>
      <c r="CT10" s="155" t="s">
        <v>226</v>
      </c>
      <c r="CU10" s="155" t="s">
        <v>226</v>
      </c>
      <c r="CV10" s="155" t="s">
        <v>226</v>
      </c>
      <c r="CW10" s="155" t="s">
        <v>226</v>
      </c>
      <c r="CX10" s="155" t="s">
        <v>226</v>
      </c>
      <c r="CY10" s="155" t="s">
        <v>226</v>
      </c>
      <c r="CZ10" s="155" t="s">
        <v>226</v>
      </c>
      <c r="DA10" s="155" t="s">
        <v>226</v>
      </c>
      <c r="DB10" s="155" t="s">
        <v>226</v>
      </c>
      <c r="DC10" s="155" t="s">
        <v>226</v>
      </c>
      <c r="DD10" s="155" t="s">
        <v>226</v>
      </c>
      <c r="DE10" s="155" t="s">
        <v>226</v>
      </c>
      <c r="DF10" s="155" t="s">
        <v>226</v>
      </c>
      <c r="DG10" s="155" t="s">
        <v>226</v>
      </c>
      <c r="DH10" s="155" t="s">
        <v>226</v>
      </c>
      <c r="DI10" s="155" t="s">
        <v>226</v>
      </c>
      <c r="DJ10" s="155" t="s">
        <v>226</v>
      </c>
      <c r="DK10" s="155" t="s">
        <v>226</v>
      </c>
      <c r="DL10" s="155" t="s">
        <v>226</v>
      </c>
      <c r="DM10" s="155" t="s">
        <v>226</v>
      </c>
      <c r="DN10" s="155" t="s">
        <v>226</v>
      </c>
      <c r="DO10" s="155" t="s">
        <v>226</v>
      </c>
      <c r="DP10" s="155" t="s">
        <v>226</v>
      </c>
      <c r="DQ10" s="155" t="s">
        <v>226</v>
      </c>
      <c r="DR10" s="155" t="s">
        <v>226</v>
      </c>
      <c r="DS10" s="155" t="s">
        <v>226</v>
      </c>
      <c r="DT10" s="155" t="s">
        <v>226</v>
      </c>
      <c r="DU10" s="155" t="s">
        <v>226</v>
      </c>
      <c r="DV10" s="155" t="s">
        <v>226</v>
      </c>
      <c r="DW10" s="155" t="s">
        <v>226</v>
      </c>
      <c r="DX10" s="155" t="s">
        <v>226</v>
      </c>
      <c r="DY10" s="155" t="s">
        <v>226</v>
      </c>
      <c r="DZ10" s="155" t="s">
        <v>226</v>
      </c>
      <c r="EA10" s="155" t="s">
        <v>226</v>
      </c>
      <c r="EB10" s="155" t="s">
        <v>226</v>
      </c>
      <c r="EC10" s="155" t="s">
        <v>226</v>
      </c>
      <c r="ED10" s="155" t="s">
        <v>226</v>
      </c>
      <c r="EE10" s="155" t="s">
        <v>226</v>
      </c>
      <c r="EF10" s="155" t="s">
        <v>226</v>
      </c>
      <c r="EG10" s="155" t="s">
        <v>226</v>
      </c>
      <c r="EH10" s="155" t="s">
        <v>226</v>
      </c>
      <c r="EI10" s="155" t="s">
        <v>226</v>
      </c>
      <c r="EJ10" s="155" t="s">
        <v>226</v>
      </c>
      <c r="EK10" s="106" t="s">
        <v>226</v>
      </c>
      <c r="EL10" s="155" t="s">
        <v>226</v>
      </c>
      <c r="EM10" s="155" t="s">
        <v>226</v>
      </c>
      <c r="EN10" s="155" t="s">
        <v>226</v>
      </c>
      <c r="EO10" s="155" t="s">
        <v>226</v>
      </c>
      <c r="EP10" s="155" t="s">
        <v>226</v>
      </c>
      <c r="EQ10" s="155" t="s">
        <v>226</v>
      </c>
      <c r="ER10" s="155" t="s">
        <v>226</v>
      </c>
      <c r="ES10" s="155" t="s">
        <v>226</v>
      </c>
      <c r="ET10" s="155" t="s">
        <v>226</v>
      </c>
      <c r="EU10" s="155" t="s">
        <v>226</v>
      </c>
      <c r="EV10" s="155" t="s">
        <v>226</v>
      </c>
      <c r="EW10" s="155" t="s">
        <v>226</v>
      </c>
      <c r="EX10" s="155" t="s">
        <v>226</v>
      </c>
      <c r="EY10" s="155" t="s">
        <v>226</v>
      </c>
      <c r="EZ10" s="155" t="s">
        <v>226</v>
      </c>
      <c r="FA10" s="155" t="s">
        <v>226</v>
      </c>
      <c r="FB10" s="155" t="s">
        <v>226</v>
      </c>
      <c r="FC10" s="155" t="s">
        <v>226</v>
      </c>
      <c r="FD10" s="155" t="s">
        <v>226</v>
      </c>
      <c r="FE10" s="155" t="s">
        <v>226</v>
      </c>
      <c r="FF10" s="155" t="s">
        <v>226</v>
      </c>
      <c r="FG10" s="155" t="s">
        <v>226</v>
      </c>
      <c r="FH10" s="155" t="s">
        <v>226</v>
      </c>
      <c r="FI10" s="155" t="s">
        <v>226</v>
      </c>
      <c r="FJ10" s="155" t="s">
        <v>226</v>
      </c>
      <c r="FK10" s="155" t="s">
        <v>226</v>
      </c>
      <c r="FL10" s="155" t="s">
        <v>226</v>
      </c>
      <c r="FM10" s="155" t="s">
        <v>226</v>
      </c>
      <c r="FN10" s="155" t="s">
        <v>226</v>
      </c>
      <c r="FO10" s="155" t="s">
        <v>226</v>
      </c>
      <c r="FP10" s="155" t="s">
        <v>226</v>
      </c>
      <c r="FQ10" s="155" t="s">
        <v>226</v>
      </c>
      <c r="FR10" s="155" t="s">
        <v>226</v>
      </c>
      <c r="FS10" s="155" t="s">
        <v>226</v>
      </c>
      <c r="FT10" s="155" t="s">
        <v>226</v>
      </c>
      <c r="FU10" s="155" t="s">
        <v>226</v>
      </c>
      <c r="FV10" s="155" t="s">
        <v>226</v>
      </c>
      <c r="FW10" s="155" t="s">
        <v>226</v>
      </c>
      <c r="FX10" s="155" t="s">
        <v>226</v>
      </c>
      <c r="FY10" s="155" t="s">
        <v>226</v>
      </c>
      <c r="FZ10" s="155" t="s">
        <v>226</v>
      </c>
      <c r="GA10" s="155" t="s">
        <v>226</v>
      </c>
      <c r="GB10" s="155" t="s">
        <v>226</v>
      </c>
      <c r="GC10" s="155" t="s">
        <v>226</v>
      </c>
      <c r="GD10" s="155" t="s">
        <v>226</v>
      </c>
      <c r="GE10" s="155" t="s">
        <v>226</v>
      </c>
      <c r="GF10" s="150" t="s">
        <v>256</v>
      </c>
      <c r="GG10" s="70" t="s">
        <v>226</v>
      </c>
      <c r="GH10" s="93" t="s">
        <v>226</v>
      </c>
      <c r="GI10" s="145" t="s">
        <v>226</v>
      </c>
      <c r="GJ10" s="70">
        <v>44497</v>
      </c>
      <c r="GK10" s="70">
        <v>45666</v>
      </c>
      <c r="GL10" s="70" t="s">
        <v>226</v>
      </c>
      <c r="GM10" s="159" t="str">
        <f t="shared" si="1"/>
        <v>N/A</v>
      </c>
      <c r="GN10" s="159" t="str">
        <f t="shared" si="2"/>
        <v>N/A</v>
      </c>
      <c r="GO10" s="159">
        <f t="shared" si="3"/>
        <v>1.0333333333333334</v>
      </c>
      <c r="GP10" s="159" t="str">
        <f t="shared" si="4"/>
        <v>N/A</v>
      </c>
      <c r="GQ10" s="159" t="str">
        <f t="shared" si="5"/>
        <v>N/A</v>
      </c>
      <c r="GR10" s="159" t="str">
        <f t="shared" si="6"/>
        <v>N/A</v>
      </c>
      <c r="GS10" s="159" t="str">
        <f t="shared" si="7"/>
        <v>N/A</v>
      </c>
      <c r="GT10" s="159" t="str">
        <f t="shared" si="8"/>
        <v>N/A</v>
      </c>
      <c r="GU10" s="159" t="str">
        <f t="shared" si="9"/>
        <v>N/A</v>
      </c>
      <c r="GV10" s="159" t="str">
        <f t="shared" si="10"/>
        <v>N/A</v>
      </c>
      <c r="GW10" s="159" t="str">
        <f t="shared" si="11"/>
        <v>N/A</v>
      </c>
      <c r="GX10" s="159" t="str">
        <f t="shared" si="12"/>
        <v>N/A</v>
      </c>
      <c r="GY10" s="159" t="str">
        <f t="shared" si="13"/>
        <v>N/A</v>
      </c>
      <c r="GZ10" s="159" t="str">
        <f t="shared" si="14"/>
        <v>N/A</v>
      </c>
      <c r="HA10" s="159" t="str">
        <f t="shared" si="15"/>
        <v>N/A</v>
      </c>
      <c r="HB10" s="159" t="str">
        <f t="shared" si="16"/>
        <v>N/A</v>
      </c>
      <c r="HC10" s="159" t="str">
        <f t="shared" si="17"/>
        <v>N/A</v>
      </c>
      <c r="HD10" s="159">
        <f t="shared" si="18"/>
        <v>32.06666666666667</v>
      </c>
      <c r="HE10" s="159">
        <f t="shared" si="19"/>
        <v>71.033333333333331</v>
      </c>
      <c r="HF10" s="160">
        <f t="shared" si="20"/>
        <v>71.033333333333331</v>
      </c>
      <c r="HG10" s="160" cm="1">
        <f t="array" ref="HG10">INDEX($HB10:$HD10,MATCH(TRUE,INDEX(ISNUMBER($HB10:$HD10),0),0))</f>
        <v>32.06666666666667</v>
      </c>
      <c r="HH10" s="161">
        <f t="shared" si="21"/>
        <v>0</v>
      </c>
      <c r="HI10" s="108">
        <f t="shared" si="22"/>
        <v>0</v>
      </c>
      <c r="HJ10" s="91">
        <f t="shared" si="23"/>
        <v>0</v>
      </c>
      <c r="HK10" s="205" t="str">
        <f t="shared" si="24"/>
        <v>0</v>
      </c>
    </row>
    <row r="11" spans="1:219" ht="15" customHeight="1" x14ac:dyDescent="0.3">
      <c r="A11" s="146">
        <v>6244603990</v>
      </c>
      <c r="B11" s="93" t="s">
        <v>221</v>
      </c>
      <c r="C11" s="93" t="s">
        <v>222</v>
      </c>
      <c r="D11" s="93" t="s">
        <v>221</v>
      </c>
      <c r="E11" s="145" t="s">
        <v>287</v>
      </c>
      <c r="F11" s="145" t="s">
        <v>288</v>
      </c>
      <c r="G11" s="145" t="s">
        <v>250</v>
      </c>
      <c r="H11" s="70">
        <v>43749</v>
      </c>
      <c r="I11" s="147" t="s">
        <v>289</v>
      </c>
      <c r="J11" s="148" t="s">
        <v>225</v>
      </c>
      <c r="K11" s="145" t="s">
        <v>226</v>
      </c>
      <c r="L11" s="145" t="s">
        <v>226</v>
      </c>
      <c r="M11" s="145" t="s">
        <v>226</v>
      </c>
      <c r="N11" s="145" t="s">
        <v>226</v>
      </c>
      <c r="O11" s="145" t="s">
        <v>226</v>
      </c>
      <c r="P11" s="70" t="s">
        <v>290</v>
      </c>
      <c r="Q11" s="93" t="s">
        <v>226</v>
      </c>
      <c r="R11" s="97" t="s">
        <v>226</v>
      </c>
      <c r="S11" s="97" t="s">
        <v>226</v>
      </c>
      <c r="T11" s="97" t="s">
        <v>226</v>
      </c>
      <c r="U11" s="97" t="s">
        <v>226</v>
      </c>
      <c r="V11" s="93" t="s">
        <v>226</v>
      </c>
      <c r="W11" s="97" t="s">
        <v>226</v>
      </c>
      <c r="X11" s="97" t="s">
        <v>226</v>
      </c>
      <c r="Y11" s="97" t="s">
        <v>226</v>
      </c>
      <c r="Z11" s="97" t="s">
        <v>226</v>
      </c>
      <c r="AA11" s="93" t="s">
        <v>226</v>
      </c>
      <c r="AB11" s="97" t="s">
        <v>226</v>
      </c>
      <c r="AC11" s="97" t="s">
        <v>226</v>
      </c>
      <c r="AD11" s="97" t="s">
        <v>226</v>
      </c>
      <c r="AE11" s="97" t="s">
        <v>226</v>
      </c>
      <c r="AF11" s="93" t="s">
        <v>226</v>
      </c>
      <c r="AG11" s="97" t="s">
        <v>226</v>
      </c>
      <c r="AH11" s="97" t="s">
        <v>226</v>
      </c>
      <c r="AI11" s="97" t="s">
        <v>226</v>
      </c>
      <c r="AJ11" s="97" t="s">
        <v>226</v>
      </c>
      <c r="AK11" s="93" t="s">
        <v>226</v>
      </c>
      <c r="AL11" s="97" t="s">
        <v>226</v>
      </c>
      <c r="AM11" s="97" t="s">
        <v>226</v>
      </c>
      <c r="AN11" s="97" t="s">
        <v>226</v>
      </c>
      <c r="AO11" s="97" t="s">
        <v>226</v>
      </c>
      <c r="AP11" s="93" t="s">
        <v>226</v>
      </c>
      <c r="AQ11" s="106" t="s">
        <v>227</v>
      </c>
      <c r="AR11" s="69">
        <v>21810</v>
      </c>
      <c r="AS11" s="70">
        <v>43718</v>
      </c>
      <c r="AT11" s="149">
        <f t="shared" si="0"/>
        <v>59</v>
      </c>
      <c r="AU11" s="147" t="s">
        <v>291</v>
      </c>
      <c r="AV11" s="93" t="s">
        <v>229</v>
      </c>
      <c r="AW11" s="93" t="s">
        <v>230</v>
      </c>
      <c r="AX11" s="150" t="s">
        <v>231</v>
      </c>
      <c r="AY11" s="150">
        <v>0</v>
      </c>
      <c r="AZ11" s="150" t="s">
        <v>232</v>
      </c>
      <c r="BA11" s="150">
        <v>0</v>
      </c>
      <c r="BB11" s="93" t="s">
        <v>233</v>
      </c>
      <c r="BC11" s="152">
        <v>2</v>
      </c>
      <c r="BD11" s="153" t="s">
        <v>234</v>
      </c>
      <c r="BE11" s="93" t="s">
        <v>235</v>
      </c>
      <c r="BF11" s="153" t="s">
        <v>221</v>
      </c>
      <c r="BG11" s="154" t="s">
        <v>226</v>
      </c>
      <c r="BH11" s="155" t="s">
        <v>226</v>
      </c>
      <c r="BI11" s="155" t="s">
        <v>226</v>
      </c>
      <c r="BJ11" s="155" t="s">
        <v>226</v>
      </c>
      <c r="BK11" s="155" t="s">
        <v>226</v>
      </c>
      <c r="BL11" s="155" t="s">
        <v>226</v>
      </c>
      <c r="BM11" s="155" t="s">
        <v>226</v>
      </c>
      <c r="BN11" s="155" t="s">
        <v>226</v>
      </c>
      <c r="BO11" s="155" t="s">
        <v>226</v>
      </c>
      <c r="BP11" s="155" t="s">
        <v>226</v>
      </c>
      <c r="BQ11" s="155" t="s">
        <v>226</v>
      </c>
      <c r="BR11" s="155" t="s">
        <v>226</v>
      </c>
      <c r="BS11" s="155" t="s">
        <v>226</v>
      </c>
      <c r="BT11" s="155" t="s">
        <v>226</v>
      </c>
      <c r="BU11" s="155" t="s">
        <v>226</v>
      </c>
      <c r="BV11" s="155" t="s">
        <v>226</v>
      </c>
      <c r="BW11" s="155" t="s">
        <v>226</v>
      </c>
      <c r="BX11" s="155" t="s">
        <v>226</v>
      </c>
      <c r="BY11" s="155" t="s">
        <v>226</v>
      </c>
      <c r="BZ11" s="155" t="s">
        <v>226</v>
      </c>
      <c r="CA11" s="155" t="s">
        <v>226</v>
      </c>
      <c r="CB11" s="155" t="s">
        <v>226</v>
      </c>
      <c r="CC11" s="155" t="s">
        <v>226</v>
      </c>
      <c r="CD11" s="155" t="s">
        <v>226</v>
      </c>
      <c r="CE11" s="155" t="s">
        <v>226</v>
      </c>
      <c r="CF11" s="155" t="s">
        <v>226</v>
      </c>
      <c r="CG11" s="155" t="s">
        <v>226</v>
      </c>
      <c r="CH11" s="155" t="s">
        <v>226</v>
      </c>
      <c r="CI11" s="155" t="s">
        <v>226</v>
      </c>
      <c r="CJ11" s="155" t="s">
        <v>226</v>
      </c>
      <c r="CK11" s="155" t="s">
        <v>226</v>
      </c>
      <c r="CL11" s="155" t="s">
        <v>226</v>
      </c>
      <c r="CM11" s="155" t="s">
        <v>226</v>
      </c>
      <c r="CN11" s="106" t="s">
        <v>247</v>
      </c>
      <c r="CO11" s="145" t="s">
        <v>255</v>
      </c>
      <c r="CP11" s="70">
        <v>43802</v>
      </c>
      <c r="CQ11" s="70">
        <v>43809</v>
      </c>
      <c r="CR11" s="145" t="s">
        <v>226</v>
      </c>
      <c r="CS11" s="106" t="s">
        <v>226</v>
      </c>
      <c r="CT11" s="155" t="s">
        <v>226</v>
      </c>
      <c r="CU11" s="155" t="s">
        <v>226</v>
      </c>
      <c r="CV11" s="155" t="s">
        <v>226</v>
      </c>
      <c r="CW11" s="155" t="s">
        <v>226</v>
      </c>
      <c r="CX11" s="155" t="s">
        <v>226</v>
      </c>
      <c r="CY11" s="155" t="s">
        <v>226</v>
      </c>
      <c r="CZ11" s="155" t="s">
        <v>226</v>
      </c>
      <c r="DA11" s="155" t="s">
        <v>226</v>
      </c>
      <c r="DB11" s="155" t="s">
        <v>226</v>
      </c>
      <c r="DC11" s="155" t="s">
        <v>226</v>
      </c>
      <c r="DD11" s="155" t="s">
        <v>226</v>
      </c>
      <c r="DE11" s="155" t="s">
        <v>226</v>
      </c>
      <c r="DF11" s="155" t="s">
        <v>226</v>
      </c>
      <c r="DG11" s="155" t="s">
        <v>226</v>
      </c>
      <c r="DH11" s="155" t="s">
        <v>226</v>
      </c>
      <c r="DI11" s="155" t="s">
        <v>226</v>
      </c>
      <c r="DJ11" s="155" t="s">
        <v>226</v>
      </c>
      <c r="DK11" s="155" t="s">
        <v>226</v>
      </c>
      <c r="DL11" s="155" t="s">
        <v>226</v>
      </c>
      <c r="DM11" s="155" t="s">
        <v>226</v>
      </c>
      <c r="DN11" s="155" t="s">
        <v>226</v>
      </c>
      <c r="DO11" s="155" t="s">
        <v>226</v>
      </c>
      <c r="DP11" s="155" t="s">
        <v>226</v>
      </c>
      <c r="DQ11" s="155" t="s">
        <v>226</v>
      </c>
      <c r="DR11" s="155" t="s">
        <v>226</v>
      </c>
      <c r="DS11" s="155" t="s">
        <v>226</v>
      </c>
      <c r="DT11" s="155" t="s">
        <v>226</v>
      </c>
      <c r="DU11" s="155" t="s">
        <v>226</v>
      </c>
      <c r="DV11" s="155" t="s">
        <v>226</v>
      </c>
      <c r="DW11" s="155" t="s">
        <v>226</v>
      </c>
      <c r="DX11" s="155" t="s">
        <v>226</v>
      </c>
      <c r="DY11" s="155" t="s">
        <v>226</v>
      </c>
      <c r="DZ11" s="155" t="s">
        <v>226</v>
      </c>
      <c r="EA11" s="155" t="s">
        <v>226</v>
      </c>
      <c r="EB11" s="155" t="s">
        <v>226</v>
      </c>
      <c r="EC11" s="155" t="s">
        <v>226</v>
      </c>
      <c r="ED11" s="155" t="s">
        <v>226</v>
      </c>
      <c r="EE11" s="155" t="s">
        <v>226</v>
      </c>
      <c r="EF11" s="155" t="s">
        <v>226</v>
      </c>
      <c r="EG11" s="155" t="s">
        <v>226</v>
      </c>
      <c r="EH11" s="155" t="s">
        <v>226</v>
      </c>
      <c r="EI11" s="70">
        <v>44765</v>
      </c>
      <c r="EJ11" s="145" t="s">
        <v>292</v>
      </c>
      <c r="EK11" s="106" t="s">
        <v>277</v>
      </c>
      <c r="EL11" s="145" t="s">
        <v>293</v>
      </c>
      <c r="EM11" s="70">
        <v>44811</v>
      </c>
      <c r="EN11" s="70">
        <v>45931</v>
      </c>
      <c r="EO11" s="145" t="s">
        <v>294</v>
      </c>
      <c r="EP11" s="106" t="s">
        <v>226</v>
      </c>
      <c r="EQ11" s="145" t="s">
        <v>226</v>
      </c>
      <c r="ER11" s="145" t="s">
        <v>226</v>
      </c>
      <c r="ES11" s="106" t="s">
        <v>226</v>
      </c>
      <c r="ET11" s="145" t="s">
        <v>226</v>
      </c>
      <c r="EU11" s="145" t="s">
        <v>226</v>
      </c>
      <c r="EV11" s="106" t="s">
        <v>226</v>
      </c>
      <c r="EW11" s="145" t="s">
        <v>226</v>
      </c>
      <c r="EX11" s="145" t="s">
        <v>226</v>
      </c>
      <c r="EY11" s="106" t="s">
        <v>226</v>
      </c>
      <c r="EZ11" s="145" t="s">
        <v>226</v>
      </c>
      <c r="FA11" s="145" t="s">
        <v>226</v>
      </c>
      <c r="FB11" s="106" t="s">
        <v>226</v>
      </c>
      <c r="FC11" s="145" t="s">
        <v>226</v>
      </c>
      <c r="FD11" s="145" t="s">
        <v>226</v>
      </c>
      <c r="FE11" s="155" t="s">
        <v>226</v>
      </c>
      <c r="FF11" s="155" t="s">
        <v>226</v>
      </c>
      <c r="FG11" s="155" t="s">
        <v>226</v>
      </c>
      <c r="FH11" s="155" t="s">
        <v>226</v>
      </c>
      <c r="FI11" s="155" t="s">
        <v>226</v>
      </c>
      <c r="FJ11" s="155" t="s">
        <v>226</v>
      </c>
      <c r="FK11" s="155" t="s">
        <v>226</v>
      </c>
      <c r="FL11" s="155" t="s">
        <v>226</v>
      </c>
      <c r="FM11" s="155" t="s">
        <v>226</v>
      </c>
      <c r="FN11" s="155" t="s">
        <v>226</v>
      </c>
      <c r="FO11" s="155" t="s">
        <v>226</v>
      </c>
      <c r="FP11" s="155" t="s">
        <v>226</v>
      </c>
      <c r="FQ11" s="155" t="s">
        <v>226</v>
      </c>
      <c r="FR11" s="155" t="s">
        <v>226</v>
      </c>
      <c r="FS11" s="155" t="s">
        <v>226</v>
      </c>
      <c r="FT11" s="155" t="s">
        <v>226</v>
      </c>
      <c r="FU11" s="155" t="s">
        <v>226</v>
      </c>
      <c r="FV11" s="155" t="s">
        <v>226</v>
      </c>
      <c r="FW11" s="155" t="s">
        <v>226</v>
      </c>
      <c r="FX11" s="155" t="s">
        <v>226</v>
      </c>
      <c r="FY11" s="155" t="s">
        <v>226</v>
      </c>
      <c r="FZ11" s="155" t="s">
        <v>226</v>
      </c>
      <c r="GA11" s="155" t="s">
        <v>226</v>
      </c>
      <c r="GB11" s="155" t="s">
        <v>226</v>
      </c>
      <c r="GC11" s="155" t="s">
        <v>226</v>
      </c>
      <c r="GD11" s="155" t="s">
        <v>226</v>
      </c>
      <c r="GE11" s="155" t="s">
        <v>226</v>
      </c>
      <c r="GF11" s="150" t="s">
        <v>256</v>
      </c>
      <c r="GG11" s="70" t="s">
        <v>226</v>
      </c>
      <c r="GH11" s="93" t="s">
        <v>226</v>
      </c>
      <c r="GI11" s="145" t="s">
        <v>226</v>
      </c>
      <c r="GJ11" s="70">
        <v>45931</v>
      </c>
      <c r="GK11" s="70">
        <v>45931</v>
      </c>
      <c r="GL11" s="70" t="s">
        <v>226</v>
      </c>
      <c r="GM11" s="159" t="str">
        <f t="shared" si="1"/>
        <v>N/A</v>
      </c>
      <c r="GN11" s="159" t="str">
        <f t="shared" si="2"/>
        <v>N/A</v>
      </c>
      <c r="GO11" s="159">
        <f t="shared" si="3"/>
        <v>1.0333333333333334</v>
      </c>
      <c r="GP11" s="159" t="str">
        <f t="shared" si="4"/>
        <v>N/A</v>
      </c>
      <c r="GQ11" s="159" t="str">
        <f t="shared" si="5"/>
        <v>N/A</v>
      </c>
      <c r="GR11" s="159" t="str">
        <f t="shared" si="6"/>
        <v>N/A</v>
      </c>
      <c r="GS11" s="159" t="str">
        <f t="shared" si="7"/>
        <v>N/A</v>
      </c>
      <c r="GT11" s="159" t="str">
        <f t="shared" si="8"/>
        <v>N/A</v>
      </c>
      <c r="GU11" s="159" t="str">
        <f t="shared" si="9"/>
        <v>N/A</v>
      </c>
      <c r="GV11" s="159" t="str">
        <f t="shared" si="10"/>
        <v>N/A</v>
      </c>
      <c r="GW11" s="159">
        <f t="shared" si="11"/>
        <v>2.8</v>
      </c>
      <c r="GX11" s="159">
        <f t="shared" si="12"/>
        <v>3.0333333333333332</v>
      </c>
      <c r="GY11" s="159">
        <f t="shared" si="13"/>
        <v>34.9</v>
      </c>
      <c r="GZ11" s="159">
        <f t="shared" si="14"/>
        <v>36.43333333333333</v>
      </c>
      <c r="HA11" s="159">
        <f t="shared" si="15"/>
        <v>73.766666666666666</v>
      </c>
      <c r="HB11" s="159">
        <f t="shared" si="16"/>
        <v>34.9</v>
      </c>
      <c r="HC11" s="159" t="str">
        <f t="shared" si="17"/>
        <v>N/A</v>
      </c>
      <c r="HD11" s="159">
        <f t="shared" si="18"/>
        <v>73.766666666666666</v>
      </c>
      <c r="HE11" s="159">
        <f t="shared" si="19"/>
        <v>73.766666666666666</v>
      </c>
      <c r="HF11" s="160">
        <f t="shared" si="20"/>
        <v>73.766666666666666</v>
      </c>
      <c r="HG11" s="160" cm="1">
        <f t="array" ref="HG11">INDEX($HB11:$HD11,MATCH(TRUE,INDEX(ISNUMBER($HB11:$HD11),0),0))</f>
        <v>34.9</v>
      </c>
      <c r="HH11" s="161">
        <f t="shared" si="21"/>
        <v>1</v>
      </c>
      <c r="HI11" s="108">
        <f t="shared" si="22"/>
        <v>0</v>
      </c>
      <c r="HJ11" s="91">
        <f t="shared" si="23"/>
        <v>0</v>
      </c>
      <c r="HK11" s="205" t="str">
        <f t="shared" si="24"/>
        <v>1</v>
      </c>
    </row>
    <row r="12" spans="1:219" ht="15" customHeight="1" x14ac:dyDescent="0.3">
      <c r="A12" s="146">
        <v>4646766140</v>
      </c>
      <c r="B12" s="93" t="s">
        <v>221</v>
      </c>
      <c r="C12" s="93" t="s">
        <v>222</v>
      </c>
      <c r="D12" s="93" t="s">
        <v>221</v>
      </c>
      <c r="E12" s="145" t="s">
        <v>295</v>
      </c>
      <c r="F12" s="145" t="s">
        <v>296</v>
      </c>
      <c r="G12" s="145" t="s">
        <v>288</v>
      </c>
      <c r="H12" s="70">
        <v>43767</v>
      </c>
      <c r="I12" s="170" t="s">
        <v>297</v>
      </c>
      <c r="J12" s="148" t="s">
        <v>225</v>
      </c>
      <c r="K12" s="145" t="s">
        <v>226</v>
      </c>
      <c r="L12" s="145" t="s">
        <v>226</v>
      </c>
      <c r="M12" s="145" t="s">
        <v>226</v>
      </c>
      <c r="N12" s="145" t="s">
        <v>226</v>
      </c>
      <c r="O12" s="145" t="s">
        <v>226</v>
      </c>
      <c r="P12" s="70" t="s">
        <v>226</v>
      </c>
      <c r="Q12" s="93" t="s">
        <v>226</v>
      </c>
      <c r="R12" s="97" t="s">
        <v>226</v>
      </c>
      <c r="S12" s="97" t="s">
        <v>226</v>
      </c>
      <c r="T12" s="97" t="s">
        <v>226</v>
      </c>
      <c r="U12" s="97" t="s">
        <v>226</v>
      </c>
      <c r="V12" s="93" t="s">
        <v>226</v>
      </c>
      <c r="W12" s="97" t="s">
        <v>226</v>
      </c>
      <c r="X12" s="97" t="s">
        <v>226</v>
      </c>
      <c r="Y12" s="97" t="s">
        <v>226</v>
      </c>
      <c r="Z12" s="97" t="s">
        <v>226</v>
      </c>
      <c r="AA12" s="93" t="s">
        <v>226</v>
      </c>
      <c r="AB12" s="97" t="s">
        <v>226</v>
      </c>
      <c r="AC12" s="97" t="s">
        <v>226</v>
      </c>
      <c r="AD12" s="97" t="s">
        <v>226</v>
      </c>
      <c r="AE12" s="97" t="s">
        <v>226</v>
      </c>
      <c r="AF12" s="93" t="s">
        <v>226</v>
      </c>
      <c r="AG12" s="97" t="s">
        <v>226</v>
      </c>
      <c r="AH12" s="97" t="s">
        <v>226</v>
      </c>
      <c r="AI12" s="97" t="s">
        <v>226</v>
      </c>
      <c r="AJ12" s="97" t="s">
        <v>226</v>
      </c>
      <c r="AK12" s="93" t="s">
        <v>226</v>
      </c>
      <c r="AL12" s="97" t="s">
        <v>226</v>
      </c>
      <c r="AM12" s="97" t="s">
        <v>226</v>
      </c>
      <c r="AN12" s="97" t="s">
        <v>226</v>
      </c>
      <c r="AO12" s="97" t="s">
        <v>226</v>
      </c>
      <c r="AP12" s="93" t="s">
        <v>226</v>
      </c>
      <c r="AQ12" s="106" t="s">
        <v>227</v>
      </c>
      <c r="AR12" s="69">
        <v>14110</v>
      </c>
      <c r="AS12" s="70">
        <v>43719</v>
      </c>
      <c r="AT12" s="149">
        <f t="shared" si="0"/>
        <v>81</v>
      </c>
      <c r="AU12" s="147" t="s">
        <v>291</v>
      </c>
      <c r="AV12" s="93" t="s">
        <v>229</v>
      </c>
      <c r="AW12" s="93" t="s">
        <v>230</v>
      </c>
      <c r="AX12" s="151" t="s">
        <v>231</v>
      </c>
      <c r="AY12" s="151" t="s">
        <v>232</v>
      </c>
      <c r="AZ12" s="150" t="s">
        <v>232</v>
      </c>
      <c r="BA12" s="150">
        <v>0</v>
      </c>
      <c r="BB12" s="93" t="s">
        <v>266</v>
      </c>
      <c r="BC12" s="152">
        <v>1</v>
      </c>
      <c r="BD12" s="153" t="s">
        <v>234</v>
      </c>
      <c r="BE12" s="171" t="s">
        <v>235</v>
      </c>
      <c r="BF12" s="153" t="s">
        <v>221</v>
      </c>
      <c r="BG12" s="154" t="s">
        <v>226</v>
      </c>
      <c r="BH12" s="155" t="s">
        <v>226</v>
      </c>
      <c r="BI12" s="155" t="s">
        <v>226</v>
      </c>
      <c r="BJ12" s="155" t="s">
        <v>226</v>
      </c>
      <c r="BK12" s="155" t="s">
        <v>226</v>
      </c>
      <c r="BL12" s="155" t="s">
        <v>226</v>
      </c>
      <c r="BM12" s="155" t="s">
        <v>226</v>
      </c>
      <c r="BN12" s="155" t="s">
        <v>226</v>
      </c>
      <c r="BO12" s="155" t="s">
        <v>226</v>
      </c>
      <c r="BP12" s="155" t="s">
        <v>226</v>
      </c>
      <c r="BQ12" s="155" t="s">
        <v>226</v>
      </c>
      <c r="BR12" s="155" t="s">
        <v>226</v>
      </c>
      <c r="BS12" s="155" t="s">
        <v>226</v>
      </c>
      <c r="BT12" s="155" t="s">
        <v>226</v>
      </c>
      <c r="BU12" s="155" t="s">
        <v>226</v>
      </c>
      <c r="BV12" s="155" t="s">
        <v>226</v>
      </c>
      <c r="BW12" s="155" t="s">
        <v>226</v>
      </c>
      <c r="BX12" s="155" t="s">
        <v>226</v>
      </c>
      <c r="BY12" s="155" t="s">
        <v>226</v>
      </c>
      <c r="BZ12" s="155" t="s">
        <v>226</v>
      </c>
      <c r="CA12" s="155" t="s">
        <v>226</v>
      </c>
      <c r="CB12" s="155" t="s">
        <v>226</v>
      </c>
      <c r="CC12" s="155" t="s">
        <v>226</v>
      </c>
      <c r="CD12" s="155" t="s">
        <v>226</v>
      </c>
      <c r="CE12" s="155" t="s">
        <v>226</v>
      </c>
      <c r="CF12" s="155" t="s">
        <v>226</v>
      </c>
      <c r="CG12" s="155" t="s">
        <v>226</v>
      </c>
      <c r="CH12" s="155" t="s">
        <v>226</v>
      </c>
      <c r="CI12" s="155" t="s">
        <v>226</v>
      </c>
      <c r="CJ12" s="155" t="s">
        <v>226</v>
      </c>
      <c r="CK12" s="155" t="s">
        <v>226</v>
      </c>
      <c r="CL12" s="155" t="s">
        <v>226</v>
      </c>
      <c r="CM12" s="155" t="s">
        <v>226</v>
      </c>
      <c r="CN12" s="106" t="s">
        <v>226</v>
      </c>
      <c r="CO12" s="155" t="s">
        <v>226</v>
      </c>
      <c r="CP12" s="155" t="s">
        <v>226</v>
      </c>
      <c r="CQ12" s="155" t="s">
        <v>226</v>
      </c>
      <c r="CR12" s="155" t="s">
        <v>226</v>
      </c>
      <c r="CS12" s="155" t="s">
        <v>226</v>
      </c>
      <c r="CT12" s="155" t="s">
        <v>226</v>
      </c>
      <c r="CU12" s="155" t="s">
        <v>226</v>
      </c>
      <c r="CV12" s="155" t="s">
        <v>226</v>
      </c>
      <c r="CW12" s="155" t="s">
        <v>226</v>
      </c>
      <c r="CX12" s="155" t="s">
        <v>226</v>
      </c>
      <c r="CY12" s="155" t="s">
        <v>226</v>
      </c>
      <c r="CZ12" s="155" t="s">
        <v>226</v>
      </c>
      <c r="DA12" s="155" t="s">
        <v>226</v>
      </c>
      <c r="DB12" s="155" t="s">
        <v>226</v>
      </c>
      <c r="DC12" s="155" t="s">
        <v>226</v>
      </c>
      <c r="DD12" s="155" t="s">
        <v>226</v>
      </c>
      <c r="DE12" s="155" t="s">
        <v>226</v>
      </c>
      <c r="DF12" s="155" t="s">
        <v>226</v>
      </c>
      <c r="DG12" s="155" t="s">
        <v>226</v>
      </c>
      <c r="DH12" s="155" t="s">
        <v>226</v>
      </c>
      <c r="DI12" s="155" t="s">
        <v>226</v>
      </c>
      <c r="DJ12" s="155" t="s">
        <v>226</v>
      </c>
      <c r="DK12" s="155" t="s">
        <v>226</v>
      </c>
      <c r="DL12" s="155" t="s">
        <v>226</v>
      </c>
      <c r="DM12" s="155" t="s">
        <v>226</v>
      </c>
      <c r="DN12" s="155" t="s">
        <v>226</v>
      </c>
      <c r="DO12" s="155" t="s">
        <v>226</v>
      </c>
      <c r="DP12" s="155" t="s">
        <v>226</v>
      </c>
      <c r="DQ12" s="155" t="s">
        <v>226</v>
      </c>
      <c r="DR12" s="155" t="s">
        <v>226</v>
      </c>
      <c r="DS12" s="155" t="s">
        <v>226</v>
      </c>
      <c r="DT12" s="155" t="s">
        <v>226</v>
      </c>
      <c r="DU12" s="155" t="s">
        <v>226</v>
      </c>
      <c r="DV12" s="155" t="s">
        <v>226</v>
      </c>
      <c r="DW12" s="155" t="s">
        <v>226</v>
      </c>
      <c r="DX12" s="155" t="s">
        <v>226</v>
      </c>
      <c r="DY12" s="155" t="s">
        <v>226</v>
      </c>
      <c r="DZ12" s="155" t="s">
        <v>226</v>
      </c>
      <c r="EA12" s="155" t="s">
        <v>226</v>
      </c>
      <c r="EB12" s="155" t="s">
        <v>226</v>
      </c>
      <c r="EC12" s="155" t="s">
        <v>226</v>
      </c>
      <c r="ED12" s="155" t="s">
        <v>226</v>
      </c>
      <c r="EE12" s="155" t="s">
        <v>226</v>
      </c>
      <c r="EF12" s="155" t="s">
        <v>226</v>
      </c>
      <c r="EG12" s="155" t="s">
        <v>226</v>
      </c>
      <c r="EH12" s="155" t="s">
        <v>226</v>
      </c>
      <c r="EI12" s="155" t="s">
        <v>226</v>
      </c>
      <c r="EJ12" s="155" t="s">
        <v>226</v>
      </c>
      <c r="EK12" s="155" t="s">
        <v>226</v>
      </c>
      <c r="EL12" s="155" t="s">
        <v>226</v>
      </c>
      <c r="EM12" s="155" t="s">
        <v>226</v>
      </c>
      <c r="EN12" s="155" t="s">
        <v>226</v>
      </c>
      <c r="EO12" s="155" t="s">
        <v>226</v>
      </c>
      <c r="EP12" s="155" t="s">
        <v>226</v>
      </c>
      <c r="EQ12" s="155" t="s">
        <v>226</v>
      </c>
      <c r="ER12" s="155" t="s">
        <v>226</v>
      </c>
      <c r="ES12" s="155" t="s">
        <v>226</v>
      </c>
      <c r="ET12" s="155" t="s">
        <v>226</v>
      </c>
      <c r="EU12" s="155" t="s">
        <v>226</v>
      </c>
      <c r="EV12" s="155" t="s">
        <v>226</v>
      </c>
      <c r="EW12" s="155" t="s">
        <v>226</v>
      </c>
      <c r="EX12" s="155" t="s">
        <v>226</v>
      </c>
      <c r="EY12" s="155" t="s">
        <v>226</v>
      </c>
      <c r="EZ12" s="155" t="s">
        <v>226</v>
      </c>
      <c r="FA12" s="155" t="s">
        <v>226</v>
      </c>
      <c r="FB12" s="155" t="s">
        <v>226</v>
      </c>
      <c r="FC12" s="155" t="s">
        <v>226</v>
      </c>
      <c r="FD12" s="145" t="s">
        <v>226</v>
      </c>
      <c r="FE12" s="155" t="s">
        <v>226</v>
      </c>
      <c r="FF12" s="155" t="s">
        <v>226</v>
      </c>
      <c r="FG12" s="155" t="s">
        <v>226</v>
      </c>
      <c r="FH12" s="155" t="s">
        <v>226</v>
      </c>
      <c r="FI12" s="155" t="s">
        <v>226</v>
      </c>
      <c r="FJ12" s="155" t="s">
        <v>226</v>
      </c>
      <c r="FK12" s="155" t="s">
        <v>226</v>
      </c>
      <c r="FL12" s="155" t="s">
        <v>226</v>
      </c>
      <c r="FM12" s="155" t="s">
        <v>226</v>
      </c>
      <c r="FN12" s="155" t="s">
        <v>226</v>
      </c>
      <c r="FO12" s="155" t="s">
        <v>226</v>
      </c>
      <c r="FP12" s="155" t="s">
        <v>226</v>
      </c>
      <c r="FQ12" s="155" t="s">
        <v>226</v>
      </c>
      <c r="FR12" s="155" t="s">
        <v>226</v>
      </c>
      <c r="FS12" s="155" t="s">
        <v>226</v>
      </c>
      <c r="FT12" s="155" t="s">
        <v>226</v>
      </c>
      <c r="FU12" s="155" t="s">
        <v>226</v>
      </c>
      <c r="FV12" s="155" t="s">
        <v>226</v>
      </c>
      <c r="FW12" s="155" t="s">
        <v>226</v>
      </c>
      <c r="FX12" s="155" t="s">
        <v>226</v>
      </c>
      <c r="FY12" s="155" t="s">
        <v>226</v>
      </c>
      <c r="FZ12" s="155" t="s">
        <v>226</v>
      </c>
      <c r="GA12" s="155" t="s">
        <v>226</v>
      </c>
      <c r="GB12" s="155" t="s">
        <v>226</v>
      </c>
      <c r="GC12" s="155" t="s">
        <v>226</v>
      </c>
      <c r="GD12" s="155" t="s">
        <v>226</v>
      </c>
      <c r="GE12" s="155" t="s">
        <v>226</v>
      </c>
      <c r="GF12" s="150" t="s">
        <v>256</v>
      </c>
      <c r="GG12" s="70" t="s">
        <v>226</v>
      </c>
      <c r="GH12" s="93" t="s">
        <v>226</v>
      </c>
      <c r="GI12" s="145" t="s">
        <v>226</v>
      </c>
      <c r="GJ12" s="70">
        <v>45870</v>
      </c>
      <c r="GK12" s="70">
        <v>45887</v>
      </c>
      <c r="GL12" s="70" t="s">
        <v>298</v>
      </c>
      <c r="GM12" s="159" t="str">
        <f t="shared" si="1"/>
        <v>N/A</v>
      </c>
      <c r="GN12" s="159" t="str">
        <f t="shared" si="2"/>
        <v>N/A</v>
      </c>
      <c r="GO12" s="159">
        <f t="shared" si="3"/>
        <v>1.6</v>
      </c>
      <c r="GP12" s="159" t="str">
        <f t="shared" si="4"/>
        <v>N/A</v>
      </c>
      <c r="GQ12" s="159" t="str">
        <f t="shared" si="5"/>
        <v>N/A</v>
      </c>
      <c r="GR12" s="159" t="str">
        <f t="shared" si="6"/>
        <v>N/A</v>
      </c>
      <c r="GS12" s="159" t="str">
        <f t="shared" si="7"/>
        <v>N/A</v>
      </c>
      <c r="GT12" s="159" t="str">
        <f t="shared" si="8"/>
        <v>N/A</v>
      </c>
      <c r="GU12" s="159" t="str">
        <f t="shared" si="9"/>
        <v>N/A</v>
      </c>
      <c r="GV12" s="159" t="str">
        <f t="shared" si="10"/>
        <v>N/A</v>
      </c>
      <c r="GW12" s="159" t="str">
        <f t="shared" si="11"/>
        <v>N/A</v>
      </c>
      <c r="GX12" s="159" t="str">
        <f t="shared" si="12"/>
        <v>N/A</v>
      </c>
      <c r="GY12" s="159" t="str">
        <f t="shared" si="13"/>
        <v>N/A</v>
      </c>
      <c r="GZ12" s="159" t="str">
        <f t="shared" si="14"/>
        <v>N/A</v>
      </c>
      <c r="HA12" s="159" t="str">
        <f t="shared" si="15"/>
        <v>N/A</v>
      </c>
      <c r="HB12" s="159" t="str">
        <f t="shared" si="16"/>
        <v>N/A</v>
      </c>
      <c r="HC12" s="159" t="str">
        <f t="shared" si="17"/>
        <v>N/A</v>
      </c>
      <c r="HD12" s="159">
        <f t="shared" si="18"/>
        <v>71.7</v>
      </c>
      <c r="HE12" s="159">
        <f t="shared" si="19"/>
        <v>72.266666666666666</v>
      </c>
      <c r="HF12" s="160">
        <f t="shared" si="20"/>
        <v>72.266666666666666</v>
      </c>
      <c r="HG12" s="160" cm="1">
        <f t="array" ref="HG12">INDEX($HB12:$HD12,MATCH(TRUE,INDEX(ISNUMBER($HB12:$HD12),0),0))</f>
        <v>71.7</v>
      </c>
      <c r="HH12" s="161">
        <f t="shared" si="21"/>
        <v>0</v>
      </c>
      <c r="HI12" s="108">
        <f t="shared" si="22"/>
        <v>0</v>
      </c>
      <c r="HJ12" s="91">
        <f t="shared" si="23"/>
        <v>0</v>
      </c>
      <c r="HK12" s="205" t="str">
        <f t="shared" si="24"/>
        <v>0</v>
      </c>
    </row>
    <row r="13" spans="1:219" ht="15" customHeight="1" x14ac:dyDescent="0.3">
      <c r="A13" s="146">
        <v>6240724270</v>
      </c>
      <c r="B13" s="93" t="s">
        <v>221</v>
      </c>
      <c r="C13" s="93" t="s">
        <v>222</v>
      </c>
      <c r="D13" s="93" t="s">
        <v>221</v>
      </c>
      <c r="E13" s="145" t="s">
        <v>299</v>
      </c>
      <c r="F13" s="145" t="s">
        <v>300</v>
      </c>
      <c r="G13" s="145" t="s">
        <v>301</v>
      </c>
      <c r="H13" s="70">
        <v>43776</v>
      </c>
      <c r="I13" s="147" t="s">
        <v>302</v>
      </c>
      <c r="J13" s="148" t="s">
        <v>225</v>
      </c>
      <c r="K13" s="145" t="s">
        <v>226</v>
      </c>
      <c r="L13" s="145" t="s">
        <v>226</v>
      </c>
      <c r="M13" s="145" t="s">
        <v>226</v>
      </c>
      <c r="N13" s="145" t="s">
        <v>226</v>
      </c>
      <c r="O13" s="145" t="s">
        <v>226</v>
      </c>
      <c r="P13" s="70" t="s">
        <v>226</v>
      </c>
      <c r="Q13" s="93" t="s">
        <v>226</v>
      </c>
      <c r="R13" s="97" t="s">
        <v>226</v>
      </c>
      <c r="S13" s="97" t="s">
        <v>226</v>
      </c>
      <c r="T13" s="97" t="s">
        <v>226</v>
      </c>
      <c r="U13" s="97" t="s">
        <v>226</v>
      </c>
      <c r="V13" s="93" t="s">
        <v>226</v>
      </c>
      <c r="W13" s="97" t="s">
        <v>226</v>
      </c>
      <c r="X13" s="97" t="s">
        <v>226</v>
      </c>
      <c r="Y13" s="97" t="s">
        <v>226</v>
      </c>
      <c r="Z13" s="97" t="s">
        <v>226</v>
      </c>
      <c r="AA13" s="93" t="s">
        <v>226</v>
      </c>
      <c r="AB13" s="97" t="s">
        <v>226</v>
      </c>
      <c r="AC13" s="97" t="s">
        <v>226</v>
      </c>
      <c r="AD13" s="97" t="s">
        <v>226</v>
      </c>
      <c r="AE13" s="97" t="s">
        <v>226</v>
      </c>
      <c r="AF13" s="93" t="s">
        <v>226</v>
      </c>
      <c r="AG13" s="97" t="s">
        <v>226</v>
      </c>
      <c r="AH13" s="97" t="s">
        <v>226</v>
      </c>
      <c r="AI13" s="97" t="s">
        <v>226</v>
      </c>
      <c r="AJ13" s="97" t="s">
        <v>226</v>
      </c>
      <c r="AK13" s="93" t="s">
        <v>226</v>
      </c>
      <c r="AL13" s="97" t="s">
        <v>226</v>
      </c>
      <c r="AM13" s="97" t="s">
        <v>226</v>
      </c>
      <c r="AN13" s="97" t="s">
        <v>226</v>
      </c>
      <c r="AO13" s="97" t="s">
        <v>226</v>
      </c>
      <c r="AP13" s="93" t="s">
        <v>226</v>
      </c>
      <c r="AQ13" s="106" t="s">
        <v>227</v>
      </c>
      <c r="AR13" s="69">
        <v>17778</v>
      </c>
      <c r="AS13" s="70">
        <v>43725</v>
      </c>
      <c r="AT13" s="149">
        <f t="shared" si="0"/>
        <v>71</v>
      </c>
      <c r="AU13" s="147" t="s">
        <v>291</v>
      </c>
      <c r="AV13" s="93" t="s">
        <v>229</v>
      </c>
      <c r="AW13" s="93" t="s">
        <v>230</v>
      </c>
      <c r="AX13" s="150" t="s">
        <v>265</v>
      </c>
      <c r="AY13" s="151" t="s">
        <v>232</v>
      </c>
      <c r="AZ13" s="150" t="s">
        <v>232</v>
      </c>
      <c r="BA13" s="150">
        <v>0</v>
      </c>
      <c r="BB13" s="93" t="s">
        <v>266</v>
      </c>
      <c r="BC13" s="152">
        <v>1</v>
      </c>
      <c r="BD13" s="153" t="s">
        <v>234</v>
      </c>
      <c r="BE13" s="93" t="s">
        <v>267</v>
      </c>
      <c r="BF13" s="153" t="s">
        <v>221</v>
      </c>
      <c r="BG13" s="154" t="s">
        <v>226</v>
      </c>
      <c r="BH13" s="155" t="s">
        <v>226</v>
      </c>
      <c r="BI13" s="155" t="s">
        <v>226</v>
      </c>
      <c r="BJ13" s="155" t="s">
        <v>226</v>
      </c>
      <c r="BK13" s="155" t="s">
        <v>226</v>
      </c>
      <c r="BL13" s="155" t="s">
        <v>226</v>
      </c>
      <c r="BM13" s="155" t="s">
        <v>226</v>
      </c>
      <c r="BN13" s="155" t="s">
        <v>226</v>
      </c>
      <c r="BO13" s="155" t="s">
        <v>226</v>
      </c>
      <c r="BP13" s="155" t="s">
        <v>226</v>
      </c>
      <c r="BQ13" s="155" t="s">
        <v>226</v>
      </c>
      <c r="BR13" s="155" t="s">
        <v>226</v>
      </c>
      <c r="BS13" s="155" t="s">
        <v>226</v>
      </c>
      <c r="BT13" s="155" t="s">
        <v>226</v>
      </c>
      <c r="BU13" s="155" t="s">
        <v>226</v>
      </c>
      <c r="BV13" s="155" t="s">
        <v>226</v>
      </c>
      <c r="BW13" s="155" t="s">
        <v>226</v>
      </c>
      <c r="BX13" s="155" t="s">
        <v>226</v>
      </c>
      <c r="BY13" s="155" t="s">
        <v>226</v>
      </c>
      <c r="BZ13" s="155" t="s">
        <v>226</v>
      </c>
      <c r="CA13" s="155" t="s">
        <v>226</v>
      </c>
      <c r="CB13" s="155" t="s">
        <v>226</v>
      </c>
      <c r="CC13" s="155" t="s">
        <v>226</v>
      </c>
      <c r="CD13" s="155" t="s">
        <v>226</v>
      </c>
      <c r="CE13" s="155" t="s">
        <v>226</v>
      </c>
      <c r="CF13" s="155" t="s">
        <v>226</v>
      </c>
      <c r="CG13" s="155" t="s">
        <v>226</v>
      </c>
      <c r="CH13" s="155" t="s">
        <v>226</v>
      </c>
      <c r="CI13" s="155" t="s">
        <v>226</v>
      </c>
      <c r="CJ13" s="155" t="s">
        <v>226</v>
      </c>
      <c r="CK13" s="155" t="s">
        <v>226</v>
      </c>
      <c r="CL13" s="155" t="s">
        <v>226</v>
      </c>
      <c r="CM13" s="155" t="s">
        <v>226</v>
      </c>
      <c r="CN13" s="145" t="s">
        <v>226</v>
      </c>
      <c r="CO13" s="145" t="s">
        <v>226</v>
      </c>
      <c r="CP13" s="145" t="s">
        <v>226</v>
      </c>
      <c r="CQ13" s="145" t="s">
        <v>226</v>
      </c>
      <c r="CR13" s="145" t="s">
        <v>226</v>
      </c>
      <c r="CS13" s="145" t="s">
        <v>226</v>
      </c>
      <c r="CT13" s="145" t="s">
        <v>226</v>
      </c>
      <c r="CU13" s="145" t="s">
        <v>226</v>
      </c>
      <c r="CV13" s="145" t="s">
        <v>226</v>
      </c>
      <c r="CW13" s="145" t="s">
        <v>226</v>
      </c>
      <c r="CX13" s="145" t="s">
        <v>226</v>
      </c>
      <c r="CY13" s="145" t="s">
        <v>226</v>
      </c>
      <c r="CZ13" s="145" t="s">
        <v>226</v>
      </c>
      <c r="DA13" s="145" t="s">
        <v>226</v>
      </c>
      <c r="DB13" s="145" t="s">
        <v>226</v>
      </c>
      <c r="DC13" s="145" t="s">
        <v>226</v>
      </c>
      <c r="DD13" s="145" t="s">
        <v>226</v>
      </c>
      <c r="DE13" s="145" t="s">
        <v>226</v>
      </c>
      <c r="DF13" s="145" t="s">
        <v>226</v>
      </c>
      <c r="DG13" s="145" t="s">
        <v>226</v>
      </c>
      <c r="DH13" s="145" t="s">
        <v>226</v>
      </c>
      <c r="DI13" s="145" t="s">
        <v>226</v>
      </c>
      <c r="DJ13" s="145" t="s">
        <v>226</v>
      </c>
      <c r="DK13" s="145" t="s">
        <v>226</v>
      </c>
      <c r="DL13" s="145" t="s">
        <v>226</v>
      </c>
      <c r="DM13" s="145" t="s">
        <v>226</v>
      </c>
      <c r="DN13" s="145" t="s">
        <v>226</v>
      </c>
      <c r="DO13" s="145" t="s">
        <v>226</v>
      </c>
      <c r="DP13" s="145" t="s">
        <v>226</v>
      </c>
      <c r="DQ13" s="145" t="s">
        <v>226</v>
      </c>
      <c r="DR13" s="145" t="s">
        <v>226</v>
      </c>
      <c r="DS13" s="145" t="s">
        <v>226</v>
      </c>
      <c r="DT13" s="145" t="s">
        <v>226</v>
      </c>
      <c r="DU13" s="145" t="s">
        <v>226</v>
      </c>
      <c r="DV13" s="145" t="s">
        <v>226</v>
      </c>
      <c r="DW13" s="145" t="s">
        <v>226</v>
      </c>
      <c r="DX13" s="145" t="s">
        <v>226</v>
      </c>
      <c r="DY13" s="145" t="s">
        <v>226</v>
      </c>
      <c r="DZ13" s="145" t="s">
        <v>226</v>
      </c>
      <c r="EA13" s="145" t="s">
        <v>226</v>
      </c>
      <c r="EB13" s="145" t="s">
        <v>226</v>
      </c>
      <c r="EC13" s="145" t="s">
        <v>226</v>
      </c>
      <c r="ED13" s="145" t="s">
        <v>226</v>
      </c>
      <c r="EE13" s="145" t="s">
        <v>226</v>
      </c>
      <c r="EF13" s="145" t="s">
        <v>226</v>
      </c>
      <c r="EG13" s="145" t="s">
        <v>226</v>
      </c>
      <c r="EH13" s="145" t="s">
        <v>226</v>
      </c>
      <c r="EI13" s="145" t="s">
        <v>226</v>
      </c>
      <c r="EJ13" s="145" t="s">
        <v>226</v>
      </c>
      <c r="EK13" s="145" t="s">
        <v>226</v>
      </c>
      <c r="EL13" s="145" t="s">
        <v>226</v>
      </c>
      <c r="EM13" s="145" t="s">
        <v>226</v>
      </c>
      <c r="EN13" s="145" t="s">
        <v>226</v>
      </c>
      <c r="EO13" s="145" t="s">
        <v>226</v>
      </c>
      <c r="EP13" s="145" t="s">
        <v>226</v>
      </c>
      <c r="EQ13" s="145" t="s">
        <v>226</v>
      </c>
      <c r="ER13" s="145" t="s">
        <v>226</v>
      </c>
      <c r="ES13" s="145" t="s">
        <v>226</v>
      </c>
      <c r="ET13" s="145" t="s">
        <v>226</v>
      </c>
      <c r="EU13" s="145" t="s">
        <v>226</v>
      </c>
      <c r="EV13" s="145" t="s">
        <v>226</v>
      </c>
      <c r="EW13" s="145" t="s">
        <v>226</v>
      </c>
      <c r="EX13" s="145" t="s">
        <v>226</v>
      </c>
      <c r="EY13" s="145" t="s">
        <v>226</v>
      </c>
      <c r="EZ13" s="145" t="s">
        <v>226</v>
      </c>
      <c r="FA13" s="145" t="s">
        <v>226</v>
      </c>
      <c r="FB13" s="145" t="s">
        <v>226</v>
      </c>
      <c r="FC13" s="145" t="s">
        <v>226</v>
      </c>
      <c r="FD13" s="145" t="s">
        <v>226</v>
      </c>
      <c r="FE13" s="155" t="s">
        <v>226</v>
      </c>
      <c r="FF13" s="155" t="s">
        <v>226</v>
      </c>
      <c r="FG13" s="155" t="s">
        <v>226</v>
      </c>
      <c r="FH13" s="155" t="s">
        <v>226</v>
      </c>
      <c r="FI13" s="155" t="s">
        <v>226</v>
      </c>
      <c r="FJ13" s="155" t="s">
        <v>226</v>
      </c>
      <c r="FK13" s="155" t="s">
        <v>226</v>
      </c>
      <c r="FL13" s="155" t="s">
        <v>226</v>
      </c>
      <c r="FM13" s="155" t="s">
        <v>226</v>
      </c>
      <c r="FN13" s="155" t="s">
        <v>226</v>
      </c>
      <c r="FO13" s="155" t="s">
        <v>226</v>
      </c>
      <c r="FP13" s="155" t="s">
        <v>226</v>
      </c>
      <c r="FQ13" s="155" t="s">
        <v>226</v>
      </c>
      <c r="FR13" s="155" t="s">
        <v>226</v>
      </c>
      <c r="FS13" s="155" t="s">
        <v>226</v>
      </c>
      <c r="FT13" s="155" t="s">
        <v>226</v>
      </c>
      <c r="FU13" s="155" t="s">
        <v>226</v>
      </c>
      <c r="FV13" s="155" t="s">
        <v>226</v>
      </c>
      <c r="FW13" s="155" t="s">
        <v>226</v>
      </c>
      <c r="FX13" s="155" t="s">
        <v>226</v>
      </c>
      <c r="FY13" s="155" t="s">
        <v>226</v>
      </c>
      <c r="FZ13" s="155" t="s">
        <v>226</v>
      </c>
      <c r="GA13" s="155" t="s">
        <v>226</v>
      </c>
      <c r="GB13" s="155" t="s">
        <v>226</v>
      </c>
      <c r="GC13" s="155" t="s">
        <v>226</v>
      </c>
      <c r="GD13" s="155" t="s">
        <v>226</v>
      </c>
      <c r="GE13" s="155" t="s">
        <v>226</v>
      </c>
      <c r="GF13" s="150" t="s">
        <v>256</v>
      </c>
      <c r="GG13" s="70" t="s">
        <v>226</v>
      </c>
      <c r="GH13" s="93" t="s">
        <v>226</v>
      </c>
      <c r="GI13" s="145" t="s">
        <v>226</v>
      </c>
      <c r="GJ13" s="70">
        <v>43838</v>
      </c>
      <c r="GK13" s="70">
        <v>45971</v>
      </c>
      <c r="GL13" s="70" t="s">
        <v>226</v>
      </c>
      <c r="GM13" s="159" t="str">
        <f t="shared" si="1"/>
        <v>N/A</v>
      </c>
      <c r="GN13" s="159" t="str">
        <f t="shared" si="2"/>
        <v>N/A</v>
      </c>
      <c r="GO13" s="159">
        <f t="shared" si="3"/>
        <v>1.7</v>
      </c>
      <c r="GP13" s="159" t="str">
        <f t="shared" si="4"/>
        <v>N/A</v>
      </c>
      <c r="GQ13" s="159" t="str">
        <f t="shared" si="5"/>
        <v>N/A</v>
      </c>
      <c r="GR13" s="159" t="str">
        <f t="shared" si="6"/>
        <v>N/A</v>
      </c>
      <c r="GS13" s="159" t="str">
        <f t="shared" si="7"/>
        <v>N/A</v>
      </c>
      <c r="GT13" s="159" t="str">
        <f t="shared" si="8"/>
        <v>N/A</v>
      </c>
      <c r="GU13" s="159" t="str">
        <f t="shared" si="9"/>
        <v>N/A</v>
      </c>
      <c r="GV13" s="159" t="str">
        <f t="shared" si="10"/>
        <v>N/A</v>
      </c>
      <c r="GW13" s="159" t="str">
        <f t="shared" si="11"/>
        <v>N/A</v>
      </c>
      <c r="GX13" s="159" t="str">
        <f t="shared" si="12"/>
        <v>N/A</v>
      </c>
      <c r="GY13" s="159" t="str">
        <f t="shared" si="13"/>
        <v>N/A</v>
      </c>
      <c r="GZ13" s="159" t="str">
        <f t="shared" si="14"/>
        <v>N/A</v>
      </c>
      <c r="HA13" s="159" t="str">
        <f t="shared" si="15"/>
        <v>N/A</v>
      </c>
      <c r="HB13" s="159" t="str">
        <f t="shared" si="16"/>
        <v>N/A</v>
      </c>
      <c r="HC13" s="159" t="str">
        <f t="shared" si="17"/>
        <v>N/A</v>
      </c>
      <c r="HD13" s="159">
        <f t="shared" si="18"/>
        <v>3.7666666666666666</v>
      </c>
      <c r="HE13" s="159">
        <f t="shared" si="19"/>
        <v>74.86666666666666</v>
      </c>
      <c r="HF13" s="160">
        <f t="shared" si="20"/>
        <v>74.86666666666666</v>
      </c>
      <c r="HG13" s="160" cm="1">
        <f t="array" ref="HG13">INDEX($HB13:$HD13,MATCH(TRUE,INDEX(ISNUMBER($HB13:$HD13),0),0))</f>
        <v>3.7666666666666666</v>
      </c>
      <c r="HH13" s="161">
        <f t="shared" si="21"/>
        <v>0</v>
      </c>
      <c r="HI13" s="108">
        <f t="shared" si="22"/>
        <v>0</v>
      </c>
      <c r="HJ13" s="91">
        <f t="shared" si="23"/>
        <v>0</v>
      </c>
      <c r="HK13" s="205" t="str">
        <f t="shared" si="24"/>
        <v>0</v>
      </c>
    </row>
    <row r="14" spans="1:219" ht="15" customHeight="1" x14ac:dyDescent="0.3">
      <c r="A14" s="146">
        <v>4387713127</v>
      </c>
      <c r="B14" s="93" t="s">
        <v>221</v>
      </c>
      <c r="C14" s="93" t="s">
        <v>222</v>
      </c>
      <c r="D14" s="93" t="s">
        <v>221</v>
      </c>
      <c r="E14" s="145" t="s">
        <v>303</v>
      </c>
      <c r="F14" s="145" t="s">
        <v>269</v>
      </c>
      <c r="G14" s="145" t="s">
        <v>226</v>
      </c>
      <c r="H14" s="70">
        <v>43794</v>
      </c>
      <c r="I14" s="147" t="s">
        <v>304</v>
      </c>
      <c r="J14" s="148" t="s">
        <v>225</v>
      </c>
      <c r="K14" s="145" t="s">
        <v>226</v>
      </c>
      <c r="L14" s="145" t="s">
        <v>226</v>
      </c>
      <c r="M14" s="145" t="s">
        <v>303</v>
      </c>
      <c r="N14" s="145" t="s">
        <v>305</v>
      </c>
      <c r="O14" s="145" t="s">
        <v>306</v>
      </c>
      <c r="P14" s="70">
        <v>43794</v>
      </c>
      <c r="Q14" s="93" t="s">
        <v>222</v>
      </c>
      <c r="R14" s="97" t="s">
        <v>226</v>
      </c>
      <c r="S14" s="97" t="s">
        <v>226</v>
      </c>
      <c r="T14" s="97" t="s">
        <v>226</v>
      </c>
      <c r="U14" s="97" t="s">
        <v>226</v>
      </c>
      <c r="V14" s="93" t="s">
        <v>226</v>
      </c>
      <c r="W14" s="97" t="s">
        <v>226</v>
      </c>
      <c r="X14" s="97" t="s">
        <v>226</v>
      </c>
      <c r="Y14" s="97" t="s">
        <v>226</v>
      </c>
      <c r="Z14" s="97" t="s">
        <v>226</v>
      </c>
      <c r="AA14" s="93" t="s">
        <v>226</v>
      </c>
      <c r="AB14" s="97" t="s">
        <v>226</v>
      </c>
      <c r="AC14" s="97" t="s">
        <v>226</v>
      </c>
      <c r="AD14" s="97" t="s">
        <v>226</v>
      </c>
      <c r="AE14" s="97" t="s">
        <v>226</v>
      </c>
      <c r="AF14" s="93" t="s">
        <v>226</v>
      </c>
      <c r="AG14" s="97" t="s">
        <v>226</v>
      </c>
      <c r="AH14" s="97" t="s">
        <v>226</v>
      </c>
      <c r="AI14" s="97" t="s">
        <v>226</v>
      </c>
      <c r="AJ14" s="97" t="s">
        <v>226</v>
      </c>
      <c r="AK14" s="93" t="s">
        <v>226</v>
      </c>
      <c r="AL14" s="97" t="s">
        <v>226</v>
      </c>
      <c r="AM14" s="97" t="s">
        <v>226</v>
      </c>
      <c r="AN14" s="97" t="s">
        <v>226</v>
      </c>
      <c r="AO14" s="97" t="s">
        <v>226</v>
      </c>
      <c r="AP14" s="93" t="s">
        <v>226</v>
      </c>
      <c r="AQ14" s="106" t="s">
        <v>227</v>
      </c>
      <c r="AR14" s="69">
        <v>16605</v>
      </c>
      <c r="AS14" s="70">
        <v>43738</v>
      </c>
      <c r="AT14" s="149">
        <f t="shared" si="0"/>
        <v>74</v>
      </c>
      <c r="AU14" s="147" t="s">
        <v>291</v>
      </c>
      <c r="AV14" s="93" t="s">
        <v>229</v>
      </c>
      <c r="AW14" s="93" t="s">
        <v>221</v>
      </c>
      <c r="AX14" s="150" t="s">
        <v>232</v>
      </c>
      <c r="AY14" s="150">
        <v>1</v>
      </c>
      <c r="AZ14" s="150" t="s">
        <v>232</v>
      </c>
      <c r="BA14" s="150">
        <v>0</v>
      </c>
      <c r="BB14" s="93" t="s">
        <v>226</v>
      </c>
      <c r="BC14" s="152">
        <v>3</v>
      </c>
      <c r="BD14" s="153" t="s">
        <v>234</v>
      </c>
      <c r="BE14" s="93" t="s">
        <v>307</v>
      </c>
      <c r="BF14" s="153" t="s">
        <v>221</v>
      </c>
      <c r="BG14" s="154" t="s">
        <v>226</v>
      </c>
      <c r="BH14" s="155" t="s">
        <v>226</v>
      </c>
      <c r="BI14" s="155" t="s">
        <v>226</v>
      </c>
      <c r="BJ14" s="155" t="s">
        <v>226</v>
      </c>
      <c r="BK14" s="155" t="s">
        <v>226</v>
      </c>
      <c r="BL14" s="155" t="s">
        <v>226</v>
      </c>
      <c r="BM14" s="155" t="s">
        <v>226</v>
      </c>
      <c r="BN14" s="155" t="s">
        <v>226</v>
      </c>
      <c r="BO14" s="155" t="s">
        <v>226</v>
      </c>
      <c r="BP14" s="155" t="s">
        <v>226</v>
      </c>
      <c r="BQ14" s="155" t="s">
        <v>226</v>
      </c>
      <c r="BR14" s="155" t="s">
        <v>226</v>
      </c>
      <c r="BS14" s="155" t="s">
        <v>226</v>
      </c>
      <c r="BT14" s="155" t="s">
        <v>226</v>
      </c>
      <c r="BU14" s="155" t="s">
        <v>226</v>
      </c>
      <c r="BV14" s="155" t="s">
        <v>226</v>
      </c>
      <c r="BW14" s="155" t="s">
        <v>226</v>
      </c>
      <c r="BX14" s="155" t="s">
        <v>226</v>
      </c>
      <c r="BY14" s="155" t="s">
        <v>226</v>
      </c>
      <c r="BZ14" s="155" t="s">
        <v>226</v>
      </c>
      <c r="CA14" s="155" t="s">
        <v>226</v>
      </c>
      <c r="CB14" s="155" t="s">
        <v>226</v>
      </c>
      <c r="CC14" s="155" t="s">
        <v>226</v>
      </c>
      <c r="CD14" s="155" t="s">
        <v>226</v>
      </c>
      <c r="CE14" s="155" t="s">
        <v>226</v>
      </c>
      <c r="CF14" s="155" t="s">
        <v>226</v>
      </c>
      <c r="CG14" s="155" t="s">
        <v>226</v>
      </c>
      <c r="CH14" s="155" t="s">
        <v>226</v>
      </c>
      <c r="CI14" s="155" t="s">
        <v>226</v>
      </c>
      <c r="CJ14" s="155" t="s">
        <v>226</v>
      </c>
      <c r="CK14" s="155" t="s">
        <v>226</v>
      </c>
      <c r="CL14" s="155" t="s">
        <v>226</v>
      </c>
      <c r="CM14" s="155" t="s">
        <v>226</v>
      </c>
      <c r="CN14" s="106" t="s">
        <v>274</v>
      </c>
      <c r="CO14" s="145" t="s">
        <v>308</v>
      </c>
      <c r="CP14" s="70">
        <v>43851</v>
      </c>
      <c r="CQ14" s="70">
        <v>43908</v>
      </c>
      <c r="CR14" s="145" t="s">
        <v>279</v>
      </c>
      <c r="CS14" s="106" t="s">
        <v>226</v>
      </c>
      <c r="CT14" s="145" t="s">
        <v>226</v>
      </c>
      <c r="CU14" s="145" t="s">
        <v>226</v>
      </c>
      <c r="CV14" s="106" t="s">
        <v>226</v>
      </c>
      <c r="CW14" s="145" t="s">
        <v>226</v>
      </c>
      <c r="CX14" s="145" t="s">
        <v>226</v>
      </c>
      <c r="CY14" s="155" t="s">
        <v>226</v>
      </c>
      <c r="CZ14" s="155" t="s">
        <v>226</v>
      </c>
      <c r="DA14" s="155" t="s">
        <v>226</v>
      </c>
      <c r="DB14" s="155" t="s">
        <v>226</v>
      </c>
      <c r="DC14" s="155" t="s">
        <v>226</v>
      </c>
      <c r="DD14" s="155" t="s">
        <v>226</v>
      </c>
      <c r="DE14" s="155" t="s">
        <v>226</v>
      </c>
      <c r="DF14" s="155" t="s">
        <v>226</v>
      </c>
      <c r="DG14" s="155" t="s">
        <v>226</v>
      </c>
      <c r="DH14" s="155" t="s">
        <v>226</v>
      </c>
      <c r="DI14" s="155" t="s">
        <v>226</v>
      </c>
      <c r="DJ14" s="155" t="s">
        <v>226</v>
      </c>
      <c r="DK14" s="155" t="s">
        <v>226</v>
      </c>
      <c r="DL14" s="155" t="s">
        <v>226</v>
      </c>
      <c r="DM14" s="155" t="s">
        <v>226</v>
      </c>
      <c r="DN14" s="155" t="s">
        <v>226</v>
      </c>
      <c r="DO14" s="155" t="s">
        <v>226</v>
      </c>
      <c r="DP14" s="155" t="s">
        <v>226</v>
      </c>
      <c r="DQ14" s="155" t="s">
        <v>226</v>
      </c>
      <c r="DR14" s="155" t="s">
        <v>226</v>
      </c>
      <c r="DS14" s="155" t="s">
        <v>226</v>
      </c>
      <c r="DT14" s="155" t="s">
        <v>226</v>
      </c>
      <c r="DU14" s="155" t="s">
        <v>226</v>
      </c>
      <c r="DV14" s="155" t="s">
        <v>226</v>
      </c>
      <c r="DW14" s="155" t="s">
        <v>226</v>
      </c>
      <c r="DX14" s="155" t="s">
        <v>226</v>
      </c>
      <c r="DY14" s="155" t="s">
        <v>226</v>
      </c>
      <c r="DZ14" s="155" t="s">
        <v>226</v>
      </c>
      <c r="EA14" s="155" t="s">
        <v>226</v>
      </c>
      <c r="EB14" s="155" t="s">
        <v>226</v>
      </c>
      <c r="EC14" s="155" t="s">
        <v>226</v>
      </c>
      <c r="ED14" s="155" t="s">
        <v>226</v>
      </c>
      <c r="EE14" s="155" t="s">
        <v>226</v>
      </c>
      <c r="EF14" s="155" t="s">
        <v>226</v>
      </c>
      <c r="EG14" s="155" t="s">
        <v>226</v>
      </c>
      <c r="EH14" s="155" t="s">
        <v>226</v>
      </c>
      <c r="EI14" s="70">
        <v>43991</v>
      </c>
      <c r="EJ14" s="145" t="s">
        <v>309</v>
      </c>
      <c r="EK14" s="106" t="s">
        <v>277</v>
      </c>
      <c r="EL14" s="172" t="s">
        <v>310</v>
      </c>
      <c r="EM14" s="70">
        <v>44044</v>
      </c>
      <c r="EN14" s="70">
        <v>44256</v>
      </c>
      <c r="EO14" s="145" t="s">
        <v>311</v>
      </c>
      <c r="EP14" s="106" t="s">
        <v>226</v>
      </c>
      <c r="EQ14" s="145" t="s">
        <v>226</v>
      </c>
      <c r="ER14" s="145" t="s">
        <v>226</v>
      </c>
      <c r="ES14" s="145" t="s">
        <v>226</v>
      </c>
      <c r="ET14" s="145" t="s">
        <v>226</v>
      </c>
      <c r="EU14" s="145" t="s">
        <v>226</v>
      </c>
      <c r="EV14" s="145" t="s">
        <v>226</v>
      </c>
      <c r="EW14" s="145" t="s">
        <v>226</v>
      </c>
      <c r="EX14" s="145" t="s">
        <v>226</v>
      </c>
      <c r="EY14" s="145" t="s">
        <v>226</v>
      </c>
      <c r="EZ14" s="145" t="s">
        <v>226</v>
      </c>
      <c r="FA14" s="145" t="s">
        <v>226</v>
      </c>
      <c r="FB14" s="145" t="s">
        <v>226</v>
      </c>
      <c r="FC14" s="145" t="s">
        <v>226</v>
      </c>
      <c r="FD14" s="145" t="s">
        <v>226</v>
      </c>
      <c r="FE14" s="155" t="s">
        <v>226</v>
      </c>
      <c r="FF14" s="155" t="s">
        <v>226</v>
      </c>
      <c r="FG14" s="155" t="s">
        <v>226</v>
      </c>
      <c r="FH14" s="155" t="s">
        <v>226</v>
      </c>
      <c r="FI14" s="155" t="s">
        <v>226</v>
      </c>
      <c r="FJ14" s="155" t="s">
        <v>226</v>
      </c>
      <c r="FK14" s="155" t="s">
        <v>226</v>
      </c>
      <c r="FL14" s="155" t="s">
        <v>226</v>
      </c>
      <c r="FM14" s="155" t="s">
        <v>226</v>
      </c>
      <c r="FN14" s="155" t="s">
        <v>226</v>
      </c>
      <c r="FO14" s="155" t="s">
        <v>226</v>
      </c>
      <c r="FP14" s="155" t="s">
        <v>226</v>
      </c>
      <c r="FQ14" s="155" t="s">
        <v>226</v>
      </c>
      <c r="FR14" s="155" t="s">
        <v>226</v>
      </c>
      <c r="FS14" s="155" t="s">
        <v>226</v>
      </c>
      <c r="FT14" s="155" t="s">
        <v>226</v>
      </c>
      <c r="FU14" s="155" t="s">
        <v>226</v>
      </c>
      <c r="FV14" s="155" t="s">
        <v>226</v>
      </c>
      <c r="FW14" s="155" t="s">
        <v>226</v>
      </c>
      <c r="FX14" s="155" t="s">
        <v>226</v>
      </c>
      <c r="FY14" s="155" t="s">
        <v>226</v>
      </c>
      <c r="FZ14" s="155" t="s">
        <v>226</v>
      </c>
      <c r="GA14" s="155" t="s">
        <v>226</v>
      </c>
      <c r="GB14" s="155" t="s">
        <v>226</v>
      </c>
      <c r="GC14" s="155" t="s">
        <v>226</v>
      </c>
      <c r="GD14" s="155" t="s">
        <v>226</v>
      </c>
      <c r="GE14" s="155" t="s">
        <v>226</v>
      </c>
      <c r="GF14" s="150" t="s">
        <v>237</v>
      </c>
      <c r="GG14" s="70">
        <v>44301</v>
      </c>
      <c r="GH14" s="93" t="s">
        <v>230</v>
      </c>
      <c r="GI14" s="173" t="s">
        <v>312</v>
      </c>
      <c r="GJ14" s="70">
        <v>44263</v>
      </c>
      <c r="GK14" s="70" t="s">
        <v>226</v>
      </c>
      <c r="GL14" s="70" t="s">
        <v>226</v>
      </c>
      <c r="GM14" s="159" t="str">
        <f t="shared" si="1"/>
        <v>N/A</v>
      </c>
      <c r="GN14" s="159" t="str">
        <f t="shared" si="2"/>
        <v>N/A</v>
      </c>
      <c r="GO14" s="159">
        <f t="shared" si="3"/>
        <v>1.8666666666666667</v>
      </c>
      <c r="GP14" s="159" t="str">
        <f t="shared" si="4"/>
        <v>N/A</v>
      </c>
      <c r="GQ14" s="159">
        <f t="shared" si="5"/>
        <v>1.8666666666666667</v>
      </c>
      <c r="GR14" s="159" t="str">
        <f t="shared" si="6"/>
        <v>N/A</v>
      </c>
      <c r="GS14" s="159" t="str">
        <f t="shared" si="7"/>
        <v>N/A</v>
      </c>
      <c r="GT14" s="159" t="str">
        <f t="shared" si="8"/>
        <v>N/A</v>
      </c>
      <c r="GU14" s="159" t="str">
        <f t="shared" si="9"/>
        <v>N/A</v>
      </c>
      <c r="GV14" s="159" t="str">
        <f t="shared" si="10"/>
        <v>N/A</v>
      </c>
      <c r="GW14" s="159">
        <f t="shared" si="11"/>
        <v>3.7666666666666666</v>
      </c>
      <c r="GX14" s="159">
        <f t="shared" si="12"/>
        <v>5.666666666666667</v>
      </c>
      <c r="GY14" s="159">
        <f t="shared" si="13"/>
        <v>8.4333333333333336</v>
      </c>
      <c r="GZ14" s="159">
        <f t="shared" si="14"/>
        <v>10.199999999999999</v>
      </c>
      <c r="HA14" s="159">
        <f t="shared" si="15"/>
        <v>17.266666666666666</v>
      </c>
      <c r="HB14" s="159">
        <f t="shared" si="16"/>
        <v>8.4333333333333336</v>
      </c>
      <c r="HC14" s="159">
        <f t="shared" si="17"/>
        <v>18.766666666666666</v>
      </c>
      <c r="HD14" s="159">
        <f t="shared" si="18"/>
        <v>17.5</v>
      </c>
      <c r="HE14" s="159" t="str">
        <f t="shared" si="19"/>
        <v>N/A</v>
      </c>
      <c r="HF14" s="160">
        <f t="shared" si="20"/>
        <v>18.766666666666666</v>
      </c>
      <c r="HG14" s="160" cm="1">
        <f t="array" ref="HG14">INDEX($HB14:$HD14,MATCH(TRUE,INDEX(ISNUMBER($HB14:$HD14),0),0))</f>
        <v>8.4333333333333336</v>
      </c>
      <c r="HH14" s="161">
        <f t="shared" si="21"/>
        <v>1</v>
      </c>
      <c r="HI14" s="108">
        <f t="shared" si="22"/>
        <v>1</v>
      </c>
      <c r="HJ14" s="91">
        <f t="shared" si="23"/>
        <v>1</v>
      </c>
      <c r="HK14" s="205" t="str">
        <f t="shared" si="24"/>
        <v>1</v>
      </c>
    </row>
    <row r="15" spans="1:219" ht="15" customHeight="1" x14ac:dyDescent="0.3">
      <c r="A15" s="174">
        <v>4581912849</v>
      </c>
      <c r="B15" s="93" t="s">
        <v>221</v>
      </c>
      <c r="C15" s="93" t="s">
        <v>222</v>
      </c>
      <c r="D15" s="93" t="s">
        <v>221</v>
      </c>
      <c r="E15" s="145" t="s">
        <v>313</v>
      </c>
      <c r="F15" s="175" t="s">
        <v>314</v>
      </c>
      <c r="G15" s="145" t="s">
        <v>288</v>
      </c>
      <c r="H15" s="70">
        <v>43818</v>
      </c>
      <c r="I15" s="147" t="s">
        <v>315</v>
      </c>
      <c r="J15" s="171" t="s">
        <v>225</v>
      </c>
      <c r="K15" s="145" t="s">
        <v>226</v>
      </c>
      <c r="L15" s="145" t="s">
        <v>226</v>
      </c>
      <c r="M15" s="145" t="s">
        <v>226</v>
      </c>
      <c r="N15" s="145" t="s">
        <v>226</v>
      </c>
      <c r="O15" s="145" t="s">
        <v>226</v>
      </c>
      <c r="P15" s="70" t="s">
        <v>226</v>
      </c>
      <c r="Q15" s="93" t="s">
        <v>226</v>
      </c>
      <c r="R15" s="97" t="s">
        <v>226</v>
      </c>
      <c r="S15" s="97" t="s">
        <v>226</v>
      </c>
      <c r="T15" s="97" t="s">
        <v>226</v>
      </c>
      <c r="U15" s="97" t="s">
        <v>226</v>
      </c>
      <c r="V15" s="93" t="s">
        <v>226</v>
      </c>
      <c r="W15" s="97" t="s">
        <v>226</v>
      </c>
      <c r="X15" s="97" t="s">
        <v>226</v>
      </c>
      <c r="Y15" s="97" t="s">
        <v>226</v>
      </c>
      <c r="Z15" s="97" t="s">
        <v>226</v>
      </c>
      <c r="AA15" s="93" t="s">
        <v>226</v>
      </c>
      <c r="AB15" s="97" t="s">
        <v>226</v>
      </c>
      <c r="AC15" s="97" t="s">
        <v>226</v>
      </c>
      <c r="AD15" s="97" t="s">
        <v>226</v>
      </c>
      <c r="AE15" s="97" t="s">
        <v>226</v>
      </c>
      <c r="AF15" s="93" t="s">
        <v>226</v>
      </c>
      <c r="AG15" s="97" t="s">
        <v>226</v>
      </c>
      <c r="AH15" s="97" t="s">
        <v>226</v>
      </c>
      <c r="AI15" s="97" t="s">
        <v>226</v>
      </c>
      <c r="AJ15" s="97" t="s">
        <v>226</v>
      </c>
      <c r="AK15" s="93" t="s">
        <v>226</v>
      </c>
      <c r="AL15" s="97" t="s">
        <v>226</v>
      </c>
      <c r="AM15" s="97" t="s">
        <v>226</v>
      </c>
      <c r="AN15" s="97" t="s">
        <v>226</v>
      </c>
      <c r="AO15" s="97" t="s">
        <v>226</v>
      </c>
      <c r="AP15" s="93" t="s">
        <v>226</v>
      </c>
      <c r="AQ15" s="106" t="s">
        <v>227</v>
      </c>
      <c r="AR15" s="69">
        <v>19918</v>
      </c>
      <c r="AS15" s="70">
        <v>43755</v>
      </c>
      <c r="AT15" s="149">
        <f t="shared" si="0"/>
        <v>65</v>
      </c>
      <c r="AU15" s="147" t="s">
        <v>291</v>
      </c>
      <c r="AV15" s="93" t="s">
        <v>229</v>
      </c>
      <c r="AW15" s="93" t="s">
        <v>221</v>
      </c>
      <c r="AX15" s="150" t="s">
        <v>232</v>
      </c>
      <c r="AY15" s="151">
        <v>1</v>
      </c>
      <c r="AZ15" s="150" t="s">
        <v>232</v>
      </c>
      <c r="BA15" s="151">
        <v>0</v>
      </c>
      <c r="BB15" s="93" t="s">
        <v>226</v>
      </c>
      <c r="BC15" s="152">
        <v>3</v>
      </c>
      <c r="BD15" s="153" t="s">
        <v>234</v>
      </c>
      <c r="BE15" s="93" t="s">
        <v>273</v>
      </c>
      <c r="BF15" s="153" t="s">
        <v>221</v>
      </c>
      <c r="BG15" s="154" t="s">
        <v>226</v>
      </c>
      <c r="BH15" s="155" t="s">
        <v>226</v>
      </c>
      <c r="BI15" s="155" t="s">
        <v>226</v>
      </c>
      <c r="BJ15" s="155" t="s">
        <v>226</v>
      </c>
      <c r="BK15" s="155" t="s">
        <v>226</v>
      </c>
      <c r="BL15" s="155" t="s">
        <v>226</v>
      </c>
      <c r="BM15" s="155" t="s">
        <v>226</v>
      </c>
      <c r="BN15" s="155" t="s">
        <v>226</v>
      </c>
      <c r="BO15" s="155" t="s">
        <v>226</v>
      </c>
      <c r="BP15" s="155" t="s">
        <v>226</v>
      </c>
      <c r="BQ15" s="155" t="s">
        <v>226</v>
      </c>
      <c r="BR15" s="155" t="s">
        <v>226</v>
      </c>
      <c r="BS15" s="155" t="s">
        <v>226</v>
      </c>
      <c r="BT15" s="155" t="s">
        <v>226</v>
      </c>
      <c r="BU15" s="155" t="s">
        <v>226</v>
      </c>
      <c r="BV15" s="155" t="s">
        <v>226</v>
      </c>
      <c r="BW15" s="155" t="s">
        <v>226</v>
      </c>
      <c r="BX15" s="155" t="s">
        <v>226</v>
      </c>
      <c r="BY15" s="155" t="s">
        <v>226</v>
      </c>
      <c r="BZ15" s="155" t="s">
        <v>226</v>
      </c>
      <c r="CA15" s="155" t="s">
        <v>226</v>
      </c>
      <c r="CB15" s="155" t="s">
        <v>226</v>
      </c>
      <c r="CC15" s="155" t="s">
        <v>226</v>
      </c>
      <c r="CD15" s="155" t="s">
        <v>226</v>
      </c>
      <c r="CE15" s="155" t="s">
        <v>226</v>
      </c>
      <c r="CF15" s="155" t="s">
        <v>226</v>
      </c>
      <c r="CG15" s="155" t="s">
        <v>226</v>
      </c>
      <c r="CH15" s="155" t="s">
        <v>226</v>
      </c>
      <c r="CI15" s="155" t="s">
        <v>226</v>
      </c>
      <c r="CJ15" s="155" t="s">
        <v>226</v>
      </c>
      <c r="CK15" s="155" t="s">
        <v>226</v>
      </c>
      <c r="CL15" s="155" t="s">
        <v>226</v>
      </c>
      <c r="CM15" s="155" t="s">
        <v>226</v>
      </c>
      <c r="CN15" s="106" t="s">
        <v>274</v>
      </c>
      <c r="CO15" s="145" t="s">
        <v>275</v>
      </c>
      <c r="CP15" s="70">
        <v>43892</v>
      </c>
      <c r="CQ15" s="70">
        <v>43999</v>
      </c>
      <c r="CR15" s="145" t="s">
        <v>279</v>
      </c>
      <c r="CS15" s="106" t="s">
        <v>226</v>
      </c>
      <c r="CT15" s="145" t="s">
        <v>226</v>
      </c>
      <c r="CU15" s="145" t="s">
        <v>226</v>
      </c>
      <c r="CV15" s="106" t="s">
        <v>226</v>
      </c>
      <c r="CW15" s="145" t="s">
        <v>226</v>
      </c>
      <c r="CX15" s="145" t="s">
        <v>226</v>
      </c>
      <c r="CY15" s="155" t="s">
        <v>226</v>
      </c>
      <c r="CZ15" s="155" t="s">
        <v>226</v>
      </c>
      <c r="DA15" s="155" t="s">
        <v>226</v>
      </c>
      <c r="DB15" s="155" t="s">
        <v>226</v>
      </c>
      <c r="DC15" s="155" t="s">
        <v>226</v>
      </c>
      <c r="DD15" s="155" t="s">
        <v>226</v>
      </c>
      <c r="DE15" s="155" t="s">
        <v>226</v>
      </c>
      <c r="DF15" s="155" t="s">
        <v>226</v>
      </c>
      <c r="DG15" s="155" t="s">
        <v>226</v>
      </c>
      <c r="DH15" s="155" t="s">
        <v>226</v>
      </c>
      <c r="DI15" s="155" t="s">
        <v>226</v>
      </c>
      <c r="DJ15" s="155" t="s">
        <v>226</v>
      </c>
      <c r="DK15" s="155" t="s">
        <v>226</v>
      </c>
      <c r="DL15" s="155" t="s">
        <v>226</v>
      </c>
      <c r="DM15" s="155" t="s">
        <v>226</v>
      </c>
      <c r="DN15" s="155" t="s">
        <v>226</v>
      </c>
      <c r="DO15" s="155" t="s">
        <v>226</v>
      </c>
      <c r="DP15" s="155" t="s">
        <v>226</v>
      </c>
      <c r="DQ15" s="155" t="s">
        <v>226</v>
      </c>
      <c r="DR15" s="155" t="s">
        <v>226</v>
      </c>
      <c r="DS15" s="155" t="s">
        <v>226</v>
      </c>
      <c r="DT15" s="155" t="s">
        <v>226</v>
      </c>
      <c r="DU15" s="155" t="s">
        <v>226</v>
      </c>
      <c r="DV15" s="155" t="s">
        <v>226</v>
      </c>
      <c r="DW15" s="155" t="s">
        <v>226</v>
      </c>
      <c r="DX15" s="155" t="s">
        <v>226</v>
      </c>
      <c r="DY15" s="155" t="s">
        <v>226</v>
      </c>
      <c r="DZ15" s="155" t="s">
        <v>226</v>
      </c>
      <c r="EA15" s="155" t="s">
        <v>226</v>
      </c>
      <c r="EB15" s="155" t="s">
        <v>226</v>
      </c>
      <c r="EC15" s="155" t="s">
        <v>226</v>
      </c>
      <c r="ED15" s="155" t="s">
        <v>226</v>
      </c>
      <c r="EE15" s="155" t="s">
        <v>226</v>
      </c>
      <c r="EF15" s="155" t="s">
        <v>226</v>
      </c>
      <c r="EG15" s="155" t="s">
        <v>226</v>
      </c>
      <c r="EH15" s="155" t="s">
        <v>226</v>
      </c>
      <c r="EI15" s="70">
        <v>44018</v>
      </c>
      <c r="EJ15" s="145" t="s">
        <v>309</v>
      </c>
      <c r="EK15" s="106" t="s">
        <v>247</v>
      </c>
      <c r="EL15" s="145" t="s">
        <v>316</v>
      </c>
      <c r="EM15" s="70">
        <v>44034</v>
      </c>
      <c r="EN15" s="70">
        <v>44040</v>
      </c>
      <c r="EO15" s="145" t="s">
        <v>279</v>
      </c>
      <c r="EP15" s="106" t="s">
        <v>277</v>
      </c>
      <c r="EQ15" s="145" t="s">
        <v>317</v>
      </c>
      <c r="ER15" s="145" t="s">
        <v>311</v>
      </c>
      <c r="ES15" s="106" t="s">
        <v>226</v>
      </c>
      <c r="ET15" s="145" t="s">
        <v>226</v>
      </c>
      <c r="EU15" s="145" t="s">
        <v>226</v>
      </c>
      <c r="EV15" s="106" t="s">
        <v>226</v>
      </c>
      <c r="EW15" s="145" t="s">
        <v>226</v>
      </c>
      <c r="EX15" s="145" t="s">
        <v>226</v>
      </c>
      <c r="EY15" s="106" t="s">
        <v>226</v>
      </c>
      <c r="EZ15" s="145" t="s">
        <v>226</v>
      </c>
      <c r="FA15" s="145" t="s">
        <v>226</v>
      </c>
      <c r="FB15" s="106" t="s">
        <v>226</v>
      </c>
      <c r="FC15" s="145" t="s">
        <v>226</v>
      </c>
      <c r="FD15" s="145" t="s">
        <v>226</v>
      </c>
      <c r="FE15" s="155" t="s">
        <v>226</v>
      </c>
      <c r="FF15" s="155" t="s">
        <v>226</v>
      </c>
      <c r="FG15" s="155" t="s">
        <v>226</v>
      </c>
      <c r="FH15" s="155" t="s">
        <v>226</v>
      </c>
      <c r="FI15" s="155" t="s">
        <v>226</v>
      </c>
      <c r="FJ15" s="155" t="s">
        <v>226</v>
      </c>
      <c r="FK15" s="155" t="s">
        <v>226</v>
      </c>
      <c r="FL15" s="155" t="s">
        <v>226</v>
      </c>
      <c r="FM15" s="155" t="s">
        <v>226</v>
      </c>
      <c r="FN15" s="155" t="s">
        <v>226</v>
      </c>
      <c r="FO15" s="155" t="s">
        <v>226</v>
      </c>
      <c r="FP15" s="155" t="s">
        <v>226</v>
      </c>
      <c r="FQ15" s="155" t="s">
        <v>226</v>
      </c>
      <c r="FR15" s="155" t="s">
        <v>226</v>
      </c>
      <c r="FS15" s="155" t="s">
        <v>226</v>
      </c>
      <c r="FT15" s="155" t="s">
        <v>226</v>
      </c>
      <c r="FU15" s="155" t="s">
        <v>226</v>
      </c>
      <c r="FV15" s="155" t="s">
        <v>226</v>
      </c>
      <c r="FW15" s="155" t="s">
        <v>226</v>
      </c>
      <c r="FX15" s="155" t="s">
        <v>226</v>
      </c>
      <c r="FY15" s="155" t="s">
        <v>226</v>
      </c>
      <c r="FZ15" s="155" t="s">
        <v>226</v>
      </c>
      <c r="GA15" s="155" t="s">
        <v>226</v>
      </c>
      <c r="GB15" s="155" t="s">
        <v>226</v>
      </c>
      <c r="GC15" s="155" t="s">
        <v>226</v>
      </c>
      <c r="GD15" s="155" t="s">
        <v>226</v>
      </c>
      <c r="GE15" s="155" t="s">
        <v>226</v>
      </c>
      <c r="GF15" s="150" t="s">
        <v>237</v>
      </c>
      <c r="GG15" s="70">
        <v>44269</v>
      </c>
      <c r="GH15" s="93" t="s">
        <v>230</v>
      </c>
      <c r="GI15" s="173" t="s">
        <v>312</v>
      </c>
      <c r="GJ15" s="70">
        <v>44260</v>
      </c>
      <c r="GK15" s="70" t="s">
        <v>226</v>
      </c>
      <c r="GL15" s="70" t="s">
        <v>226</v>
      </c>
      <c r="GM15" s="159" t="str">
        <f t="shared" si="1"/>
        <v>N/A</v>
      </c>
      <c r="GN15" s="159" t="str">
        <f t="shared" si="2"/>
        <v>N/A</v>
      </c>
      <c r="GO15" s="159">
        <f t="shared" si="3"/>
        <v>2.1</v>
      </c>
      <c r="GP15" s="159" t="str">
        <f t="shared" si="4"/>
        <v>N/A</v>
      </c>
      <c r="GQ15" s="159" t="str">
        <f t="shared" si="5"/>
        <v>N/A</v>
      </c>
      <c r="GR15" s="159" t="str">
        <f t="shared" si="6"/>
        <v>N/A</v>
      </c>
      <c r="GS15" s="159" t="str">
        <f t="shared" si="7"/>
        <v>N/A</v>
      </c>
      <c r="GT15" s="159" t="str">
        <f t="shared" si="8"/>
        <v>N/A</v>
      </c>
      <c r="GU15" s="159" t="str">
        <f t="shared" si="9"/>
        <v>N/A</v>
      </c>
      <c r="GV15" s="159" t="str">
        <f t="shared" si="10"/>
        <v>N/A</v>
      </c>
      <c r="GW15" s="159">
        <f t="shared" si="11"/>
        <v>4.5666666666666664</v>
      </c>
      <c r="GX15" s="159">
        <f t="shared" si="12"/>
        <v>8.1333333333333329</v>
      </c>
      <c r="GY15" s="159">
        <f t="shared" si="13"/>
        <v>8.7666666666666675</v>
      </c>
      <c r="GZ15" s="159">
        <f t="shared" si="14"/>
        <v>9.3000000000000007</v>
      </c>
      <c r="HA15" s="159">
        <f t="shared" si="15"/>
        <v>9.5</v>
      </c>
      <c r="HB15" s="159">
        <f t="shared" si="16"/>
        <v>8.7666666666666675</v>
      </c>
      <c r="HC15" s="159">
        <f t="shared" si="17"/>
        <v>17.133333333333333</v>
      </c>
      <c r="HD15" s="159">
        <f t="shared" si="18"/>
        <v>16.833333333333332</v>
      </c>
      <c r="HE15" s="159" t="str">
        <f t="shared" si="19"/>
        <v>N/A</v>
      </c>
      <c r="HF15" s="160">
        <f t="shared" si="20"/>
        <v>17.133333333333333</v>
      </c>
      <c r="HG15" s="160" cm="1">
        <f t="array" ref="HG15">INDEX($HB15:$HD15,MATCH(TRUE,INDEX(ISNUMBER($HB15:$HD15),0),0))</f>
        <v>8.7666666666666675</v>
      </c>
      <c r="HH15" s="161">
        <f t="shared" si="21"/>
        <v>1</v>
      </c>
      <c r="HI15" s="108">
        <f t="shared" si="22"/>
        <v>1</v>
      </c>
      <c r="HJ15" s="91">
        <f t="shared" si="23"/>
        <v>1</v>
      </c>
      <c r="HK15" s="205" t="str">
        <f t="shared" si="24"/>
        <v>1</v>
      </c>
    </row>
    <row r="16" spans="1:219" ht="15" customHeight="1" x14ac:dyDescent="0.3">
      <c r="A16" s="146">
        <v>4506203151</v>
      </c>
      <c r="B16" s="93" t="s">
        <v>221</v>
      </c>
      <c r="C16" s="93" t="s">
        <v>222</v>
      </c>
      <c r="D16" s="93" t="s">
        <v>221</v>
      </c>
      <c r="E16" s="145" t="s">
        <v>318</v>
      </c>
      <c r="F16" s="145" t="s">
        <v>300</v>
      </c>
      <c r="G16" s="145" t="s">
        <v>319</v>
      </c>
      <c r="H16" s="70">
        <v>43818</v>
      </c>
      <c r="I16" s="170" t="s">
        <v>320</v>
      </c>
      <c r="J16" s="170" t="s">
        <v>225</v>
      </c>
      <c r="K16" s="145" t="s">
        <v>226</v>
      </c>
      <c r="L16" s="145" t="s">
        <v>226</v>
      </c>
      <c r="M16" s="145" t="s">
        <v>226</v>
      </c>
      <c r="N16" s="145" t="s">
        <v>226</v>
      </c>
      <c r="O16" s="145" t="s">
        <v>226</v>
      </c>
      <c r="P16" s="70" t="s">
        <v>226</v>
      </c>
      <c r="Q16" s="93" t="s">
        <v>226</v>
      </c>
      <c r="R16" s="97" t="s">
        <v>226</v>
      </c>
      <c r="S16" s="97" t="s">
        <v>226</v>
      </c>
      <c r="T16" s="97" t="s">
        <v>226</v>
      </c>
      <c r="U16" s="97" t="s">
        <v>226</v>
      </c>
      <c r="V16" s="93" t="s">
        <v>226</v>
      </c>
      <c r="W16" s="97" t="s">
        <v>226</v>
      </c>
      <c r="X16" s="97" t="s">
        <v>226</v>
      </c>
      <c r="Y16" s="97" t="s">
        <v>226</v>
      </c>
      <c r="Z16" s="97" t="s">
        <v>226</v>
      </c>
      <c r="AA16" s="93" t="s">
        <v>226</v>
      </c>
      <c r="AB16" s="97" t="s">
        <v>226</v>
      </c>
      <c r="AC16" s="97" t="s">
        <v>226</v>
      </c>
      <c r="AD16" s="97" t="s">
        <v>226</v>
      </c>
      <c r="AE16" s="97" t="s">
        <v>226</v>
      </c>
      <c r="AF16" s="93" t="s">
        <v>226</v>
      </c>
      <c r="AG16" s="97" t="s">
        <v>226</v>
      </c>
      <c r="AH16" s="97" t="s">
        <v>226</v>
      </c>
      <c r="AI16" s="97" t="s">
        <v>226</v>
      </c>
      <c r="AJ16" s="97" t="s">
        <v>226</v>
      </c>
      <c r="AK16" s="93" t="s">
        <v>226</v>
      </c>
      <c r="AL16" s="97" t="s">
        <v>226</v>
      </c>
      <c r="AM16" s="97" t="s">
        <v>226</v>
      </c>
      <c r="AN16" s="97" t="s">
        <v>226</v>
      </c>
      <c r="AO16" s="97" t="s">
        <v>226</v>
      </c>
      <c r="AP16" s="93" t="s">
        <v>226</v>
      </c>
      <c r="AQ16" s="106" t="s">
        <v>227</v>
      </c>
      <c r="AR16" s="69">
        <v>21684</v>
      </c>
      <c r="AS16" s="70">
        <v>43784</v>
      </c>
      <c r="AT16" s="149">
        <f t="shared" si="0"/>
        <v>60</v>
      </c>
      <c r="AU16" s="147" t="s">
        <v>291</v>
      </c>
      <c r="AV16" s="93" t="s">
        <v>229</v>
      </c>
      <c r="AW16" s="93" t="s">
        <v>230</v>
      </c>
      <c r="AX16" s="150" t="s">
        <v>231</v>
      </c>
      <c r="AY16" s="151" t="s">
        <v>232</v>
      </c>
      <c r="AZ16" s="150" t="s">
        <v>232</v>
      </c>
      <c r="BA16" s="150">
        <v>0</v>
      </c>
      <c r="BB16" s="93" t="s">
        <v>233</v>
      </c>
      <c r="BC16" s="152">
        <v>2</v>
      </c>
      <c r="BD16" s="153" t="s">
        <v>234</v>
      </c>
      <c r="BE16" s="93" t="s">
        <v>235</v>
      </c>
      <c r="BF16" s="153" t="s">
        <v>221</v>
      </c>
      <c r="BG16" s="154" t="s">
        <v>226</v>
      </c>
      <c r="BH16" s="155" t="s">
        <v>226</v>
      </c>
      <c r="BI16" s="155" t="s">
        <v>226</v>
      </c>
      <c r="BJ16" s="155" t="s">
        <v>226</v>
      </c>
      <c r="BK16" s="155" t="s">
        <v>226</v>
      </c>
      <c r="BL16" s="155" t="s">
        <v>226</v>
      </c>
      <c r="BM16" s="155" t="s">
        <v>226</v>
      </c>
      <c r="BN16" s="155" t="s">
        <v>226</v>
      </c>
      <c r="BO16" s="155" t="s">
        <v>226</v>
      </c>
      <c r="BP16" s="155" t="s">
        <v>226</v>
      </c>
      <c r="BQ16" s="155" t="s">
        <v>226</v>
      </c>
      <c r="BR16" s="155" t="s">
        <v>226</v>
      </c>
      <c r="BS16" s="155" t="s">
        <v>226</v>
      </c>
      <c r="BT16" s="155" t="s">
        <v>226</v>
      </c>
      <c r="BU16" s="155" t="s">
        <v>226</v>
      </c>
      <c r="BV16" s="155" t="s">
        <v>226</v>
      </c>
      <c r="BW16" s="155" t="s">
        <v>226</v>
      </c>
      <c r="BX16" s="155" t="s">
        <v>226</v>
      </c>
      <c r="BY16" s="155" t="s">
        <v>226</v>
      </c>
      <c r="BZ16" s="155" t="s">
        <v>226</v>
      </c>
      <c r="CA16" s="155" t="s">
        <v>226</v>
      </c>
      <c r="CB16" s="155" t="s">
        <v>226</v>
      </c>
      <c r="CC16" s="155" t="s">
        <v>226</v>
      </c>
      <c r="CD16" s="155" t="s">
        <v>226</v>
      </c>
      <c r="CE16" s="155" t="s">
        <v>226</v>
      </c>
      <c r="CF16" s="155" t="s">
        <v>226</v>
      </c>
      <c r="CG16" s="155" t="s">
        <v>226</v>
      </c>
      <c r="CH16" s="155" t="s">
        <v>226</v>
      </c>
      <c r="CI16" s="155" t="s">
        <v>226</v>
      </c>
      <c r="CJ16" s="155" t="s">
        <v>226</v>
      </c>
      <c r="CK16" s="155" t="s">
        <v>226</v>
      </c>
      <c r="CL16" s="155" t="s">
        <v>226</v>
      </c>
      <c r="CM16" s="155" t="s">
        <v>226</v>
      </c>
      <c r="CN16" s="106" t="s">
        <v>247</v>
      </c>
      <c r="CO16" s="145" t="s">
        <v>321</v>
      </c>
      <c r="CP16" s="70">
        <v>43886</v>
      </c>
      <c r="CQ16" s="70">
        <v>43893</v>
      </c>
      <c r="CR16" s="145" t="s">
        <v>226</v>
      </c>
      <c r="CS16" s="106" t="s">
        <v>226</v>
      </c>
      <c r="CT16" s="145" t="s">
        <v>226</v>
      </c>
      <c r="CU16" s="145" t="s">
        <v>226</v>
      </c>
      <c r="CV16" s="106" t="s">
        <v>226</v>
      </c>
      <c r="CW16" s="145" t="s">
        <v>226</v>
      </c>
      <c r="CX16" s="145" t="s">
        <v>226</v>
      </c>
      <c r="CY16" s="155" t="s">
        <v>226</v>
      </c>
      <c r="CZ16" s="155" t="s">
        <v>226</v>
      </c>
      <c r="DA16" s="155" t="s">
        <v>226</v>
      </c>
      <c r="DB16" s="155" t="s">
        <v>226</v>
      </c>
      <c r="DC16" s="155" t="s">
        <v>226</v>
      </c>
      <c r="DD16" s="155" t="s">
        <v>226</v>
      </c>
      <c r="DE16" s="155" t="s">
        <v>226</v>
      </c>
      <c r="DF16" s="155" t="s">
        <v>226</v>
      </c>
      <c r="DG16" s="155" t="s">
        <v>226</v>
      </c>
      <c r="DH16" s="155" t="s">
        <v>226</v>
      </c>
      <c r="DI16" s="155" t="s">
        <v>226</v>
      </c>
      <c r="DJ16" s="155" t="s">
        <v>226</v>
      </c>
      <c r="DK16" s="155" t="s">
        <v>226</v>
      </c>
      <c r="DL16" s="155" t="s">
        <v>226</v>
      </c>
      <c r="DM16" s="155" t="s">
        <v>226</v>
      </c>
      <c r="DN16" s="155" t="s">
        <v>226</v>
      </c>
      <c r="DO16" s="155" t="s">
        <v>226</v>
      </c>
      <c r="DP16" s="155" t="s">
        <v>226</v>
      </c>
      <c r="DQ16" s="155" t="s">
        <v>226</v>
      </c>
      <c r="DR16" s="155" t="s">
        <v>226</v>
      </c>
      <c r="DS16" s="155" t="s">
        <v>226</v>
      </c>
      <c r="DT16" s="155" t="s">
        <v>226</v>
      </c>
      <c r="DU16" s="155" t="s">
        <v>226</v>
      </c>
      <c r="DV16" s="155" t="s">
        <v>226</v>
      </c>
      <c r="DW16" s="155" t="s">
        <v>226</v>
      </c>
      <c r="DX16" s="155" t="s">
        <v>226</v>
      </c>
      <c r="DY16" s="155" t="s">
        <v>226</v>
      </c>
      <c r="DZ16" s="155" t="s">
        <v>226</v>
      </c>
      <c r="EA16" s="155" t="s">
        <v>226</v>
      </c>
      <c r="EB16" s="155" t="s">
        <v>226</v>
      </c>
      <c r="EC16" s="155" t="s">
        <v>226</v>
      </c>
      <c r="ED16" s="155" t="s">
        <v>226</v>
      </c>
      <c r="EE16" s="155" t="s">
        <v>226</v>
      </c>
      <c r="EF16" s="155" t="s">
        <v>226</v>
      </c>
      <c r="EG16" s="155" t="s">
        <v>226</v>
      </c>
      <c r="EH16" s="155" t="s">
        <v>226</v>
      </c>
      <c r="EI16" s="70">
        <v>44748</v>
      </c>
      <c r="EJ16" s="145" t="s">
        <v>322</v>
      </c>
      <c r="EK16" s="106" t="s">
        <v>247</v>
      </c>
      <c r="EL16" s="145" t="s">
        <v>323</v>
      </c>
      <c r="EM16" s="70">
        <v>44790</v>
      </c>
      <c r="EN16" s="70">
        <v>44825</v>
      </c>
      <c r="EO16" s="145" t="s">
        <v>276</v>
      </c>
      <c r="EP16" s="106" t="s">
        <v>226</v>
      </c>
      <c r="EQ16" s="145" t="s">
        <v>226</v>
      </c>
      <c r="ER16" s="145" t="s">
        <v>226</v>
      </c>
      <c r="ES16" s="106" t="s">
        <v>226</v>
      </c>
      <c r="ET16" s="145" t="s">
        <v>226</v>
      </c>
      <c r="EU16" s="145" t="s">
        <v>226</v>
      </c>
      <c r="EV16" s="106" t="s">
        <v>226</v>
      </c>
      <c r="EW16" s="145" t="s">
        <v>226</v>
      </c>
      <c r="EX16" s="145" t="s">
        <v>226</v>
      </c>
      <c r="EY16" s="106" t="s">
        <v>226</v>
      </c>
      <c r="EZ16" s="145" t="s">
        <v>226</v>
      </c>
      <c r="FA16" s="145" t="s">
        <v>226</v>
      </c>
      <c r="FB16" s="106" t="s">
        <v>226</v>
      </c>
      <c r="FC16" s="145" t="s">
        <v>226</v>
      </c>
      <c r="FD16" s="145" t="s">
        <v>226</v>
      </c>
      <c r="FE16" s="155" t="s">
        <v>226</v>
      </c>
      <c r="FF16" s="155" t="s">
        <v>226</v>
      </c>
      <c r="FG16" s="155" t="s">
        <v>226</v>
      </c>
      <c r="FH16" s="155" t="s">
        <v>226</v>
      </c>
      <c r="FI16" s="155" t="s">
        <v>226</v>
      </c>
      <c r="FJ16" s="155" t="s">
        <v>226</v>
      </c>
      <c r="FK16" s="155" t="s">
        <v>226</v>
      </c>
      <c r="FL16" s="155" t="s">
        <v>226</v>
      </c>
      <c r="FM16" s="155" t="s">
        <v>226</v>
      </c>
      <c r="FN16" s="155" t="s">
        <v>226</v>
      </c>
      <c r="FO16" s="155" t="s">
        <v>226</v>
      </c>
      <c r="FP16" s="155" t="s">
        <v>226</v>
      </c>
      <c r="FQ16" s="155" t="s">
        <v>226</v>
      </c>
      <c r="FR16" s="155" t="s">
        <v>226</v>
      </c>
      <c r="FS16" s="155" t="s">
        <v>226</v>
      </c>
      <c r="FT16" s="155" t="s">
        <v>226</v>
      </c>
      <c r="FU16" s="155" t="s">
        <v>226</v>
      </c>
      <c r="FV16" s="155" t="s">
        <v>226</v>
      </c>
      <c r="FW16" s="155" t="s">
        <v>226</v>
      </c>
      <c r="FX16" s="155" t="s">
        <v>226</v>
      </c>
      <c r="FY16" s="155" t="s">
        <v>226</v>
      </c>
      <c r="FZ16" s="155" t="s">
        <v>226</v>
      </c>
      <c r="GA16" s="155" t="s">
        <v>226</v>
      </c>
      <c r="GB16" s="155" t="s">
        <v>226</v>
      </c>
      <c r="GC16" s="155" t="s">
        <v>226</v>
      </c>
      <c r="GD16" s="155" t="s">
        <v>226</v>
      </c>
      <c r="GE16" s="155" t="s">
        <v>226</v>
      </c>
      <c r="GF16" s="150" t="s">
        <v>256</v>
      </c>
      <c r="GG16" s="70" t="s">
        <v>226</v>
      </c>
      <c r="GH16" s="93" t="s">
        <v>226</v>
      </c>
      <c r="GI16" s="145" t="s">
        <v>226</v>
      </c>
      <c r="GJ16" s="70">
        <v>45946</v>
      </c>
      <c r="GK16" s="70">
        <v>45979</v>
      </c>
      <c r="GL16" s="70" t="s">
        <v>226</v>
      </c>
      <c r="GM16" s="159" t="str">
        <f t="shared" si="1"/>
        <v>N/A</v>
      </c>
      <c r="GN16" s="159" t="str">
        <f t="shared" si="2"/>
        <v>N/A</v>
      </c>
      <c r="GO16" s="159">
        <f t="shared" si="3"/>
        <v>1.1333333333333333</v>
      </c>
      <c r="GP16" s="159" t="str">
        <f t="shared" si="4"/>
        <v>N/A</v>
      </c>
      <c r="GQ16" s="159" t="str">
        <f t="shared" si="5"/>
        <v>N/A</v>
      </c>
      <c r="GR16" s="159" t="str">
        <f t="shared" si="6"/>
        <v>N/A</v>
      </c>
      <c r="GS16" s="159" t="str">
        <f t="shared" si="7"/>
        <v>N/A</v>
      </c>
      <c r="GT16" s="159" t="str">
        <f t="shared" si="8"/>
        <v>N/A</v>
      </c>
      <c r="GU16" s="159" t="str">
        <f t="shared" si="9"/>
        <v>N/A</v>
      </c>
      <c r="GV16" s="159" t="str">
        <f t="shared" si="10"/>
        <v>N/A</v>
      </c>
      <c r="GW16" s="159">
        <f t="shared" si="11"/>
        <v>3.4</v>
      </c>
      <c r="GX16" s="159">
        <f t="shared" si="12"/>
        <v>3.6333333333333333</v>
      </c>
      <c r="GY16" s="159">
        <f t="shared" si="13"/>
        <v>32.133333333333333</v>
      </c>
      <c r="GZ16" s="159">
        <f t="shared" si="14"/>
        <v>33.533333333333331</v>
      </c>
      <c r="HA16" s="159">
        <f t="shared" si="15"/>
        <v>34.700000000000003</v>
      </c>
      <c r="HB16" s="159">
        <f t="shared" si="16"/>
        <v>32.133333333333333</v>
      </c>
      <c r="HC16" s="159" t="str">
        <f t="shared" si="17"/>
        <v>N/A</v>
      </c>
      <c r="HD16" s="159">
        <f t="shared" si="18"/>
        <v>72.066666666666663</v>
      </c>
      <c r="HE16" s="159">
        <f t="shared" si="19"/>
        <v>73.166666666666671</v>
      </c>
      <c r="HF16" s="160">
        <f t="shared" si="20"/>
        <v>73.166666666666671</v>
      </c>
      <c r="HG16" s="160" cm="1">
        <f t="array" ref="HG16">INDEX($HB16:$HD16,MATCH(TRUE,INDEX(ISNUMBER($HB16:$HD16),0),0))</f>
        <v>32.133333333333333</v>
      </c>
      <c r="HH16" s="161">
        <f t="shared" si="21"/>
        <v>1</v>
      </c>
      <c r="HI16" s="108">
        <f t="shared" si="22"/>
        <v>0</v>
      </c>
      <c r="HJ16" s="91">
        <f t="shared" si="23"/>
        <v>0</v>
      </c>
      <c r="HK16" s="205" t="str">
        <f t="shared" si="24"/>
        <v>1</v>
      </c>
    </row>
    <row r="17" spans="1:219" ht="15" customHeight="1" x14ac:dyDescent="0.3">
      <c r="A17" s="174">
        <v>6290449265</v>
      </c>
      <c r="B17" s="93" t="s">
        <v>221</v>
      </c>
      <c r="C17" s="93" t="s">
        <v>222</v>
      </c>
      <c r="D17" s="93" t="s">
        <v>221</v>
      </c>
      <c r="E17" s="145" t="s">
        <v>324</v>
      </c>
      <c r="F17" s="175" t="s">
        <v>240</v>
      </c>
      <c r="G17" s="145" t="s">
        <v>301</v>
      </c>
      <c r="H17" s="70">
        <v>43846</v>
      </c>
      <c r="I17" s="170" t="s">
        <v>320</v>
      </c>
      <c r="J17" s="170" t="s">
        <v>225</v>
      </c>
      <c r="K17" s="145" t="s">
        <v>226</v>
      </c>
      <c r="L17" s="145" t="s">
        <v>226</v>
      </c>
      <c r="M17" s="145" t="s">
        <v>226</v>
      </c>
      <c r="N17" s="145" t="s">
        <v>226</v>
      </c>
      <c r="O17" s="145" t="s">
        <v>226</v>
      </c>
      <c r="P17" s="70" t="s">
        <v>226</v>
      </c>
      <c r="Q17" s="93" t="s">
        <v>226</v>
      </c>
      <c r="R17" s="97" t="s">
        <v>226</v>
      </c>
      <c r="S17" s="97" t="s">
        <v>226</v>
      </c>
      <c r="T17" s="97" t="s">
        <v>226</v>
      </c>
      <c r="U17" s="97" t="s">
        <v>226</v>
      </c>
      <c r="V17" s="93" t="s">
        <v>226</v>
      </c>
      <c r="W17" s="97" t="s">
        <v>226</v>
      </c>
      <c r="X17" s="97" t="s">
        <v>226</v>
      </c>
      <c r="Y17" s="97" t="s">
        <v>226</v>
      </c>
      <c r="Z17" s="97" t="s">
        <v>226</v>
      </c>
      <c r="AA17" s="93" t="s">
        <v>226</v>
      </c>
      <c r="AB17" s="97" t="s">
        <v>226</v>
      </c>
      <c r="AC17" s="97" t="s">
        <v>226</v>
      </c>
      <c r="AD17" s="97" t="s">
        <v>226</v>
      </c>
      <c r="AE17" s="97" t="s">
        <v>226</v>
      </c>
      <c r="AF17" s="93" t="s">
        <v>226</v>
      </c>
      <c r="AG17" s="97" t="s">
        <v>226</v>
      </c>
      <c r="AH17" s="97" t="s">
        <v>226</v>
      </c>
      <c r="AI17" s="97" t="s">
        <v>226</v>
      </c>
      <c r="AJ17" s="97" t="s">
        <v>226</v>
      </c>
      <c r="AK17" s="93" t="s">
        <v>226</v>
      </c>
      <c r="AL17" s="97" t="s">
        <v>226</v>
      </c>
      <c r="AM17" s="97" t="s">
        <v>226</v>
      </c>
      <c r="AN17" s="97" t="s">
        <v>226</v>
      </c>
      <c r="AO17" s="97" t="s">
        <v>226</v>
      </c>
      <c r="AP17" s="93" t="s">
        <v>226</v>
      </c>
      <c r="AQ17" s="106" t="s">
        <v>227</v>
      </c>
      <c r="AR17" s="69">
        <v>19941</v>
      </c>
      <c r="AS17" s="70">
        <v>43794</v>
      </c>
      <c r="AT17" s="149">
        <f t="shared" si="0"/>
        <v>65</v>
      </c>
      <c r="AU17" s="147" t="s">
        <v>291</v>
      </c>
      <c r="AV17" s="93" t="s">
        <v>229</v>
      </c>
      <c r="AW17" s="93" t="s">
        <v>230</v>
      </c>
      <c r="AX17" s="150" t="s">
        <v>265</v>
      </c>
      <c r="AY17" s="151" t="s">
        <v>232</v>
      </c>
      <c r="AZ17" s="150" t="s">
        <v>232</v>
      </c>
      <c r="BA17" s="150">
        <v>0</v>
      </c>
      <c r="BB17" s="93" t="s">
        <v>266</v>
      </c>
      <c r="BC17" s="152">
        <v>1</v>
      </c>
      <c r="BD17" s="153" t="s">
        <v>234</v>
      </c>
      <c r="BE17" s="93" t="s">
        <v>267</v>
      </c>
      <c r="BF17" s="153" t="s">
        <v>221</v>
      </c>
      <c r="BG17" s="154" t="s">
        <v>226</v>
      </c>
      <c r="BH17" s="155" t="s">
        <v>226</v>
      </c>
      <c r="BI17" s="155" t="s">
        <v>226</v>
      </c>
      <c r="BJ17" s="155" t="s">
        <v>226</v>
      </c>
      <c r="BK17" s="155" t="s">
        <v>226</v>
      </c>
      <c r="BL17" s="155" t="s">
        <v>226</v>
      </c>
      <c r="BM17" s="155" t="s">
        <v>226</v>
      </c>
      <c r="BN17" s="155" t="s">
        <v>226</v>
      </c>
      <c r="BO17" s="155" t="s">
        <v>226</v>
      </c>
      <c r="BP17" s="155" t="s">
        <v>226</v>
      </c>
      <c r="BQ17" s="155" t="s">
        <v>226</v>
      </c>
      <c r="BR17" s="155" t="s">
        <v>226</v>
      </c>
      <c r="BS17" s="155" t="s">
        <v>226</v>
      </c>
      <c r="BT17" s="155" t="s">
        <v>226</v>
      </c>
      <c r="BU17" s="155" t="s">
        <v>226</v>
      </c>
      <c r="BV17" s="155" t="s">
        <v>226</v>
      </c>
      <c r="BW17" s="155" t="s">
        <v>226</v>
      </c>
      <c r="BX17" s="155" t="s">
        <v>226</v>
      </c>
      <c r="BY17" s="155" t="s">
        <v>226</v>
      </c>
      <c r="BZ17" s="155" t="s">
        <v>226</v>
      </c>
      <c r="CA17" s="155" t="s">
        <v>226</v>
      </c>
      <c r="CB17" s="155" t="s">
        <v>226</v>
      </c>
      <c r="CC17" s="155" t="s">
        <v>226</v>
      </c>
      <c r="CD17" s="155" t="s">
        <v>226</v>
      </c>
      <c r="CE17" s="155" t="s">
        <v>226</v>
      </c>
      <c r="CF17" s="155" t="s">
        <v>226</v>
      </c>
      <c r="CG17" s="155" t="s">
        <v>226</v>
      </c>
      <c r="CH17" s="155" t="s">
        <v>226</v>
      </c>
      <c r="CI17" s="155" t="s">
        <v>226</v>
      </c>
      <c r="CJ17" s="155" t="s">
        <v>226</v>
      </c>
      <c r="CK17" s="155" t="s">
        <v>226</v>
      </c>
      <c r="CL17" s="155" t="s">
        <v>226</v>
      </c>
      <c r="CM17" s="155" t="s">
        <v>226</v>
      </c>
      <c r="CN17" s="145" t="s">
        <v>226</v>
      </c>
      <c r="CO17" s="145" t="s">
        <v>226</v>
      </c>
      <c r="CP17" s="145" t="s">
        <v>226</v>
      </c>
      <c r="CQ17" s="145" t="s">
        <v>226</v>
      </c>
      <c r="CR17" s="145" t="s">
        <v>226</v>
      </c>
      <c r="CS17" s="145" t="s">
        <v>226</v>
      </c>
      <c r="CT17" s="145" t="s">
        <v>226</v>
      </c>
      <c r="CU17" s="145" t="s">
        <v>226</v>
      </c>
      <c r="CV17" s="145" t="s">
        <v>226</v>
      </c>
      <c r="CW17" s="145" t="s">
        <v>226</v>
      </c>
      <c r="CX17" s="145" t="s">
        <v>226</v>
      </c>
      <c r="CY17" s="145" t="s">
        <v>226</v>
      </c>
      <c r="CZ17" s="145" t="s">
        <v>226</v>
      </c>
      <c r="DA17" s="145" t="s">
        <v>226</v>
      </c>
      <c r="DB17" s="145" t="s">
        <v>226</v>
      </c>
      <c r="DC17" s="145" t="s">
        <v>226</v>
      </c>
      <c r="DD17" s="145" t="s">
        <v>226</v>
      </c>
      <c r="DE17" s="145" t="s">
        <v>226</v>
      </c>
      <c r="DF17" s="145" t="s">
        <v>226</v>
      </c>
      <c r="DG17" s="145" t="s">
        <v>226</v>
      </c>
      <c r="DH17" s="145" t="s">
        <v>226</v>
      </c>
      <c r="DI17" s="145" t="s">
        <v>226</v>
      </c>
      <c r="DJ17" s="145" t="s">
        <v>226</v>
      </c>
      <c r="DK17" s="145" t="s">
        <v>226</v>
      </c>
      <c r="DL17" s="145" t="s">
        <v>226</v>
      </c>
      <c r="DM17" s="145" t="s">
        <v>226</v>
      </c>
      <c r="DN17" s="145" t="s">
        <v>226</v>
      </c>
      <c r="DO17" s="145" t="s">
        <v>226</v>
      </c>
      <c r="DP17" s="145" t="s">
        <v>226</v>
      </c>
      <c r="DQ17" s="145" t="s">
        <v>226</v>
      </c>
      <c r="DR17" s="145" t="s">
        <v>226</v>
      </c>
      <c r="DS17" s="145" t="s">
        <v>226</v>
      </c>
      <c r="DT17" s="145" t="s">
        <v>226</v>
      </c>
      <c r="DU17" s="145" t="s">
        <v>226</v>
      </c>
      <c r="DV17" s="145" t="s">
        <v>226</v>
      </c>
      <c r="DW17" s="145" t="s">
        <v>226</v>
      </c>
      <c r="DX17" s="145" t="s">
        <v>226</v>
      </c>
      <c r="DY17" s="145" t="s">
        <v>226</v>
      </c>
      <c r="DZ17" s="145" t="s">
        <v>226</v>
      </c>
      <c r="EA17" s="145" t="s">
        <v>226</v>
      </c>
      <c r="EB17" s="145" t="s">
        <v>226</v>
      </c>
      <c r="EC17" s="145" t="s">
        <v>226</v>
      </c>
      <c r="ED17" s="145" t="s">
        <v>226</v>
      </c>
      <c r="EE17" s="145" t="s">
        <v>226</v>
      </c>
      <c r="EF17" s="145" t="s">
        <v>226</v>
      </c>
      <c r="EG17" s="145" t="s">
        <v>226</v>
      </c>
      <c r="EH17" s="145" t="s">
        <v>226</v>
      </c>
      <c r="EI17" s="145" t="s">
        <v>226</v>
      </c>
      <c r="EJ17" s="145" t="s">
        <v>226</v>
      </c>
      <c r="EK17" s="145" t="s">
        <v>226</v>
      </c>
      <c r="EL17" s="145" t="s">
        <v>226</v>
      </c>
      <c r="EM17" s="145" t="s">
        <v>226</v>
      </c>
      <c r="EN17" s="145" t="s">
        <v>226</v>
      </c>
      <c r="EO17" s="145" t="s">
        <v>226</v>
      </c>
      <c r="EP17" s="145" t="s">
        <v>226</v>
      </c>
      <c r="EQ17" s="145" t="s">
        <v>226</v>
      </c>
      <c r="ER17" s="145" t="s">
        <v>226</v>
      </c>
      <c r="ES17" s="145" t="s">
        <v>226</v>
      </c>
      <c r="ET17" s="145" t="s">
        <v>226</v>
      </c>
      <c r="EU17" s="145" t="s">
        <v>226</v>
      </c>
      <c r="EV17" s="145" t="s">
        <v>226</v>
      </c>
      <c r="EW17" s="145" t="s">
        <v>226</v>
      </c>
      <c r="EX17" s="145" t="s">
        <v>226</v>
      </c>
      <c r="EY17" s="106" t="s">
        <v>226</v>
      </c>
      <c r="EZ17" s="145" t="s">
        <v>226</v>
      </c>
      <c r="FA17" s="145" t="s">
        <v>226</v>
      </c>
      <c r="FB17" s="106" t="s">
        <v>226</v>
      </c>
      <c r="FC17" s="145" t="s">
        <v>226</v>
      </c>
      <c r="FD17" s="145" t="s">
        <v>226</v>
      </c>
      <c r="FE17" s="155" t="s">
        <v>226</v>
      </c>
      <c r="FF17" s="155" t="s">
        <v>226</v>
      </c>
      <c r="FG17" s="155" t="s">
        <v>226</v>
      </c>
      <c r="FH17" s="155" t="s">
        <v>226</v>
      </c>
      <c r="FI17" s="155" t="s">
        <v>226</v>
      </c>
      <c r="FJ17" s="155" t="s">
        <v>226</v>
      </c>
      <c r="FK17" s="155" t="s">
        <v>226</v>
      </c>
      <c r="FL17" s="155" t="s">
        <v>226</v>
      </c>
      <c r="FM17" s="155" t="s">
        <v>226</v>
      </c>
      <c r="FN17" s="155" t="s">
        <v>226</v>
      </c>
      <c r="FO17" s="155" t="s">
        <v>226</v>
      </c>
      <c r="FP17" s="155" t="s">
        <v>226</v>
      </c>
      <c r="FQ17" s="155" t="s">
        <v>226</v>
      </c>
      <c r="FR17" s="155" t="s">
        <v>226</v>
      </c>
      <c r="FS17" s="155" t="s">
        <v>226</v>
      </c>
      <c r="FT17" s="155" t="s">
        <v>226</v>
      </c>
      <c r="FU17" s="155" t="s">
        <v>226</v>
      </c>
      <c r="FV17" s="155" t="s">
        <v>226</v>
      </c>
      <c r="FW17" s="155" t="s">
        <v>226</v>
      </c>
      <c r="FX17" s="155" t="s">
        <v>226</v>
      </c>
      <c r="FY17" s="155" t="s">
        <v>226</v>
      </c>
      <c r="FZ17" s="155" t="s">
        <v>226</v>
      </c>
      <c r="GA17" s="155" t="s">
        <v>226</v>
      </c>
      <c r="GB17" s="155" t="s">
        <v>226</v>
      </c>
      <c r="GC17" s="155" t="s">
        <v>226</v>
      </c>
      <c r="GD17" s="155" t="s">
        <v>226</v>
      </c>
      <c r="GE17" s="155" t="s">
        <v>226</v>
      </c>
      <c r="GF17" s="150" t="s">
        <v>256</v>
      </c>
      <c r="GG17" s="70" t="s">
        <v>226</v>
      </c>
      <c r="GH17" s="93" t="s">
        <v>226</v>
      </c>
      <c r="GI17" s="145" t="s">
        <v>226</v>
      </c>
      <c r="GJ17" s="70">
        <v>44907</v>
      </c>
      <c r="GK17" s="70">
        <v>45930</v>
      </c>
      <c r="GL17" s="70" t="s">
        <v>226</v>
      </c>
      <c r="GM17" s="159" t="str">
        <f t="shared" si="1"/>
        <v>N/A</v>
      </c>
      <c r="GN17" s="159" t="str">
        <f t="shared" si="2"/>
        <v>N/A</v>
      </c>
      <c r="GO17" s="159">
        <f t="shared" si="3"/>
        <v>1.7333333333333334</v>
      </c>
      <c r="GP17" s="159" t="str">
        <f t="shared" si="4"/>
        <v>N/A</v>
      </c>
      <c r="GQ17" s="159" t="str">
        <f t="shared" si="5"/>
        <v>N/A</v>
      </c>
      <c r="GR17" s="159" t="str">
        <f t="shared" si="6"/>
        <v>N/A</v>
      </c>
      <c r="GS17" s="159" t="str">
        <f t="shared" si="7"/>
        <v>N/A</v>
      </c>
      <c r="GT17" s="159" t="str">
        <f t="shared" si="8"/>
        <v>N/A</v>
      </c>
      <c r="GU17" s="159" t="str">
        <f t="shared" si="9"/>
        <v>N/A</v>
      </c>
      <c r="GV17" s="159" t="str">
        <f t="shared" si="10"/>
        <v>N/A</v>
      </c>
      <c r="GW17" s="159" t="str">
        <f t="shared" si="11"/>
        <v>N/A</v>
      </c>
      <c r="GX17" s="159" t="str">
        <f t="shared" si="12"/>
        <v>N/A</v>
      </c>
      <c r="GY17" s="159" t="str">
        <f t="shared" si="13"/>
        <v>N/A</v>
      </c>
      <c r="GZ17" s="159" t="str">
        <f t="shared" si="14"/>
        <v>N/A</v>
      </c>
      <c r="HA17" s="159" t="str">
        <f t="shared" si="15"/>
        <v>N/A</v>
      </c>
      <c r="HB17" s="159" t="str">
        <f t="shared" si="16"/>
        <v>N/A</v>
      </c>
      <c r="HC17" s="159" t="str">
        <f t="shared" si="17"/>
        <v>N/A</v>
      </c>
      <c r="HD17" s="159">
        <f t="shared" si="18"/>
        <v>37.1</v>
      </c>
      <c r="HE17" s="159">
        <f t="shared" si="19"/>
        <v>71.2</v>
      </c>
      <c r="HF17" s="160">
        <f t="shared" si="20"/>
        <v>71.2</v>
      </c>
      <c r="HG17" s="160" cm="1">
        <f t="array" ref="HG17">INDEX($HB17:$HD17,MATCH(TRUE,INDEX(ISNUMBER($HB17:$HD17),0),0))</f>
        <v>37.1</v>
      </c>
      <c r="HH17" s="161">
        <f t="shared" si="21"/>
        <v>0</v>
      </c>
      <c r="HI17" s="108">
        <f t="shared" si="22"/>
        <v>0</v>
      </c>
      <c r="HJ17" s="91">
        <f t="shared" si="23"/>
        <v>0</v>
      </c>
      <c r="HK17" s="205" t="str">
        <f t="shared" si="24"/>
        <v>0</v>
      </c>
    </row>
    <row r="18" spans="1:219" ht="15" customHeight="1" x14ac:dyDescent="0.3">
      <c r="A18" s="174">
        <v>4627804245</v>
      </c>
      <c r="B18" s="93" t="s">
        <v>221</v>
      </c>
      <c r="C18" s="93" t="s">
        <v>222</v>
      </c>
      <c r="D18" s="93" t="s">
        <v>221</v>
      </c>
      <c r="E18" s="145" t="s">
        <v>325</v>
      </c>
      <c r="F18" s="145" t="s">
        <v>250</v>
      </c>
      <c r="G18" s="175" t="s">
        <v>288</v>
      </c>
      <c r="H18" s="70">
        <v>43860</v>
      </c>
      <c r="I18" s="147" t="s">
        <v>326</v>
      </c>
      <c r="J18" s="148" t="s">
        <v>225</v>
      </c>
      <c r="K18" s="145" t="s">
        <v>226</v>
      </c>
      <c r="L18" s="145" t="s">
        <v>226</v>
      </c>
      <c r="M18" s="145" t="s">
        <v>226</v>
      </c>
      <c r="N18" s="145" t="s">
        <v>226</v>
      </c>
      <c r="O18" s="145" t="s">
        <v>226</v>
      </c>
      <c r="P18" s="70" t="s">
        <v>226</v>
      </c>
      <c r="Q18" s="93" t="s">
        <v>226</v>
      </c>
      <c r="R18" s="97" t="s">
        <v>226</v>
      </c>
      <c r="S18" s="97" t="s">
        <v>226</v>
      </c>
      <c r="T18" s="97" t="s">
        <v>226</v>
      </c>
      <c r="U18" s="97" t="s">
        <v>226</v>
      </c>
      <c r="V18" s="93" t="s">
        <v>226</v>
      </c>
      <c r="W18" s="97" t="s">
        <v>226</v>
      </c>
      <c r="X18" s="97" t="s">
        <v>226</v>
      </c>
      <c r="Y18" s="97" t="s">
        <v>226</v>
      </c>
      <c r="Z18" s="97" t="s">
        <v>226</v>
      </c>
      <c r="AA18" s="93" t="s">
        <v>226</v>
      </c>
      <c r="AB18" s="97" t="s">
        <v>226</v>
      </c>
      <c r="AC18" s="97" t="s">
        <v>226</v>
      </c>
      <c r="AD18" s="97" t="s">
        <v>226</v>
      </c>
      <c r="AE18" s="97" t="s">
        <v>226</v>
      </c>
      <c r="AF18" s="93" t="s">
        <v>226</v>
      </c>
      <c r="AG18" s="97" t="s">
        <v>226</v>
      </c>
      <c r="AH18" s="97" t="s">
        <v>226</v>
      </c>
      <c r="AI18" s="97" t="s">
        <v>226</v>
      </c>
      <c r="AJ18" s="97" t="s">
        <v>226</v>
      </c>
      <c r="AK18" s="93" t="s">
        <v>226</v>
      </c>
      <c r="AL18" s="97" t="s">
        <v>226</v>
      </c>
      <c r="AM18" s="97" t="s">
        <v>226</v>
      </c>
      <c r="AN18" s="97" t="s">
        <v>226</v>
      </c>
      <c r="AO18" s="97" t="s">
        <v>226</v>
      </c>
      <c r="AP18" s="93" t="s">
        <v>226</v>
      </c>
      <c r="AQ18" s="106" t="s">
        <v>227</v>
      </c>
      <c r="AR18" s="69">
        <v>17300</v>
      </c>
      <c r="AS18" s="70">
        <v>43816</v>
      </c>
      <c r="AT18" s="149">
        <f t="shared" si="0"/>
        <v>72</v>
      </c>
      <c r="AU18" s="147" t="s">
        <v>291</v>
      </c>
      <c r="AV18" s="93" t="s">
        <v>229</v>
      </c>
      <c r="AW18" s="93" t="s">
        <v>230</v>
      </c>
      <c r="AX18" s="151" t="s">
        <v>231</v>
      </c>
      <c r="AY18" s="150" t="s">
        <v>232</v>
      </c>
      <c r="AZ18" s="151" t="s">
        <v>327</v>
      </c>
      <c r="BA18" s="151" t="s">
        <v>327</v>
      </c>
      <c r="BB18" s="171" t="s">
        <v>233</v>
      </c>
      <c r="BC18" s="152">
        <v>3</v>
      </c>
      <c r="BD18" s="153" t="s">
        <v>234</v>
      </c>
      <c r="BE18" s="171" t="s">
        <v>235</v>
      </c>
      <c r="BF18" s="153" t="s">
        <v>221</v>
      </c>
      <c r="BG18" s="154" t="s">
        <v>226</v>
      </c>
      <c r="BH18" s="155" t="s">
        <v>226</v>
      </c>
      <c r="BI18" s="155" t="s">
        <v>226</v>
      </c>
      <c r="BJ18" s="155" t="s">
        <v>226</v>
      </c>
      <c r="BK18" s="155" t="s">
        <v>226</v>
      </c>
      <c r="BL18" s="155" t="s">
        <v>226</v>
      </c>
      <c r="BM18" s="155" t="s">
        <v>226</v>
      </c>
      <c r="BN18" s="155" t="s">
        <v>226</v>
      </c>
      <c r="BO18" s="155" t="s">
        <v>226</v>
      </c>
      <c r="BP18" s="155" t="s">
        <v>226</v>
      </c>
      <c r="BQ18" s="155" t="s">
        <v>226</v>
      </c>
      <c r="BR18" s="155" t="s">
        <v>226</v>
      </c>
      <c r="BS18" s="155" t="s">
        <v>226</v>
      </c>
      <c r="BT18" s="155" t="s">
        <v>226</v>
      </c>
      <c r="BU18" s="155" t="s">
        <v>226</v>
      </c>
      <c r="BV18" s="155" t="s">
        <v>226</v>
      </c>
      <c r="BW18" s="155" t="s">
        <v>226</v>
      </c>
      <c r="BX18" s="155" t="s">
        <v>226</v>
      </c>
      <c r="BY18" s="155" t="s">
        <v>226</v>
      </c>
      <c r="BZ18" s="155" t="s">
        <v>226</v>
      </c>
      <c r="CA18" s="155" t="s">
        <v>226</v>
      </c>
      <c r="CB18" s="155" t="s">
        <v>226</v>
      </c>
      <c r="CC18" s="155" t="s">
        <v>226</v>
      </c>
      <c r="CD18" s="155" t="s">
        <v>226</v>
      </c>
      <c r="CE18" s="155" t="s">
        <v>226</v>
      </c>
      <c r="CF18" s="155" t="s">
        <v>226</v>
      </c>
      <c r="CG18" s="155" t="s">
        <v>226</v>
      </c>
      <c r="CH18" s="155" t="s">
        <v>226</v>
      </c>
      <c r="CI18" s="155" t="s">
        <v>226</v>
      </c>
      <c r="CJ18" s="155" t="s">
        <v>226</v>
      </c>
      <c r="CK18" s="155" t="s">
        <v>226</v>
      </c>
      <c r="CL18" s="155" t="s">
        <v>226</v>
      </c>
      <c r="CM18" s="155" t="s">
        <v>226</v>
      </c>
      <c r="CN18" s="106" t="s">
        <v>226</v>
      </c>
      <c r="CO18" s="145" t="s">
        <v>226</v>
      </c>
      <c r="CP18" s="145" t="s">
        <v>226</v>
      </c>
      <c r="CQ18" s="145" t="s">
        <v>226</v>
      </c>
      <c r="CR18" s="145" t="s">
        <v>226</v>
      </c>
      <c r="CS18" s="145" t="s">
        <v>226</v>
      </c>
      <c r="CT18" s="145" t="s">
        <v>226</v>
      </c>
      <c r="CU18" s="145" t="s">
        <v>226</v>
      </c>
      <c r="CV18" s="145" t="s">
        <v>226</v>
      </c>
      <c r="CW18" s="145" t="s">
        <v>226</v>
      </c>
      <c r="CX18" s="145" t="s">
        <v>226</v>
      </c>
      <c r="CY18" s="145" t="s">
        <v>226</v>
      </c>
      <c r="CZ18" s="145" t="s">
        <v>226</v>
      </c>
      <c r="DA18" s="145" t="s">
        <v>226</v>
      </c>
      <c r="DB18" s="145" t="s">
        <v>226</v>
      </c>
      <c r="DC18" s="145" t="s">
        <v>226</v>
      </c>
      <c r="DD18" s="145" t="s">
        <v>226</v>
      </c>
      <c r="DE18" s="145" t="s">
        <v>226</v>
      </c>
      <c r="DF18" s="145" t="s">
        <v>226</v>
      </c>
      <c r="DG18" s="145" t="s">
        <v>226</v>
      </c>
      <c r="DH18" s="145" t="s">
        <v>226</v>
      </c>
      <c r="DI18" s="145" t="s">
        <v>226</v>
      </c>
      <c r="DJ18" s="145" t="s">
        <v>226</v>
      </c>
      <c r="DK18" s="145" t="s">
        <v>226</v>
      </c>
      <c r="DL18" s="145" t="s">
        <v>226</v>
      </c>
      <c r="DM18" s="145" t="s">
        <v>226</v>
      </c>
      <c r="DN18" s="145" t="s">
        <v>226</v>
      </c>
      <c r="DO18" s="145" t="s">
        <v>226</v>
      </c>
      <c r="DP18" s="145" t="s">
        <v>226</v>
      </c>
      <c r="DQ18" s="145" t="s">
        <v>226</v>
      </c>
      <c r="DR18" s="145" t="s">
        <v>226</v>
      </c>
      <c r="DS18" s="145" t="s">
        <v>226</v>
      </c>
      <c r="DT18" s="145" t="s">
        <v>226</v>
      </c>
      <c r="DU18" s="145" t="s">
        <v>226</v>
      </c>
      <c r="DV18" s="145" t="s">
        <v>226</v>
      </c>
      <c r="DW18" s="145" t="s">
        <v>226</v>
      </c>
      <c r="DX18" s="145" t="s">
        <v>226</v>
      </c>
      <c r="DY18" s="145" t="s">
        <v>226</v>
      </c>
      <c r="DZ18" s="145" t="s">
        <v>226</v>
      </c>
      <c r="EA18" s="145" t="s">
        <v>226</v>
      </c>
      <c r="EB18" s="145" t="s">
        <v>226</v>
      </c>
      <c r="EC18" s="145" t="s">
        <v>226</v>
      </c>
      <c r="ED18" s="145" t="s">
        <v>226</v>
      </c>
      <c r="EE18" s="145" t="s">
        <v>226</v>
      </c>
      <c r="EF18" s="145" t="s">
        <v>226</v>
      </c>
      <c r="EG18" s="145" t="s">
        <v>226</v>
      </c>
      <c r="EH18" s="145" t="s">
        <v>226</v>
      </c>
      <c r="EI18" s="145" t="s">
        <v>226</v>
      </c>
      <c r="EJ18" s="145" t="s">
        <v>226</v>
      </c>
      <c r="EK18" s="145" t="s">
        <v>226</v>
      </c>
      <c r="EL18" s="145" t="s">
        <v>226</v>
      </c>
      <c r="EM18" s="145" t="s">
        <v>226</v>
      </c>
      <c r="EN18" s="145" t="s">
        <v>226</v>
      </c>
      <c r="EO18" s="145" t="s">
        <v>226</v>
      </c>
      <c r="EP18" s="145" t="s">
        <v>226</v>
      </c>
      <c r="EQ18" s="145" t="s">
        <v>226</v>
      </c>
      <c r="ER18" s="145" t="s">
        <v>226</v>
      </c>
      <c r="ES18" s="145" t="s">
        <v>226</v>
      </c>
      <c r="ET18" s="145" t="s">
        <v>226</v>
      </c>
      <c r="EU18" s="145" t="s">
        <v>226</v>
      </c>
      <c r="EV18" s="145" t="s">
        <v>226</v>
      </c>
      <c r="EW18" s="145" t="s">
        <v>226</v>
      </c>
      <c r="EX18" s="145" t="s">
        <v>226</v>
      </c>
      <c r="EY18" s="106" t="s">
        <v>226</v>
      </c>
      <c r="EZ18" s="145" t="s">
        <v>226</v>
      </c>
      <c r="FA18" s="145" t="s">
        <v>226</v>
      </c>
      <c r="FB18" s="106" t="s">
        <v>226</v>
      </c>
      <c r="FC18" s="145" t="s">
        <v>226</v>
      </c>
      <c r="FD18" s="145" t="s">
        <v>226</v>
      </c>
      <c r="FE18" s="155" t="s">
        <v>226</v>
      </c>
      <c r="FF18" s="155" t="s">
        <v>226</v>
      </c>
      <c r="FG18" s="155" t="s">
        <v>226</v>
      </c>
      <c r="FH18" s="155" t="s">
        <v>226</v>
      </c>
      <c r="FI18" s="155" t="s">
        <v>226</v>
      </c>
      <c r="FJ18" s="155" t="s">
        <v>226</v>
      </c>
      <c r="FK18" s="155" t="s">
        <v>226</v>
      </c>
      <c r="FL18" s="155" t="s">
        <v>226</v>
      </c>
      <c r="FM18" s="155" t="s">
        <v>226</v>
      </c>
      <c r="FN18" s="155" t="s">
        <v>226</v>
      </c>
      <c r="FO18" s="155" t="s">
        <v>226</v>
      </c>
      <c r="FP18" s="155" t="s">
        <v>226</v>
      </c>
      <c r="FQ18" s="155" t="s">
        <v>226</v>
      </c>
      <c r="FR18" s="155" t="s">
        <v>226</v>
      </c>
      <c r="FS18" s="155" t="s">
        <v>226</v>
      </c>
      <c r="FT18" s="155" t="s">
        <v>226</v>
      </c>
      <c r="FU18" s="155" t="s">
        <v>226</v>
      </c>
      <c r="FV18" s="155" t="s">
        <v>226</v>
      </c>
      <c r="FW18" s="155" t="s">
        <v>226</v>
      </c>
      <c r="FX18" s="155" t="s">
        <v>226</v>
      </c>
      <c r="FY18" s="155" t="s">
        <v>226</v>
      </c>
      <c r="FZ18" s="155" t="s">
        <v>226</v>
      </c>
      <c r="GA18" s="155" t="s">
        <v>226</v>
      </c>
      <c r="GB18" s="155" t="s">
        <v>226</v>
      </c>
      <c r="GC18" s="155" t="s">
        <v>226</v>
      </c>
      <c r="GD18" s="155" t="s">
        <v>226</v>
      </c>
      <c r="GE18" s="155" t="s">
        <v>226</v>
      </c>
      <c r="GF18" s="150" t="s">
        <v>237</v>
      </c>
      <c r="GG18" s="70">
        <v>44000</v>
      </c>
      <c r="GH18" s="93" t="s">
        <v>221</v>
      </c>
      <c r="GI18" s="145" t="s">
        <v>328</v>
      </c>
      <c r="GJ18" s="70">
        <v>43892</v>
      </c>
      <c r="GK18" s="70" t="s">
        <v>226</v>
      </c>
      <c r="GL18" s="70" t="s">
        <v>328</v>
      </c>
      <c r="GM18" s="159" t="str">
        <f t="shared" si="1"/>
        <v>N/A</v>
      </c>
      <c r="GN18" s="159" t="str">
        <f t="shared" si="2"/>
        <v>N/A</v>
      </c>
      <c r="GO18" s="159">
        <f t="shared" si="3"/>
        <v>1.4666666666666666</v>
      </c>
      <c r="GP18" s="159" t="str">
        <f t="shared" si="4"/>
        <v>N/A</v>
      </c>
      <c r="GQ18" s="159" t="str">
        <f t="shared" si="5"/>
        <v>N/A</v>
      </c>
      <c r="GR18" s="159" t="str">
        <f t="shared" si="6"/>
        <v>N/A</v>
      </c>
      <c r="GS18" s="159" t="str">
        <f t="shared" si="7"/>
        <v>N/A</v>
      </c>
      <c r="GT18" s="159" t="str">
        <f t="shared" si="8"/>
        <v>N/A</v>
      </c>
      <c r="GU18" s="159" t="str">
        <f t="shared" si="9"/>
        <v>N/A</v>
      </c>
      <c r="GV18" s="159" t="str">
        <f t="shared" si="10"/>
        <v>N/A</v>
      </c>
      <c r="GW18" s="159" t="str">
        <f t="shared" si="11"/>
        <v>N/A</v>
      </c>
      <c r="GX18" s="159" t="str">
        <f t="shared" si="12"/>
        <v>N/A</v>
      </c>
      <c r="GY18" s="159" t="str">
        <f t="shared" si="13"/>
        <v>N/A</v>
      </c>
      <c r="GZ18" s="159" t="str">
        <f t="shared" si="14"/>
        <v>N/A</v>
      </c>
      <c r="HA18" s="159" t="str">
        <f t="shared" si="15"/>
        <v>N/A</v>
      </c>
      <c r="HB18" s="159" t="str">
        <f t="shared" si="16"/>
        <v>N/A</v>
      </c>
      <c r="HC18" s="159">
        <f t="shared" si="17"/>
        <v>6.1333333333333337</v>
      </c>
      <c r="HD18" s="159">
        <f t="shared" si="18"/>
        <v>2.5333333333333332</v>
      </c>
      <c r="HE18" s="159" t="str">
        <f t="shared" si="19"/>
        <v>N/A</v>
      </c>
      <c r="HF18" s="160">
        <f t="shared" si="20"/>
        <v>6.1333333333333337</v>
      </c>
      <c r="HG18" s="160" cm="1">
        <f t="array" ref="HG18">INDEX($HB18:$HD18,MATCH(TRUE,INDEX(ISNUMBER($HB18:$HD18),0),0))</f>
        <v>6.1333333333333337</v>
      </c>
      <c r="HH18" s="161">
        <f t="shared" si="21"/>
        <v>0</v>
      </c>
      <c r="HI18" s="108">
        <f t="shared" si="22"/>
        <v>0</v>
      </c>
      <c r="HJ18" s="91">
        <f t="shared" si="23"/>
        <v>1</v>
      </c>
      <c r="HK18" s="205" t="str">
        <f t="shared" si="24"/>
        <v>0</v>
      </c>
    </row>
    <row r="19" spans="1:219" ht="15" customHeight="1" x14ac:dyDescent="0.3">
      <c r="A19" s="146">
        <v>4861822068</v>
      </c>
      <c r="B19" s="93" t="s">
        <v>221</v>
      </c>
      <c r="C19" s="93" t="s">
        <v>222</v>
      </c>
      <c r="D19" s="93" t="s">
        <v>221</v>
      </c>
      <c r="E19" s="145" t="s">
        <v>329</v>
      </c>
      <c r="F19" s="145" t="s">
        <v>240</v>
      </c>
      <c r="G19" s="145" t="s">
        <v>300</v>
      </c>
      <c r="H19" s="70">
        <v>43902</v>
      </c>
      <c r="I19" s="145" t="s">
        <v>330</v>
      </c>
      <c r="J19" s="170" t="s">
        <v>225</v>
      </c>
      <c r="K19" s="145" t="s">
        <v>226</v>
      </c>
      <c r="L19" s="145" t="s">
        <v>226</v>
      </c>
      <c r="M19" s="145" t="s">
        <v>226</v>
      </c>
      <c r="N19" s="145" t="s">
        <v>226</v>
      </c>
      <c r="O19" s="145" t="s">
        <v>226</v>
      </c>
      <c r="P19" s="70" t="s">
        <v>226</v>
      </c>
      <c r="Q19" s="93" t="s">
        <v>226</v>
      </c>
      <c r="R19" s="97" t="s">
        <v>226</v>
      </c>
      <c r="S19" s="97" t="s">
        <v>226</v>
      </c>
      <c r="T19" s="97" t="s">
        <v>226</v>
      </c>
      <c r="U19" s="97" t="s">
        <v>226</v>
      </c>
      <c r="V19" s="93" t="s">
        <v>226</v>
      </c>
      <c r="W19" s="97" t="s">
        <v>226</v>
      </c>
      <c r="X19" s="97" t="s">
        <v>226</v>
      </c>
      <c r="Y19" s="97" t="s">
        <v>226</v>
      </c>
      <c r="Z19" s="97" t="s">
        <v>226</v>
      </c>
      <c r="AA19" s="93" t="s">
        <v>226</v>
      </c>
      <c r="AB19" s="97" t="s">
        <v>226</v>
      </c>
      <c r="AC19" s="97" t="s">
        <v>226</v>
      </c>
      <c r="AD19" s="97" t="s">
        <v>226</v>
      </c>
      <c r="AE19" s="97" t="s">
        <v>226</v>
      </c>
      <c r="AF19" s="93" t="s">
        <v>226</v>
      </c>
      <c r="AG19" s="97" t="s">
        <v>226</v>
      </c>
      <c r="AH19" s="97" t="s">
        <v>226</v>
      </c>
      <c r="AI19" s="97" t="s">
        <v>226</v>
      </c>
      <c r="AJ19" s="97" t="s">
        <v>226</v>
      </c>
      <c r="AK19" s="93" t="s">
        <v>226</v>
      </c>
      <c r="AL19" s="97" t="s">
        <v>226</v>
      </c>
      <c r="AM19" s="97" t="s">
        <v>226</v>
      </c>
      <c r="AN19" s="97" t="s">
        <v>226</v>
      </c>
      <c r="AO19" s="97" t="s">
        <v>226</v>
      </c>
      <c r="AP19" s="93" t="s">
        <v>226</v>
      </c>
      <c r="AQ19" s="106" t="s">
        <v>227</v>
      </c>
      <c r="AR19" s="69">
        <v>22370</v>
      </c>
      <c r="AS19" s="70">
        <v>43859</v>
      </c>
      <c r="AT19" s="149">
        <f t="shared" si="0"/>
        <v>58</v>
      </c>
      <c r="AU19" s="149" t="s">
        <v>252</v>
      </c>
      <c r="AV19" s="93" t="s">
        <v>229</v>
      </c>
      <c r="AW19" s="93" t="s">
        <v>230</v>
      </c>
      <c r="AX19" s="150" t="s">
        <v>265</v>
      </c>
      <c r="AY19" s="151" t="s">
        <v>232</v>
      </c>
      <c r="AZ19" s="150" t="s">
        <v>232</v>
      </c>
      <c r="BA19" s="150">
        <v>0</v>
      </c>
      <c r="BB19" s="93" t="s">
        <v>266</v>
      </c>
      <c r="BC19" s="152">
        <v>1</v>
      </c>
      <c r="BD19" s="153" t="s">
        <v>234</v>
      </c>
      <c r="BE19" s="93" t="s">
        <v>267</v>
      </c>
      <c r="BF19" s="153" t="s">
        <v>221</v>
      </c>
      <c r="BG19" s="154" t="s">
        <v>226</v>
      </c>
      <c r="BH19" s="155" t="s">
        <v>226</v>
      </c>
      <c r="BI19" s="155" t="s">
        <v>226</v>
      </c>
      <c r="BJ19" s="155" t="s">
        <v>226</v>
      </c>
      <c r="BK19" s="155" t="s">
        <v>226</v>
      </c>
      <c r="BL19" s="155" t="s">
        <v>226</v>
      </c>
      <c r="BM19" s="155" t="s">
        <v>226</v>
      </c>
      <c r="BN19" s="155" t="s">
        <v>226</v>
      </c>
      <c r="BO19" s="155" t="s">
        <v>226</v>
      </c>
      <c r="BP19" s="155" t="s">
        <v>226</v>
      </c>
      <c r="BQ19" s="155" t="s">
        <v>226</v>
      </c>
      <c r="BR19" s="155" t="s">
        <v>226</v>
      </c>
      <c r="BS19" s="155" t="s">
        <v>226</v>
      </c>
      <c r="BT19" s="155" t="s">
        <v>226</v>
      </c>
      <c r="BU19" s="155" t="s">
        <v>226</v>
      </c>
      <c r="BV19" s="155" t="s">
        <v>226</v>
      </c>
      <c r="BW19" s="155" t="s">
        <v>226</v>
      </c>
      <c r="BX19" s="155" t="s">
        <v>226</v>
      </c>
      <c r="BY19" s="155" t="s">
        <v>226</v>
      </c>
      <c r="BZ19" s="155" t="s">
        <v>226</v>
      </c>
      <c r="CA19" s="155" t="s">
        <v>226</v>
      </c>
      <c r="CB19" s="155" t="s">
        <v>226</v>
      </c>
      <c r="CC19" s="155" t="s">
        <v>226</v>
      </c>
      <c r="CD19" s="155" t="s">
        <v>226</v>
      </c>
      <c r="CE19" s="155" t="s">
        <v>226</v>
      </c>
      <c r="CF19" s="155" t="s">
        <v>226</v>
      </c>
      <c r="CG19" s="155" t="s">
        <v>226</v>
      </c>
      <c r="CH19" s="155" t="s">
        <v>226</v>
      </c>
      <c r="CI19" s="155" t="s">
        <v>226</v>
      </c>
      <c r="CJ19" s="155" t="s">
        <v>226</v>
      </c>
      <c r="CK19" s="155" t="s">
        <v>226</v>
      </c>
      <c r="CL19" s="155" t="s">
        <v>226</v>
      </c>
      <c r="CM19" s="155" t="s">
        <v>226</v>
      </c>
      <c r="CN19" s="145" t="s">
        <v>226</v>
      </c>
      <c r="CO19" s="145" t="s">
        <v>226</v>
      </c>
      <c r="CP19" s="145" t="s">
        <v>226</v>
      </c>
      <c r="CQ19" s="145" t="s">
        <v>226</v>
      </c>
      <c r="CR19" s="145" t="s">
        <v>226</v>
      </c>
      <c r="CS19" s="145" t="s">
        <v>226</v>
      </c>
      <c r="CT19" s="145" t="s">
        <v>226</v>
      </c>
      <c r="CU19" s="145" t="s">
        <v>226</v>
      </c>
      <c r="CV19" s="145" t="s">
        <v>226</v>
      </c>
      <c r="CW19" s="145" t="s">
        <v>226</v>
      </c>
      <c r="CX19" s="145" t="s">
        <v>226</v>
      </c>
      <c r="CY19" s="145" t="s">
        <v>226</v>
      </c>
      <c r="CZ19" s="145" t="s">
        <v>226</v>
      </c>
      <c r="DA19" s="145" t="s">
        <v>226</v>
      </c>
      <c r="DB19" s="145" t="s">
        <v>226</v>
      </c>
      <c r="DC19" s="145" t="s">
        <v>226</v>
      </c>
      <c r="DD19" s="145" t="s">
        <v>226</v>
      </c>
      <c r="DE19" s="145" t="s">
        <v>226</v>
      </c>
      <c r="DF19" s="145" t="s">
        <v>226</v>
      </c>
      <c r="DG19" s="145" t="s">
        <v>226</v>
      </c>
      <c r="DH19" s="145" t="s">
        <v>226</v>
      </c>
      <c r="DI19" s="145" t="s">
        <v>226</v>
      </c>
      <c r="DJ19" s="145" t="s">
        <v>226</v>
      </c>
      <c r="DK19" s="145" t="s">
        <v>226</v>
      </c>
      <c r="DL19" s="145" t="s">
        <v>226</v>
      </c>
      <c r="DM19" s="145" t="s">
        <v>226</v>
      </c>
      <c r="DN19" s="145" t="s">
        <v>226</v>
      </c>
      <c r="DO19" s="145" t="s">
        <v>226</v>
      </c>
      <c r="DP19" s="145" t="s">
        <v>226</v>
      </c>
      <c r="DQ19" s="145" t="s">
        <v>226</v>
      </c>
      <c r="DR19" s="145" t="s">
        <v>226</v>
      </c>
      <c r="DS19" s="145" t="s">
        <v>226</v>
      </c>
      <c r="DT19" s="145" t="s">
        <v>226</v>
      </c>
      <c r="DU19" s="145" t="s">
        <v>226</v>
      </c>
      <c r="DV19" s="145" t="s">
        <v>226</v>
      </c>
      <c r="DW19" s="145" t="s">
        <v>226</v>
      </c>
      <c r="DX19" s="145" t="s">
        <v>226</v>
      </c>
      <c r="DY19" s="145" t="s">
        <v>226</v>
      </c>
      <c r="DZ19" s="145" t="s">
        <v>226</v>
      </c>
      <c r="EA19" s="145" t="s">
        <v>226</v>
      </c>
      <c r="EB19" s="145" t="s">
        <v>226</v>
      </c>
      <c r="EC19" s="145" t="s">
        <v>226</v>
      </c>
      <c r="ED19" s="145" t="s">
        <v>226</v>
      </c>
      <c r="EE19" s="145" t="s">
        <v>226</v>
      </c>
      <c r="EF19" s="145" t="s">
        <v>226</v>
      </c>
      <c r="EG19" s="145" t="s">
        <v>226</v>
      </c>
      <c r="EH19" s="145" t="s">
        <v>226</v>
      </c>
      <c r="EI19" s="145" t="s">
        <v>226</v>
      </c>
      <c r="EJ19" s="145" t="s">
        <v>226</v>
      </c>
      <c r="EK19" s="145" t="s">
        <v>226</v>
      </c>
      <c r="EL19" s="145" t="s">
        <v>226</v>
      </c>
      <c r="EM19" s="145" t="s">
        <v>226</v>
      </c>
      <c r="EN19" s="145" t="s">
        <v>226</v>
      </c>
      <c r="EO19" s="145" t="s">
        <v>226</v>
      </c>
      <c r="EP19" s="145" t="s">
        <v>226</v>
      </c>
      <c r="EQ19" s="145" t="s">
        <v>226</v>
      </c>
      <c r="ER19" s="145" t="s">
        <v>226</v>
      </c>
      <c r="ES19" s="145" t="s">
        <v>226</v>
      </c>
      <c r="ET19" s="145" t="s">
        <v>226</v>
      </c>
      <c r="EU19" s="145" t="s">
        <v>226</v>
      </c>
      <c r="EV19" s="145" t="s">
        <v>226</v>
      </c>
      <c r="EW19" s="145" t="s">
        <v>226</v>
      </c>
      <c r="EX19" s="145" t="s">
        <v>226</v>
      </c>
      <c r="EY19" s="106" t="s">
        <v>226</v>
      </c>
      <c r="EZ19" s="145" t="s">
        <v>226</v>
      </c>
      <c r="FA19" s="145" t="s">
        <v>226</v>
      </c>
      <c r="FB19" s="106" t="s">
        <v>226</v>
      </c>
      <c r="FC19" s="145" t="s">
        <v>226</v>
      </c>
      <c r="FD19" s="145" t="s">
        <v>226</v>
      </c>
      <c r="FE19" s="155" t="s">
        <v>226</v>
      </c>
      <c r="FF19" s="155" t="s">
        <v>226</v>
      </c>
      <c r="FG19" s="155" t="s">
        <v>226</v>
      </c>
      <c r="FH19" s="155" t="s">
        <v>226</v>
      </c>
      <c r="FI19" s="155" t="s">
        <v>226</v>
      </c>
      <c r="FJ19" s="155" t="s">
        <v>226</v>
      </c>
      <c r="FK19" s="155" t="s">
        <v>226</v>
      </c>
      <c r="FL19" s="155" t="s">
        <v>226</v>
      </c>
      <c r="FM19" s="155" t="s">
        <v>226</v>
      </c>
      <c r="FN19" s="155" t="s">
        <v>226</v>
      </c>
      <c r="FO19" s="155" t="s">
        <v>226</v>
      </c>
      <c r="FP19" s="155" t="s">
        <v>226</v>
      </c>
      <c r="FQ19" s="155" t="s">
        <v>226</v>
      </c>
      <c r="FR19" s="155" t="s">
        <v>226</v>
      </c>
      <c r="FS19" s="155" t="s">
        <v>226</v>
      </c>
      <c r="FT19" s="155" t="s">
        <v>226</v>
      </c>
      <c r="FU19" s="155" t="s">
        <v>226</v>
      </c>
      <c r="FV19" s="155" t="s">
        <v>226</v>
      </c>
      <c r="FW19" s="155" t="s">
        <v>226</v>
      </c>
      <c r="FX19" s="155" t="s">
        <v>226</v>
      </c>
      <c r="FY19" s="155" t="s">
        <v>226</v>
      </c>
      <c r="FZ19" s="155" t="s">
        <v>226</v>
      </c>
      <c r="GA19" s="155" t="s">
        <v>226</v>
      </c>
      <c r="GB19" s="155" t="s">
        <v>226</v>
      </c>
      <c r="GC19" s="155" t="s">
        <v>226</v>
      </c>
      <c r="GD19" s="155" t="s">
        <v>226</v>
      </c>
      <c r="GE19" s="155" t="s">
        <v>226</v>
      </c>
      <c r="GF19" s="150" t="s">
        <v>256</v>
      </c>
      <c r="GG19" s="70" t="s">
        <v>226</v>
      </c>
      <c r="GH19" s="93" t="s">
        <v>226</v>
      </c>
      <c r="GI19" s="145" t="s">
        <v>226</v>
      </c>
      <c r="GJ19" s="70">
        <v>44049</v>
      </c>
      <c r="GK19" s="70">
        <v>45941</v>
      </c>
      <c r="GL19" s="70" t="s">
        <v>226</v>
      </c>
      <c r="GM19" s="159" t="str">
        <f t="shared" si="1"/>
        <v>N/A</v>
      </c>
      <c r="GN19" s="159" t="str">
        <f t="shared" si="2"/>
        <v>N/A</v>
      </c>
      <c r="GO19" s="159">
        <f t="shared" si="3"/>
        <v>1.4333333333333333</v>
      </c>
      <c r="GP19" s="159" t="str">
        <f t="shared" si="4"/>
        <v>N/A</v>
      </c>
      <c r="GQ19" s="159" t="str">
        <f t="shared" si="5"/>
        <v>N/A</v>
      </c>
      <c r="GR19" s="159" t="str">
        <f t="shared" si="6"/>
        <v>N/A</v>
      </c>
      <c r="GS19" s="159" t="str">
        <f t="shared" si="7"/>
        <v>N/A</v>
      </c>
      <c r="GT19" s="159" t="str">
        <f t="shared" si="8"/>
        <v>N/A</v>
      </c>
      <c r="GU19" s="159" t="str">
        <f t="shared" si="9"/>
        <v>N/A</v>
      </c>
      <c r="GV19" s="159" t="str">
        <f t="shared" si="10"/>
        <v>N/A</v>
      </c>
      <c r="GW19" s="159" t="str">
        <f t="shared" si="11"/>
        <v>N/A</v>
      </c>
      <c r="GX19" s="159" t="str">
        <f t="shared" si="12"/>
        <v>N/A</v>
      </c>
      <c r="GY19" s="159" t="str">
        <f t="shared" si="13"/>
        <v>N/A</v>
      </c>
      <c r="GZ19" s="159" t="str">
        <f t="shared" si="14"/>
        <v>N/A</v>
      </c>
      <c r="HA19" s="159" t="str">
        <f t="shared" si="15"/>
        <v>N/A</v>
      </c>
      <c r="HB19" s="159" t="str">
        <f t="shared" si="16"/>
        <v>N/A</v>
      </c>
      <c r="HC19" s="159" t="str">
        <f t="shared" si="17"/>
        <v>N/A</v>
      </c>
      <c r="HD19" s="159">
        <f t="shared" si="18"/>
        <v>6.333333333333333</v>
      </c>
      <c r="HE19" s="159">
        <f t="shared" si="19"/>
        <v>69.400000000000006</v>
      </c>
      <c r="HF19" s="160">
        <f t="shared" si="20"/>
        <v>69.400000000000006</v>
      </c>
      <c r="HG19" s="160" cm="1">
        <f t="array" ref="HG19">INDEX($HB19:$HD19,MATCH(TRUE,INDEX(ISNUMBER($HB19:$HD19),0),0))</f>
        <v>6.333333333333333</v>
      </c>
      <c r="HH19" s="161">
        <f t="shared" si="21"/>
        <v>0</v>
      </c>
      <c r="HI19" s="108">
        <f t="shared" si="22"/>
        <v>0</v>
      </c>
      <c r="HJ19" s="91">
        <f t="shared" si="23"/>
        <v>0</v>
      </c>
      <c r="HK19" s="205" t="str">
        <f t="shared" si="24"/>
        <v>0</v>
      </c>
    </row>
    <row r="20" spans="1:219" s="72" customFormat="1" ht="15" customHeight="1" x14ac:dyDescent="0.3">
      <c r="A20" s="176">
        <v>4506212630</v>
      </c>
      <c r="B20" s="177" t="s">
        <v>221</v>
      </c>
      <c r="C20" s="177" t="s">
        <v>222</v>
      </c>
      <c r="D20" s="177" t="s">
        <v>221</v>
      </c>
      <c r="E20" s="178" t="s">
        <v>331</v>
      </c>
      <c r="F20" s="177" t="s">
        <v>332</v>
      </c>
      <c r="G20" s="178" t="s">
        <v>226</v>
      </c>
      <c r="H20" s="179">
        <v>43917</v>
      </c>
      <c r="I20" s="180" t="s">
        <v>333</v>
      </c>
      <c r="J20" s="180" t="s">
        <v>334</v>
      </c>
      <c r="K20" s="178" t="s">
        <v>226</v>
      </c>
      <c r="L20" s="178" t="s">
        <v>226</v>
      </c>
      <c r="M20" s="178" t="s">
        <v>226</v>
      </c>
      <c r="N20" s="178" t="s">
        <v>226</v>
      </c>
      <c r="O20" s="178" t="s">
        <v>226</v>
      </c>
      <c r="P20" s="179" t="s">
        <v>226</v>
      </c>
      <c r="Q20" s="177" t="s">
        <v>226</v>
      </c>
      <c r="R20" s="181" t="s">
        <v>226</v>
      </c>
      <c r="S20" s="181" t="s">
        <v>226</v>
      </c>
      <c r="T20" s="181" t="s">
        <v>226</v>
      </c>
      <c r="U20" s="181" t="s">
        <v>226</v>
      </c>
      <c r="V20" s="177" t="s">
        <v>226</v>
      </c>
      <c r="W20" s="181" t="s">
        <v>226</v>
      </c>
      <c r="X20" s="181" t="s">
        <v>226</v>
      </c>
      <c r="Y20" s="181" t="s">
        <v>226</v>
      </c>
      <c r="Z20" s="181" t="s">
        <v>226</v>
      </c>
      <c r="AA20" s="177" t="s">
        <v>226</v>
      </c>
      <c r="AB20" s="181" t="s">
        <v>226</v>
      </c>
      <c r="AC20" s="181" t="s">
        <v>226</v>
      </c>
      <c r="AD20" s="181" t="s">
        <v>226</v>
      </c>
      <c r="AE20" s="181" t="s">
        <v>226</v>
      </c>
      <c r="AF20" s="177" t="s">
        <v>226</v>
      </c>
      <c r="AG20" s="181" t="s">
        <v>226</v>
      </c>
      <c r="AH20" s="181" t="s">
        <v>226</v>
      </c>
      <c r="AI20" s="181" t="s">
        <v>226</v>
      </c>
      <c r="AJ20" s="181" t="s">
        <v>226</v>
      </c>
      <c r="AK20" s="177" t="s">
        <v>226</v>
      </c>
      <c r="AL20" s="181" t="s">
        <v>226</v>
      </c>
      <c r="AM20" s="181" t="s">
        <v>226</v>
      </c>
      <c r="AN20" s="181" t="s">
        <v>226</v>
      </c>
      <c r="AO20" s="181" t="s">
        <v>226</v>
      </c>
      <c r="AP20" s="177" t="s">
        <v>226</v>
      </c>
      <c r="AQ20" s="182" t="s">
        <v>227</v>
      </c>
      <c r="AR20" s="183">
        <v>21821</v>
      </c>
      <c r="AS20" s="179">
        <v>43887</v>
      </c>
      <c r="AT20" s="184">
        <f t="shared" si="0"/>
        <v>60</v>
      </c>
      <c r="AU20" s="180" t="s">
        <v>291</v>
      </c>
      <c r="AV20" s="177" t="s">
        <v>229</v>
      </c>
      <c r="AW20" s="177" t="s">
        <v>232</v>
      </c>
      <c r="AX20" s="185" t="s">
        <v>232</v>
      </c>
      <c r="AY20" s="185" t="s">
        <v>232</v>
      </c>
      <c r="AZ20" s="185" t="s">
        <v>232</v>
      </c>
      <c r="BA20" s="185" t="s">
        <v>232</v>
      </c>
      <c r="BB20" s="177" t="s">
        <v>226</v>
      </c>
      <c r="BC20" s="186">
        <v>2</v>
      </c>
      <c r="BD20" s="187" t="s">
        <v>234</v>
      </c>
      <c r="BE20" s="177"/>
      <c r="BF20" s="187" t="s">
        <v>221</v>
      </c>
      <c r="BG20" s="154" t="s">
        <v>226</v>
      </c>
      <c r="BH20" s="155" t="s">
        <v>226</v>
      </c>
      <c r="BI20" s="155" t="s">
        <v>226</v>
      </c>
      <c r="BJ20" s="155" t="s">
        <v>226</v>
      </c>
      <c r="BK20" s="155" t="s">
        <v>226</v>
      </c>
      <c r="BL20" s="155" t="s">
        <v>226</v>
      </c>
      <c r="BM20" s="155" t="s">
        <v>226</v>
      </c>
      <c r="BN20" s="155" t="s">
        <v>226</v>
      </c>
      <c r="BO20" s="155" t="s">
        <v>226</v>
      </c>
      <c r="BP20" s="155" t="s">
        <v>226</v>
      </c>
      <c r="BQ20" s="155" t="s">
        <v>226</v>
      </c>
      <c r="BR20" s="155" t="s">
        <v>226</v>
      </c>
      <c r="BS20" s="155" t="s">
        <v>226</v>
      </c>
      <c r="BT20" s="155" t="s">
        <v>226</v>
      </c>
      <c r="BU20" s="155" t="s">
        <v>226</v>
      </c>
      <c r="BV20" s="155" t="s">
        <v>226</v>
      </c>
      <c r="BW20" s="155" t="s">
        <v>226</v>
      </c>
      <c r="BX20" s="155" t="s">
        <v>226</v>
      </c>
      <c r="BY20" s="155" t="s">
        <v>226</v>
      </c>
      <c r="BZ20" s="155" t="s">
        <v>226</v>
      </c>
      <c r="CA20" s="155" t="s">
        <v>226</v>
      </c>
      <c r="CB20" s="155" t="s">
        <v>226</v>
      </c>
      <c r="CC20" s="155" t="s">
        <v>226</v>
      </c>
      <c r="CD20" s="155" t="s">
        <v>226</v>
      </c>
      <c r="CE20" s="155" t="s">
        <v>226</v>
      </c>
      <c r="CF20" s="155" t="s">
        <v>226</v>
      </c>
      <c r="CG20" s="155" t="s">
        <v>226</v>
      </c>
      <c r="CH20" s="155" t="s">
        <v>226</v>
      </c>
      <c r="CI20" s="155" t="s">
        <v>226</v>
      </c>
      <c r="CJ20" s="155" t="s">
        <v>226</v>
      </c>
      <c r="CK20" s="155" t="s">
        <v>226</v>
      </c>
      <c r="CL20" s="155" t="s">
        <v>226</v>
      </c>
      <c r="CM20" s="155" t="s">
        <v>226</v>
      </c>
      <c r="CN20" s="182"/>
      <c r="CO20" s="178"/>
      <c r="CP20" s="179"/>
      <c r="CQ20" s="179"/>
      <c r="CR20" s="178"/>
      <c r="CS20" s="182"/>
      <c r="CT20" s="178"/>
      <c r="CU20" s="178"/>
      <c r="CV20" s="182"/>
      <c r="CW20" s="178"/>
      <c r="CX20" s="178"/>
      <c r="CY20" s="155" t="s">
        <v>226</v>
      </c>
      <c r="CZ20" s="155" t="s">
        <v>226</v>
      </c>
      <c r="DA20" s="155" t="s">
        <v>226</v>
      </c>
      <c r="DB20" s="155" t="s">
        <v>226</v>
      </c>
      <c r="DC20" s="155" t="s">
        <v>226</v>
      </c>
      <c r="DD20" s="155" t="s">
        <v>226</v>
      </c>
      <c r="DE20" s="155" t="s">
        <v>226</v>
      </c>
      <c r="DF20" s="155" t="s">
        <v>226</v>
      </c>
      <c r="DG20" s="155" t="s">
        <v>226</v>
      </c>
      <c r="DH20" s="155" t="s">
        <v>226</v>
      </c>
      <c r="DI20" s="155" t="s">
        <v>226</v>
      </c>
      <c r="DJ20" s="155" t="s">
        <v>226</v>
      </c>
      <c r="DK20" s="155" t="s">
        <v>226</v>
      </c>
      <c r="DL20" s="155" t="s">
        <v>226</v>
      </c>
      <c r="DM20" s="155" t="s">
        <v>226</v>
      </c>
      <c r="DN20" s="155" t="s">
        <v>226</v>
      </c>
      <c r="DO20" s="155" t="s">
        <v>226</v>
      </c>
      <c r="DP20" s="155" t="s">
        <v>226</v>
      </c>
      <c r="DQ20" s="155" t="s">
        <v>226</v>
      </c>
      <c r="DR20" s="155" t="s">
        <v>226</v>
      </c>
      <c r="DS20" s="155" t="s">
        <v>226</v>
      </c>
      <c r="DT20" s="155" t="s">
        <v>226</v>
      </c>
      <c r="DU20" s="155" t="s">
        <v>226</v>
      </c>
      <c r="DV20" s="155" t="s">
        <v>226</v>
      </c>
      <c r="DW20" s="155" t="s">
        <v>226</v>
      </c>
      <c r="DX20" s="155" t="s">
        <v>226</v>
      </c>
      <c r="DY20" s="155" t="s">
        <v>226</v>
      </c>
      <c r="DZ20" s="155" t="s">
        <v>226</v>
      </c>
      <c r="EA20" s="155" t="s">
        <v>226</v>
      </c>
      <c r="EB20" s="155" t="s">
        <v>226</v>
      </c>
      <c r="EC20" s="155" t="s">
        <v>226</v>
      </c>
      <c r="ED20" s="155" t="s">
        <v>226</v>
      </c>
      <c r="EE20" s="155" t="s">
        <v>226</v>
      </c>
      <c r="EF20" s="155" t="s">
        <v>226</v>
      </c>
      <c r="EG20" s="155" t="s">
        <v>226</v>
      </c>
      <c r="EH20" s="155" t="s">
        <v>226</v>
      </c>
      <c r="EI20" s="179"/>
      <c r="EJ20" s="178"/>
      <c r="EK20" s="182"/>
      <c r="EL20" s="178"/>
      <c r="EM20" s="179"/>
      <c r="EN20" s="179"/>
      <c r="EO20" s="178"/>
      <c r="EP20" s="182"/>
      <c r="EQ20" s="178"/>
      <c r="ER20" s="178"/>
      <c r="ES20" s="182"/>
      <c r="ET20" s="178"/>
      <c r="EU20" s="178"/>
      <c r="EV20" s="182"/>
      <c r="EW20" s="178"/>
      <c r="EX20" s="178"/>
      <c r="EY20" s="106" t="s">
        <v>226</v>
      </c>
      <c r="EZ20" s="145" t="s">
        <v>226</v>
      </c>
      <c r="FA20" s="145" t="s">
        <v>226</v>
      </c>
      <c r="FB20" s="106" t="s">
        <v>226</v>
      </c>
      <c r="FC20" s="145" t="s">
        <v>226</v>
      </c>
      <c r="FD20" s="145" t="s">
        <v>226</v>
      </c>
      <c r="FE20" s="155" t="s">
        <v>226</v>
      </c>
      <c r="FF20" s="155" t="s">
        <v>226</v>
      </c>
      <c r="FG20" s="155" t="s">
        <v>226</v>
      </c>
      <c r="FH20" s="155" t="s">
        <v>226</v>
      </c>
      <c r="FI20" s="155" t="s">
        <v>226</v>
      </c>
      <c r="FJ20" s="155" t="s">
        <v>226</v>
      </c>
      <c r="FK20" s="155" t="s">
        <v>226</v>
      </c>
      <c r="FL20" s="155" t="s">
        <v>226</v>
      </c>
      <c r="FM20" s="155" t="s">
        <v>226</v>
      </c>
      <c r="FN20" s="155" t="s">
        <v>226</v>
      </c>
      <c r="FO20" s="155" t="s">
        <v>226</v>
      </c>
      <c r="FP20" s="155" t="s">
        <v>226</v>
      </c>
      <c r="FQ20" s="155" t="s">
        <v>226</v>
      </c>
      <c r="FR20" s="155" t="s">
        <v>226</v>
      </c>
      <c r="FS20" s="155" t="s">
        <v>226</v>
      </c>
      <c r="FT20" s="155" t="s">
        <v>226</v>
      </c>
      <c r="FU20" s="155" t="s">
        <v>226</v>
      </c>
      <c r="FV20" s="155" t="s">
        <v>226</v>
      </c>
      <c r="FW20" s="155" t="s">
        <v>226</v>
      </c>
      <c r="FX20" s="155" t="s">
        <v>226</v>
      </c>
      <c r="FY20" s="155" t="s">
        <v>226</v>
      </c>
      <c r="FZ20" s="155" t="s">
        <v>226</v>
      </c>
      <c r="GA20" s="155" t="s">
        <v>226</v>
      </c>
      <c r="GB20" s="155" t="s">
        <v>226</v>
      </c>
      <c r="GC20" s="155" t="s">
        <v>226</v>
      </c>
      <c r="GD20" s="155" t="s">
        <v>226</v>
      </c>
      <c r="GE20" s="155" t="s">
        <v>226</v>
      </c>
      <c r="GF20" s="185"/>
      <c r="GG20" s="179"/>
      <c r="GH20" s="177"/>
      <c r="GI20" s="178"/>
      <c r="GJ20" s="179"/>
      <c r="GK20" s="179"/>
      <c r="GL20" s="179"/>
      <c r="GM20" s="188" t="str">
        <f t="shared" si="1"/>
        <v>N/A</v>
      </c>
      <c r="GN20" s="188" t="str">
        <f t="shared" si="2"/>
        <v>N/A</v>
      </c>
      <c r="GO20" s="188">
        <f t="shared" si="3"/>
        <v>1</v>
      </c>
      <c r="GP20" s="188" t="str">
        <f t="shared" si="4"/>
        <v>N/A</v>
      </c>
      <c r="GQ20" s="188" t="str">
        <f t="shared" si="5"/>
        <v>N/A</v>
      </c>
      <c r="GR20" s="188" t="str">
        <f t="shared" si="6"/>
        <v>N/A</v>
      </c>
      <c r="GS20" s="188" t="str">
        <f t="shared" si="7"/>
        <v>N/A</v>
      </c>
      <c r="GT20" s="188" t="str">
        <f t="shared" si="8"/>
        <v>N/A</v>
      </c>
      <c r="GU20" s="188" t="str">
        <f t="shared" si="9"/>
        <v>N/A</v>
      </c>
      <c r="GV20" s="188" t="str">
        <f t="shared" si="10"/>
        <v>N/A</v>
      </c>
      <c r="GW20" s="188">
        <f t="shared" si="11"/>
        <v>-1462.9</v>
      </c>
      <c r="GX20" s="188">
        <f t="shared" si="12"/>
        <v>-1462.9</v>
      </c>
      <c r="GY20" s="188">
        <f t="shared" si="13"/>
        <v>-1462.9</v>
      </c>
      <c r="GZ20" s="188">
        <f t="shared" si="14"/>
        <v>-1462.9</v>
      </c>
      <c r="HA20" s="188">
        <f t="shared" si="15"/>
        <v>-1462.9</v>
      </c>
      <c r="HB20" s="188">
        <f t="shared" si="16"/>
        <v>-1462.9</v>
      </c>
      <c r="HC20" s="188">
        <f t="shared" si="17"/>
        <v>-1462.9</v>
      </c>
      <c r="HD20" s="188">
        <f t="shared" si="18"/>
        <v>-1462.9</v>
      </c>
      <c r="HE20" s="188">
        <f t="shared" si="19"/>
        <v>-1462.9</v>
      </c>
      <c r="HF20" s="189">
        <f t="shared" si="20"/>
        <v>-2925.8</v>
      </c>
      <c r="HG20" s="189" cm="1">
        <f t="array" ref="HG20">INDEX($HB20:$HD20,MATCH(TRUE,INDEX(ISNUMBER($HB20:$HD20),0),0))</f>
        <v>-1462.9</v>
      </c>
      <c r="HH20" s="190">
        <f t="shared" si="21"/>
        <v>1</v>
      </c>
      <c r="HI20" s="191">
        <f t="shared" si="22"/>
        <v>0</v>
      </c>
      <c r="HJ20" s="92">
        <f t="shared" si="23"/>
        <v>1</v>
      </c>
      <c r="HK20" s="207" t="str">
        <f t="shared" si="24"/>
        <v>1</v>
      </c>
    </row>
    <row r="21" spans="1:219" ht="15" customHeight="1" x14ac:dyDescent="0.3">
      <c r="A21" s="146">
        <v>4382089506</v>
      </c>
      <c r="B21" s="93" t="s">
        <v>221</v>
      </c>
      <c r="C21" s="93" t="s">
        <v>222</v>
      </c>
      <c r="D21" s="93" t="s">
        <v>221</v>
      </c>
      <c r="E21" s="145" t="s">
        <v>335</v>
      </c>
      <c r="F21" s="145" t="s">
        <v>241</v>
      </c>
      <c r="G21" s="145" t="s">
        <v>336</v>
      </c>
      <c r="H21" s="70">
        <v>43923</v>
      </c>
      <c r="I21" s="147" t="s">
        <v>337</v>
      </c>
      <c r="J21" s="170" t="s">
        <v>225</v>
      </c>
      <c r="K21" s="145" t="s">
        <v>226</v>
      </c>
      <c r="L21" s="145" t="s">
        <v>226</v>
      </c>
      <c r="M21" s="145" t="s">
        <v>226</v>
      </c>
      <c r="N21" s="145" t="s">
        <v>226</v>
      </c>
      <c r="O21" s="145" t="s">
        <v>226</v>
      </c>
      <c r="P21" s="70" t="s">
        <v>226</v>
      </c>
      <c r="Q21" s="93" t="s">
        <v>226</v>
      </c>
      <c r="R21" s="97" t="s">
        <v>226</v>
      </c>
      <c r="S21" s="97" t="s">
        <v>226</v>
      </c>
      <c r="T21" s="97" t="s">
        <v>226</v>
      </c>
      <c r="U21" s="97" t="s">
        <v>226</v>
      </c>
      <c r="V21" s="93" t="s">
        <v>226</v>
      </c>
      <c r="W21" s="97" t="s">
        <v>226</v>
      </c>
      <c r="X21" s="97" t="s">
        <v>226</v>
      </c>
      <c r="Y21" s="97" t="s">
        <v>226</v>
      </c>
      <c r="Z21" s="97" t="s">
        <v>226</v>
      </c>
      <c r="AA21" s="93" t="s">
        <v>226</v>
      </c>
      <c r="AB21" s="97" t="s">
        <v>226</v>
      </c>
      <c r="AC21" s="97" t="s">
        <v>226</v>
      </c>
      <c r="AD21" s="97" t="s">
        <v>226</v>
      </c>
      <c r="AE21" s="97" t="s">
        <v>226</v>
      </c>
      <c r="AF21" s="93" t="s">
        <v>226</v>
      </c>
      <c r="AG21" s="97" t="s">
        <v>226</v>
      </c>
      <c r="AH21" s="97" t="s">
        <v>226</v>
      </c>
      <c r="AI21" s="97" t="s">
        <v>226</v>
      </c>
      <c r="AJ21" s="97" t="s">
        <v>226</v>
      </c>
      <c r="AK21" s="93" t="s">
        <v>226</v>
      </c>
      <c r="AL21" s="97" t="s">
        <v>226</v>
      </c>
      <c r="AM21" s="97" t="s">
        <v>226</v>
      </c>
      <c r="AN21" s="97" t="s">
        <v>226</v>
      </c>
      <c r="AO21" s="97" t="s">
        <v>226</v>
      </c>
      <c r="AP21" s="93" t="s">
        <v>226</v>
      </c>
      <c r="AQ21" s="106" t="s">
        <v>227</v>
      </c>
      <c r="AR21" s="69">
        <v>16746</v>
      </c>
      <c r="AS21" s="70">
        <v>43859</v>
      </c>
      <c r="AT21" s="149">
        <f t="shared" si="0"/>
        <v>74</v>
      </c>
      <c r="AU21" s="147" t="s">
        <v>291</v>
      </c>
      <c r="AV21" s="93" t="s">
        <v>229</v>
      </c>
      <c r="AW21" s="93" t="s">
        <v>221</v>
      </c>
      <c r="AX21" s="150">
        <v>2</v>
      </c>
      <c r="AY21" s="150">
        <v>0</v>
      </c>
      <c r="AZ21" s="150" t="s">
        <v>232</v>
      </c>
      <c r="BA21" s="150">
        <v>0</v>
      </c>
      <c r="BB21" s="93" t="s">
        <v>253</v>
      </c>
      <c r="BC21" s="152">
        <v>3</v>
      </c>
      <c r="BD21" s="153" t="s">
        <v>234</v>
      </c>
      <c r="BE21" s="93" t="s">
        <v>254</v>
      </c>
      <c r="BF21" s="153" t="s">
        <v>221</v>
      </c>
      <c r="BG21" s="154" t="s">
        <v>226</v>
      </c>
      <c r="BH21" s="155" t="s">
        <v>226</v>
      </c>
      <c r="BI21" s="155" t="s">
        <v>226</v>
      </c>
      <c r="BJ21" s="155" t="s">
        <v>226</v>
      </c>
      <c r="BK21" s="155" t="s">
        <v>226</v>
      </c>
      <c r="BL21" s="155" t="s">
        <v>226</v>
      </c>
      <c r="BM21" s="155" t="s">
        <v>226</v>
      </c>
      <c r="BN21" s="155" t="s">
        <v>226</v>
      </c>
      <c r="BO21" s="155" t="s">
        <v>226</v>
      </c>
      <c r="BP21" s="155" t="s">
        <v>226</v>
      </c>
      <c r="BQ21" s="155" t="s">
        <v>226</v>
      </c>
      <c r="BR21" s="155" t="s">
        <v>226</v>
      </c>
      <c r="BS21" s="155" t="s">
        <v>226</v>
      </c>
      <c r="BT21" s="155" t="s">
        <v>226</v>
      </c>
      <c r="BU21" s="155" t="s">
        <v>226</v>
      </c>
      <c r="BV21" s="155" t="s">
        <v>226</v>
      </c>
      <c r="BW21" s="155" t="s">
        <v>226</v>
      </c>
      <c r="BX21" s="155" t="s">
        <v>226</v>
      </c>
      <c r="BY21" s="155" t="s">
        <v>226</v>
      </c>
      <c r="BZ21" s="155" t="s">
        <v>226</v>
      </c>
      <c r="CA21" s="155" t="s">
        <v>226</v>
      </c>
      <c r="CB21" s="155" t="s">
        <v>226</v>
      </c>
      <c r="CC21" s="155" t="s">
        <v>226</v>
      </c>
      <c r="CD21" s="155" t="s">
        <v>226</v>
      </c>
      <c r="CE21" s="155" t="s">
        <v>226</v>
      </c>
      <c r="CF21" s="155" t="s">
        <v>226</v>
      </c>
      <c r="CG21" s="155" t="s">
        <v>226</v>
      </c>
      <c r="CH21" s="155" t="s">
        <v>226</v>
      </c>
      <c r="CI21" s="155" t="s">
        <v>226</v>
      </c>
      <c r="CJ21" s="155" t="s">
        <v>226</v>
      </c>
      <c r="CK21" s="155" t="s">
        <v>226</v>
      </c>
      <c r="CL21" s="155" t="s">
        <v>226</v>
      </c>
      <c r="CM21" s="155" t="s">
        <v>226</v>
      </c>
      <c r="CN21" s="106" t="s">
        <v>226</v>
      </c>
      <c r="CO21" s="145" t="s">
        <v>226</v>
      </c>
      <c r="CP21" s="145" t="s">
        <v>226</v>
      </c>
      <c r="CQ21" s="145" t="s">
        <v>226</v>
      </c>
      <c r="CR21" s="145" t="s">
        <v>226</v>
      </c>
      <c r="CS21" s="145" t="s">
        <v>226</v>
      </c>
      <c r="CT21" s="145" t="s">
        <v>226</v>
      </c>
      <c r="CU21" s="145" t="s">
        <v>226</v>
      </c>
      <c r="CV21" s="145" t="s">
        <v>226</v>
      </c>
      <c r="CW21" s="145" t="s">
        <v>226</v>
      </c>
      <c r="CX21" s="145" t="s">
        <v>226</v>
      </c>
      <c r="CY21" s="145" t="s">
        <v>226</v>
      </c>
      <c r="CZ21" s="145" t="s">
        <v>226</v>
      </c>
      <c r="DA21" s="145" t="s">
        <v>226</v>
      </c>
      <c r="DB21" s="145" t="s">
        <v>226</v>
      </c>
      <c r="DC21" s="145" t="s">
        <v>226</v>
      </c>
      <c r="DD21" s="145" t="s">
        <v>226</v>
      </c>
      <c r="DE21" s="145" t="s">
        <v>226</v>
      </c>
      <c r="DF21" s="145" t="s">
        <v>226</v>
      </c>
      <c r="DG21" s="145" t="s">
        <v>226</v>
      </c>
      <c r="DH21" s="145" t="s">
        <v>226</v>
      </c>
      <c r="DI21" s="145" t="s">
        <v>226</v>
      </c>
      <c r="DJ21" s="145" t="s">
        <v>226</v>
      </c>
      <c r="DK21" s="145" t="s">
        <v>226</v>
      </c>
      <c r="DL21" s="145" t="s">
        <v>226</v>
      </c>
      <c r="DM21" s="145" t="s">
        <v>226</v>
      </c>
      <c r="DN21" s="145" t="s">
        <v>226</v>
      </c>
      <c r="DO21" s="145" t="s">
        <v>226</v>
      </c>
      <c r="DP21" s="145" t="s">
        <v>226</v>
      </c>
      <c r="DQ21" s="145" t="s">
        <v>226</v>
      </c>
      <c r="DR21" s="145" t="s">
        <v>226</v>
      </c>
      <c r="DS21" s="145" t="s">
        <v>226</v>
      </c>
      <c r="DT21" s="145" t="s">
        <v>226</v>
      </c>
      <c r="DU21" s="145" t="s">
        <v>226</v>
      </c>
      <c r="DV21" s="145" t="s">
        <v>226</v>
      </c>
      <c r="DW21" s="145" t="s">
        <v>226</v>
      </c>
      <c r="DX21" s="145" t="s">
        <v>226</v>
      </c>
      <c r="DY21" s="145" t="s">
        <v>226</v>
      </c>
      <c r="DZ21" s="145" t="s">
        <v>226</v>
      </c>
      <c r="EA21" s="145" t="s">
        <v>226</v>
      </c>
      <c r="EB21" s="145" t="s">
        <v>226</v>
      </c>
      <c r="EC21" s="145" t="s">
        <v>226</v>
      </c>
      <c r="ED21" s="145" t="s">
        <v>226</v>
      </c>
      <c r="EE21" s="145" t="s">
        <v>226</v>
      </c>
      <c r="EF21" s="145" t="s">
        <v>226</v>
      </c>
      <c r="EG21" s="145" t="s">
        <v>226</v>
      </c>
      <c r="EH21" s="145" t="s">
        <v>226</v>
      </c>
      <c r="EI21" s="145" t="s">
        <v>226</v>
      </c>
      <c r="EJ21" s="145" t="s">
        <v>226</v>
      </c>
      <c r="EK21" s="145" t="s">
        <v>226</v>
      </c>
      <c r="EL21" s="145" t="s">
        <v>226</v>
      </c>
      <c r="EM21" s="145" t="s">
        <v>226</v>
      </c>
      <c r="EN21" s="145" t="s">
        <v>226</v>
      </c>
      <c r="EO21" s="145" t="s">
        <v>226</v>
      </c>
      <c r="EP21" s="145" t="s">
        <v>226</v>
      </c>
      <c r="EQ21" s="145" t="s">
        <v>226</v>
      </c>
      <c r="ER21" s="145" t="s">
        <v>226</v>
      </c>
      <c r="ES21" s="145" t="s">
        <v>226</v>
      </c>
      <c r="ET21" s="145" t="s">
        <v>226</v>
      </c>
      <c r="EU21" s="145" t="s">
        <v>226</v>
      </c>
      <c r="EV21" s="145" t="s">
        <v>226</v>
      </c>
      <c r="EW21" s="145" t="s">
        <v>226</v>
      </c>
      <c r="EX21" s="145" t="s">
        <v>226</v>
      </c>
      <c r="EY21" s="106" t="s">
        <v>226</v>
      </c>
      <c r="EZ21" s="145" t="s">
        <v>226</v>
      </c>
      <c r="FA21" s="145" t="s">
        <v>226</v>
      </c>
      <c r="FB21" s="106" t="s">
        <v>226</v>
      </c>
      <c r="FC21" s="145" t="s">
        <v>226</v>
      </c>
      <c r="FD21" s="145" t="s">
        <v>226</v>
      </c>
      <c r="FE21" s="155" t="s">
        <v>226</v>
      </c>
      <c r="FF21" s="155" t="s">
        <v>226</v>
      </c>
      <c r="FG21" s="155" t="s">
        <v>226</v>
      </c>
      <c r="FH21" s="155" t="s">
        <v>226</v>
      </c>
      <c r="FI21" s="155" t="s">
        <v>226</v>
      </c>
      <c r="FJ21" s="155" t="s">
        <v>226</v>
      </c>
      <c r="FK21" s="155" t="s">
        <v>226</v>
      </c>
      <c r="FL21" s="155" t="s">
        <v>226</v>
      </c>
      <c r="FM21" s="155" t="s">
        <v>226</v>
      </c>
      <c r="FN21" s="155" t="s">
        <v>226</v>
      </c>
      <c r="FO21" s="155" t="s">
        <v>226</v>
      </c>
      <c r="FP21" s="155" t="s">
        <v>226</v>
      </c>
      <c r="FQ21" s="155" t="s">
        <v>226</v>
      </c>
      <c r="FR21" s="155" t="s">
        <v>226</v>
      </c>
      <c r="FS21" s="155" t="s">
        <v>226</v>
      </c>
      <c r="FT21" s="155" t="s">
        <v>226</v>
      </c>
      <c r="FU21" s="155" t="s">
        <v>226</v>
      </c>
      <c r="FV21" s="155" t="s">
        <v>226</v>
      </c>
      <c r="FW21" s="155" t="s">
        <v>226</v>
      </c>
      <c r="FX21" s="155" t="s">
        <v>226</v>
      </c>
      <c r="FY21" s="155" t="s">
        <v>226</v>
      </c>
      <c r="FZ21" s="155" t="s">
        <v>226</v>
      </c>
      <c r="GA21" s="155" t="s">
        <v>226</v>
      </c>
      <c r="GB21" s="155" t="s">
        <v>226</v>
      </c>
      <c r="GC21" s="155" t="s">
        <v>226</v>
      </c>
      <c r="GD21" s="155" t="s">
        <v>226</v>
      </c>
      <c r="GE21" s="155" t="s">
        <v>226</v>
      </c>
      <c r="GF21" s="150" t="s">
        <v>256</v>
      </c>
      <c r="GG21" s="70" t="s">
        <v>226</v>
      </c>
      <c r="GH21" s="93" t="s">
        <v>226</v>
      </c>
      <c r="GI21" s="145" t="s">
        <v>226</v>
      </c>
      <c r="GJ21" s="70">
        <v>45915</v>
      </c>
      <c r="GK21" s="70">
        <v>45915</v>
      </c>
      <c r="GL21" s="70" t="s">
        <v>226</v>
      </c>
      <c r="GM21" s="159" t="str">
        <f t="shared" si="1"/>
        <v>N/A</v>
      </c>
      <c r="GN21" s="159" t="str">
        <f t="shared" si="2"/>
        <v>N/A</v>
      </c>
      <c r="GO21" s="159">
        <f t="shared" si="3"/>
        <v>2.1333333333333333</v>
      </c>
      <c r="GP21" s="159" t="str">
        <f t="shared" si="4"/>
        <v>N/A</v>
      </c>
      <c r="GQ21" s="159" t="str">
        <f t="shared" si="5"/>
        <v>N/A</v>
      </c>
      <c r="GR21" s="159" t="str">
        <f t="shared" si="6"/>
        <v>N/A</v>
      </c>
      <c r="GS21" s="159" t="str">
        <f t="shared" si="7"/>
        <v>N/A</v>
      </c>
      <c r="GT21" s="159" t="str">
        <f t="shared" si="8"/>
        <v>N/A</v>
      </c>
      <c r="GU21" s="159" t="str">
        <f t="shared" si="9"/>
        <v>N/A</v>
      </c>
      <c r="GV21" s="159" t="str">
        <f t="shared" si="10"/>
        <v>N/A</v>
      </c>
      <c r="GW21" s="159" t="str">
        <f t="shared" si="11"/>
        <v>N/A</v>
      </c>
      <c r="GX21" s="159" t="str">
        <f t="shared" si="12"/>
        <v>N/A</v>
      </c>
      <c r="GY21" s="159" t="str">
        <f t="shared" si="13"/>
        <v>N/A</v>
      </c>
      <c r="GZ21" s="159" t="str">
        <f t="shared" si="14"/>
        <v>N/A</v>
      </c>
      <c r="HA21" s="159" t="str">
        <f t="shared" si="15"/>
        <v>N/A</v>
      </c>
      <c r="HB21" s="159" t="str">
        <f t="shared" si="16"/>
        <v>N/A</v>
      </c>
      <c r="HC21" s="159" t="str">
        <f t="shared" si="17"/>
        <v>N/A</v>
      </c>
      <c r="HD21" s="159">
        <f t="shared" si="18"/>
        <v>68.533333333333331</v>
      </c>
      <c r="HE21" s="159">
        <f t="shared" si="19"/>
        <v>68.533333333333331</v>
      </c>
      <c r="HF21" s="160">
        <f t="shared" si="20"/>
        <v>68.533333333333331</v>
      </c>
      <c r="HG21" s="160" cm="1">
        <f t="array" ref="HG21">INDEX($HB21:$HD21,MATCH(TRUE,INDEX(ISNUMBER($HB21:$HD21),0),0))</f>
        <v>68.533333333333331</v>
      </c>
      <c r="HH21" s="161">
        <f t="shared" si="21"/>
        <v>0</v>
      </c>
      <c r="HI21" s="108">
        <f t="shared" si="22"/>
        <v>0</v>
      </c>
      <c r="HJ21" s="91">
        <f t="shared" si="23"/>
        <v>0</v>
      </c>
      <c r="HK21" s="205" t="str">
        <f t="shared" si="24"/>
        <v>0</v>
      </c>
    </row>
    <row r="22" spans="1:219" ht="15" customHeight="1" x14ac:dyDescent="0.3">
      <c r="A22" s="146">
        <v>4343180220</v>
      </c>
      <c r="B22" s="93" t="s">
        <v>221</v>
      </c>
      <c r="C22" s="93" t="s">
        <v>222</v>
      </c>
      <c r="D22" s="93" t="s">
        <v>221</v>
      </c>
      <c r="E22" s="145" t="s">
        <v>338</v>
      </c>
      <c r="F22" s="145" t="s">
        <v>319</v>
      </c>
      <c r="G22" s="145" t="s">
        <v>226</v>
      </c>
      <c r="H22" s="70">
        <v>44027</v>
      </c>
      <c r="I22" s="147" t="s">
        <v>320</v>
      </c>
      <c r="J22" s="148" t="s">
        <v>339</v>
      </c>
      <c r="K22" s="145" t="s">
        <v>226</v>
      </c>
      <c r="L22" s="145" t="s">
        <v>226</v>
      </c>
      <c r="M22" s="145" t="s">
        <v>226</v>
      </c>
      <c r="N22" s="145" t="s">
        <v>226</v>
      </c>
      <c r="O22" s="145" t="s">
        <v>226</v>
      </c>
      <c r="P22" s="70" t="s">
        <v>226</v>
      </c>
      <c r="Q22" s="93" t="s">
        <v>226</v>
      </c>
      <c r="R22" s="97" t="s">
        <v>226</v>
      </c>
      <c r="S22" s="97" t="s">
        <v>226</v>
      </c>
      <c r="T22" s="97" t="s">
        <v>226</v>
      </c>
      <c r="U22" s="97" t="s">
        <v>226</v>
      </c>
      <c r="V22" s="93" t="s">
        <v>226</v>
      </c>
      <c r="W22" s="97" t="s">
        <v>226</v>
      </c>
      <c r="X22" s="97" t="s">
        <v>226</v>
      </c>
      <c r="Y22" s="97" t="s">
        <v>226</v>
      </c>
      <c r="Z22" s="97" t="s">
        <v>226</v>
      </c>
      <c r="AA22" s="93" t="s">
        <v>226</v>
      </c>
      <c r="AB22" s="97" t="s">
        <v>226</v>
      </c>
      <c r="AC22" s="97" t="s">
        <v>226</v>
      </c>
      <c r="AD22" s="97" t="s">
        <v>226</v>
      </c>
      <c r="AE22" s="97" t="s">
        <v>226</v>
      </c>
      <c r="AF22" s="93" t="s">
        <v>226</v>
      </c>
      <c r="AG22" s="97" t="s">
        <v>226</v>
      </c>
      <c r="AH22" s="97" t="s">
        <v>226</v>
      </c>
      <c r="AI22" s="97" t="s">
        <v>226</v>
      </c>
      <c r="AJ22" s="97" t="s">
        <v>226</v>
      </c>
      <c r="AK22" s="93" t="s">
        <v>226</v>
      </c>
      <c r="AL22" s="97" t="s">
        <v>226</v>
      </c>
      <c r="AM22" s="97" t="s">
        <v>226</v>
      </c>
      <c r="AN22" s="97" t="s">
        <v>226</v>
      </c>
      <c r="AO22" s="97" t="s">
        <v>226</v>
      </c>
      <c r="AP22" s="93" t="s">
        <v>226</v>
      </c>
      <c r="AQ22" s="106" t="s">
        <v>227</v>
      </c>
      <c r="AR22" s="69">
        <v>14397</v>
      </c>
      <c r="AS22" s="70">
        <v>43726</v>
      </c>
      <c r="AT22" s="149">
        <f t="shared" si="0"/>
        <v>80</v>
      </c>
      <c r="AU22" s="147" t="s">
        <v>291</v>
      </c>
      <c r="AV22" s="93" t="s">
        <v>229</v>
      </c>
      <c r="AW22" s="93" t="s">
        <v>230</v>
      </c>
      <c r="AX22" s="150" t="s">
        <v>265</v>
      </c>
      <c r="AY22" s="151" t="s">
        <v>232</v>
      </c>
      <c r="AZ22" s="150" t="s">
        <v>232</v>
      </c>
      <c r="BA22" s="150">
        <v>0</v>
      </c>
      <c r="BB22" s="93" t="s">
        <v>266</v>
      </c>
      <c r="BC22" s="152">
        <v>1</v>
      </c>
      <c r="BD22" s="153" t="s">
        <v>234</v>
      </c>
      <c r="BE22" s="93" t="s">
        <v>267</v>
      </c>
      <c r="BF22" s="153" t="s">
        <v>221</v>
      </c>
      <c r="BG22" s="154" t="s">
        <v>226</v>
      </c>
      <c r="BH22" s="155" t="s">
        <v>226</v>
      </c>
      <c r="BI22" s="155" t="s">
        <v>226</v>
      </c>
      <c r="BJ22" s="155" t="s">
        <v>226</v>
      </c>
      <c r="BK22" s="155" t="s">
        <v>226</v>
      </c>
      <c r="BL22" s="155" t="s">
        <v>226</v>
      </c>
      <c r="BM22" s="155" t="s">
        <v>226</v>
      </c>
      <c r="BN22" s="155" t="s">
        <v>226</v>
      </c>
      <c r="BO22" s="155" t="s">
        <v>226</v>
      </c>
      <c r="BP22" s="155" t="s">
        <v>226</v>
      </c>
      <c r="BQ22" s="155" t="s">
        <v>226</v>
      </c>
      <c r="BR22" s="155" t="s">
        <v>226</v>
      </c>
      <c r="BS22" s="155" t="s">
        <v>226</v>
      </c>
      <c r="BT22" s="155" t="s">
        <v>226</v>
      </c>
      <c r="BU22" s="155" t="s">
        <v>226</v>
      </c>
      <c r="BV22" s="155" t="s">
        <v>226</v>
      </c>
      <c r="BW22" s="155" t="s">
        <v>226</v>
      </c>
      <c r="BX22" s="155" t="s">
        <v>226</v>
      </c>
      <c r="BY22" s="155" t="s">
        <v>226</v>
      </c>
      <c r="BZ22" s="155" t="s">
        <v>226</v>
      </c>
      <c r="CA22" s="155" t="s">
        <v>226</v>
      </c>
      <c r="CB22" s="155" t="s">
        <v>226</v>
      </c>
      <c r="CC22" s="155" t="s">
        <v>226</v>
      </c>
      <c r="CD22" s="155" t="s">
        <v>226</v>
      </c>
      <c r="CE22" s="155" t="s">
        <v>226</v>
      </c>
      <c r="CF22" s="155" t="s">
        <v>226</v>
      </c>
      <c r="CG22" s="155" t="s">
        <v>226</v>
      </c>
      <c r="CH22" s="155" t="s">
        <v>226</v>
      </c>
      <c r="CI22" s="155" t="s">
        <v>226</v>
      </c>
      <c r="CJ22" s="155" t="s">
        <v>226</v>
      </c>
      <c r="CK22" s="155" t="s">
        <v>226</v>
      </c>
      <c r="CL22" s="155" t="s">
        <v>226</v>
      </c>
      <c r="CM22" s="155" t="s">
        <v>226</v>
      </c>
      <c r="CN22" s="106" t="s">
        <v>226</v>
      </c>
      <c r="CO22" s="145" t="s">
        <v>226</v>
      </c>
      <c r="CP22" s="70" t="s">
        <v>226</v>
      </c>
      <c r="CQ22" s="70" t="s">
        <v>226</v>
      </c>
      <c r="CR22" s="145" t="s">
        <v>226</v>
      </c>
      <c r="CS22" s="106" t="s">
        <v>226</v>
      </c>
      <c r="CT22" s="145" t="s">
        <v>226</v>
      </c>
      <c r="CU22" s="145" t="s">
        <v>226</v>
      </c>
      <c r="CV22" s="106" t="s">
        <v>226</v>
      </c>
      <c r="CW22" s="145" t="s">
        <v>226</v>
      </c>
      <c r="CX22" s="145" t="s">
        <v>226</v>
      </c>
      <c r="CY22" s="155" t="s">
        <v>226</v>
      </c>
      <c r="CZ22" s="155" t="s">
        <v>226</v>
      </c>
      <c r="DA22" s="155" t="s">
        <v>226</v>
      </c>
      <c r="DB22" s="155" t="s">
        <v>226</v>
      </c>
      <c r="DC22" s="155" t="s">
        <v>226</v>
      </c>
      <c r="DD22" s="155" t="s">
        <v>226</v>
      </c>
      <c r="DE22" s="155" t="s">
        <v>226</v>
      </c>
      <c r="DF22" s="155" t="s">
        <v>226</v>
      </c>
      <c r="DG22" s="155" t="s">
        <v>226</v>
      </c>
      <c r="DH22" s="155" t="s">
        <v>226</v>
      </c>
      <c r="DI22" s="155" t="s">
        <v>226</v>
      </c>
      <c r="DJ22" s="155" t="s">
        <v>226</v>
      </c>
      <c r="DK22" s="155" t="s">
        <v>226</v>
      </c>
      <c r="DL22" s="155" t="s">
        <v>226</v>
      </c>
      <c r="DM22" s="155" t="s">
        <v>226</v>
      </c>
      <c r="DN22" s="155" t="s">
        <v>226</v>
      </c>
      <c r="DO22" s="155" t="s">
        <v>226</v>
      </c>
      <c r="DP22" s="155" t="s">
        <v>226</v>
      </c>
      <c r="DQ22" s="155" t="s">
        <v>226</v>
      </c>
      <c r="DR22" s="155" t="s">
        <v>226</v>
      </c>
      <c r="DS22" s="155" t="s">
        <v>226</v>
      </c>
      <c r="DT22" s="155" t="s">
        <v>226</v>
      </c>
      <c r="DU22" s="155" t="s">
        <v>226</v>
      </c>
      <c r="DV22" s="155" t="s">
        <v>226</v>
      </c>
      <c r="DW22" s="155" t="s">
        <v>226</v>
      </c>
      <c r="DX22" s="155" t="s">
        <v>226</v>
      </c>
      <c r="DY22" s="155" t="s">
        <v>226</v>
      </c>
      <c r="DZ22" s="155" t="s">
        <v>226</v>
      </c>
      <c r="EA22" s="155" t="s">
        <v>226</v>
      </c>
      <c r="EB22" s="155" t="s">
        <v>226</v>
      </c>
      <c r="EC22" s="155" t="s">
        <v>226</v>
      </c>
      <c r="ED22" s="155" t="s">
        <v>226</v>
      </c>
      <c r="EE22" s="155" t="s">
        <v>226</v>
      </c>
      <c r="EF22" s="155" t="s">
        <v>226</v>
      </c>
      <c r="EG22" s="155" t="s">
        <v>226</v>
      </c>
      <c r="EH22" s="155" t="s">
        <v>226</v>
      </c>
      <c r="EI22" s="70">
        <v>44454</v>
      </c>
      <c r="EJ22" s="145" t="s">
        <v>340</v>
      </c>
      <c r="EK22" s="106" t="s">
        <v>277</v>
      </c>
      <c r="EL22" s="145" t="s">
        <v>341</v>
      </c>
      <c r="EM22" s="70">
        <v>44470</v>
      </c>
      <c r="EN22" s="70">
        <v>44722</v>
      </c>
      <c r="EO22" s="145" t="s">
        <v>279</v>
      </c>
      <c r="EP22" s="106" t="s">
        <v>247</v>
      </c>
      <c r="EQ22" s="145" t="s">
        <v>342</v>
      </c>
      <c r="ER22" s="145" t="s">
        <v>232</v>
      </c>
      <c r="ES22" s="106" t="s">
        <v>226</v>
      </c>
      <c r="ET22" s="145" t="s">
        <v>226</v>
      </c>
      <c r="EU22" s="145" t="s">
        <v>226</v>
      </c>
      <c r="EV22" s="106" t="s">
        <v>226</v>
      </c>
      <c r="EW22" s="145" t="s">
        <v>226</v>
      </c>
      <c r="EX22" s="145" t="s">
        <v>226</v>
      </c>
      <c r="EY22" s="106" t="s">
        <v>226</v>
      </c>
      <c r="EZ22" s="145" t="s">
        <v>226</v>
      </c>
      <c r="FA22" s="145" t="s">
        <v>226</v>
      </c>
      <c r="FB22" s="106" t="s">
        <v>226</v>
      </c>
      <c r="FC22" s="145" t="s">
        <v>226</v>
      </c>
      <c r="FD22" s="145" t="s">
        <v>226</v>
      </c>
      <c r="FE22" s="155" t="s">
        <v>226</v>
      </c>
      <c r="FF22" s="155" t="s">
        <v>226</v>
      </c>
      <c r="FG22" s="155" t="s">
        <v>226</v>
      </c>
      <c r="FH22" s="155" t="s">
        <v>226</v>
      </c>
      <c r="FI22" s="155" t="s">
        <v>226</v>
      </c>
      <c r="FJ22" s="155" t="s">
        <v>226</v>
      </c>
      <c r="FK22" s="155" t="s">
        <v>226</v>
      </c>
      <c r="FL22" s="155" t="s">
        <v>226</v>
      </c>
      <c r="FM22" s="155" t="s">
        <v>226</v>
      </c>
      <c r="FN22" s="155" t="s">
        <v>226</v>
      </c>
      <c r="FO22" s="155" t="s">
        <v>226</v>
      </c>
      <c r="FP22" s="155" t="s">
        <v>226</v>
      </c>
      <c r="FQ22" s="155" t="s">
        <v>226</v>
      </c>
      <c r="FR22" s="155" t="s">
        <v>226</v>
      </c>
      <c r="FS22" s="155" t="s">
        <v>226</v>
      </c>
      <c r="FT22" s="155" t="s">
        <v>226</v>
      </c>
      <c r="FU22" s="155" t="s">
        <v>226</v>
      </c>
      <c r="FV22" s="155" t="s">
        <v>226</v>
      </c>
      <c r="FW22" s="155" t="s">
        <v>226</v>
      </c>
      <c r="FX22" s="155" t="s">
        <v>226</v>
      </c>
      <c r="FY22" s="155" t="s">
        <v>226</v>
      </c>
      <c r="FZ22" s="155" t="s">
        <v>226</v>
      </c>
      <c r="GA22" s="155" t="s">
        <v>226</v>
      </c>
      <c r="GB22" s="155" t="s">
        <v>226</v>
      </c>
      <c r="GC22" s="155" t="s">
        <v>226</v>
      </c>
      <c r="GD22" s="155" t="s">
        <v>226</v>
      </c>
      <c r="GE22" s="155" t="s">
        <v>226</v>
      </c>
      <c r="GF22" s="150" t="s">
        <v>237</v>
      </c>
      <c r="GG22" s="70">
        <v>44809</v>
      </c>
      <c r="GH22" s="93" t="s">
        <v>230</v>
      </c>
      <c r="GI22" s="173" t="s">
        <v>312</v>
      </c>
      <c r="GJ22" s="70">
        <v>44756</v>
      </c>
      <c r="GK22" s="70" t="s">
        <v>226</v>
      </c>
      <c r="GL22" s="70" t="s">
        <v>226</v>
      </c>
      <c r="GM22" s="159" t="str">
        <f t="shared" si="1"/>
        <v>N/A</v>
      </c>
      <c r="GN22" s="159" t="str">
        <f t="shared" si="2"/>
        <v>N/A</v>
      </c>
      <c r="GO22" s="159">
        <f t="shared" si="3"/>
        <v>10.033333333333333</v>
      </c>
      <c r="GP22" s="159" t="str">
        <f t="shared" si="4"/>
        <v>N/A</v>
      </c>
      <c r="GQ22" s="159" t="str">
        <f t="shared" si="5"/>
        <v>N/A</v>
      </c>
      <c r="GR22" s="159" t="str">
        <f t="shared" si="6"/>
        <v>N/A</v>
      </c>
      <c r="GS22" s="159" t="str">
        <f t="shared" si="7"/>
        <v>N/A</v>
      </c>
      <c r="GT22" s="159" t="str">
        <f t="shared" si="8"/>
        <v>N/A</v>
      </c>
      <c r="GU22" s="159" t="str">
        <f t="shared" si="9"/>
        <v>N/A</v>
      </c>
      <c r="GV22" s="159" t="str">
        <f t="shared" si="10"/>
        <v>N/A</v>
      </c>
      <c r="GW22" s="159" t="str">
        <f t="shared" si="11"/>
        <v>N/A</v>
      </c>
      <c r="GX22" s="159" t="str">
        <f t="shared" si="12"/>
        <v>N/A</v>
      </c>
      <c r="GY22" s="159">
        <f t="shared" si="13"/>
        <v>24.266666666666666</v>
      </c>
      <c r="GZ22" s="159">
        <f t="shared" si="14"/>
        <v>24.8</v>
      </c>
      <c r="HA22" s="159">
        <f t="shared" si="15"/>
        <v>33.200000000000003</v>
      </c>
      <c r="HB22" s="159">
        <f t="shared" si="16"/>
        <v>24.266666666666666</v>
      </c>
      <c r="HC22" s="159">
        <f t="shared" si="17"/>
        <v>36.1</v>
      </c>
      <c r="HD22" s="159">
        <f t="shared" si="18"/>
        <v>34.333333333333336</v>
      </c>
      <c r="HE22" s="159" t="str">
        <f t="shared" si="19"/>
        <v>N/A</v>
      </c>
      <c r="HF22" s="160">
        <f t="shared" si="20"/>
        <v>36.1</v>
      </c>
      <c r="HG22" s="160" cm="1">
        <f t="array" ref="HG22">INDEX($HB22:$HD22,MATCH(TRUE,INDEX(ISNUMBER($HB22:$HD22),0),0))</f>
        <v>24.266666666666666</v>
      </c>
      <c r="HH22" s="161">
        <f t="shared" si="21"/>
        <v>1</v>
      </c>
      <c r="HI22" s="108">
        <f t="shared" si="22"/>
        <v>1</v>
      </c>
      <c r="HJ22" s="91">
        <f t="shared" si="23"/>
        <v>1</v>
      </c>
      <c r="HK22" s="205" t="str">
        <f t="shared" si="24"/>
        <v>1</v>
      </c>
    </row>
    <row r="23" spans="1:219" ht="15" customHeight="1" x14ac:dyDescent="0.3">
      <c r="A23" s="146">
        <v>4383575080</v>
      </c>
      <c r="B23" s="93" t="s">
        <v>221</v>
      </c>
      <c r="C23" s="93" t="s">
        <v>222</v>
      </c>
      <c r="D23" s="93" t="s">
        <v>221</v>
      </c>
      <c r="E23" s="145" t="s">
        <v>343</v>
      </c>
      <c r="F23" s="145" t="s">
        <v>300</v>
      </c>
      <c r="G23" s="145" t="s">
        <v>262</v>
      </c>
      <c r="H23" s="70">
        <v>44033</v>
      </c>
      <c r="I23" s="147" t="s">
        <v>344</v>
      </c>
      <c r="J23" s="170" t="s">
        <v>345</v>
      </c>
      <c r="K23" s="145" t="s">
        <v>226</v>
      </c>
      <c r="L23" s="145" t="s">
        <v>226</v>
      </c>
      <c r="M23" s="145" t="s">
        <v>226</v>
      </c>
      <c r="N23" s="145" t="s">
        <v>226</v>
      </c>
      <c r="O23" s="145" t="s">
        <v>226</v>
      </c>
      <c r="P23" s="70" t="s">
        <v>226</v>
      </c>
      <c r="Q23" s="93" t="s">
        <v>226</v>
      </c>
      <c r="R23" s="97" t="s">
        <v>226</v>
      </c>
      <c r="S23" s="97" t="s">
        <v>226</v>
      </c>
      <c r="T23" s="97" t="s">
        <v>226</v>
      </c>
      <c r="U23" s="97" t="s">
        <v>226</v>
      </c>
      <c r="V23" s="93" t="s">
        <v>226</v>
      </c>
      <c r="W23" s="97" t="s">
        <v>226</v>
      </c>
      <c r="X23" s="97" t="s">
        <v>226</v>
      </c>
      <c r="Y23" s="97" t="s">
        <v>226</v>
      </c>
      <c r="Z23" s="97" t="s">
        <v>226</v>
      </c>
      <c r="AA23" s="93" t="s">
        <v>226</v>
      </c>
      <c r="AB23" s="97" t="s">
        <v>226</v>
      </c>
      <c r="AC23" s="97" t="s">
        <v>226</v>
      </c>
      <c r="AD23" s="97" t="s">
        <v>226</v>
      </c>
      <c r="AE23" s="97" t="s">
        <v>226</v>
      </c>
      <c r="AF23" s="93" t="s">
        <v>226</v>
      </c>
      <c r="AG23" s="97" t="s">
        <v>226</v>
      </c>
      <c r="AH23" s="97" t="s">
        <v>226</v>
      </c>
      <c r="AI23" s="97" t="s">
        <v>226</v>
      </c>
      <c r="AJ23" s="97" t="s">
        <v>226</v>
      </c>
      <c r="AK23" s="93" t="s">
        <v>226</v>
      </c>
      <c r="AL23" s="97" t="s">
        <v>226</v>
      </c>
      <c r="AM23" s="97" t="s">
        <v>226</v>
      </c>
      <c r="AN23" s="97" t="s">
        <v>226</v>
      </c>
      <c r="AO23" s="97" t="s">
        <v>226</v>
      </c>
      <c r="AP23" s="93" t="s">
        <v>226</v>
      </c>
      <c r="AQ23" s="106" t="s">
        <v>227</v>
      </c>
      <c r="AR23" s="69">
        <v>15052</v>
      </c>
      <c r="AS23" s="70">
        <v>44025</v>
      </c>
      <c r="AT23" s="149">
        <f t="shared" si="0"/>
        <v>79</v>
      </c>
      <c r="AU23" s="147" t="s">
        <v>291</v>
      </c>
      <c r="AV23" s="93" t="s">
        <v>229</v>
      </c>
      <c r="AW23" s="93" t="s">
        <v>230</v>
      </c>
      <c r="AX23" s="151">
        <v>2</v>
      </c>
      <c r="AY23" s="150">
        <v>0</v>
      </c>
      <c r="AZ23" s="150" t="s">
        <v>232</v>
      </c>
      <c r="BA23" s="150">
        <v>0</v>
      </c>
      <c r="BB23" s="171" t="s">
        <v>253</v>
      </c>
      <c r="BC23" s="152">
        <v>3</v>
      </c>
      <c r="BD23" s="153" t="s">
        <v>234</v>
      </c>
      <c r="BE23" s="171" t="s">
        <v>254</v>
      </c>
      <c r="BF23" s="153" t="s">
        <v>221</v>
      </c>
      <c r="BG23" s="154" t="s">
        <v>226</v>
      </c>
      <c r="BH23" s="155" t="s">
        <v>226</v>
      </c>
      <c r="BI23" s="155" t="s">
        <v>226</v>
      </c>
      <c r="BJ23" s="155" t="s">
        <v>226</v>
      </c>
      <c r="BK23" s="155" t="s">
        <v>226</v>
      </c>
      <c r="BL23" s="155" t="s">
        <v>226</v>
      </c>
      <c r="BM23" s="155" t="s">
        <v>226</v>
      </c>
      <c r="BN23" s="155" t="s">
        <v>226</v>
      </c>
      <c r="BO23" s="155" t="s">
        <v>226</v>
      </c>
      <c r="BP23" s="155" t="s">
        <v>226</v>
      </c>
      <c r="BQ23" s="155" t="s">
        <v>226</v>
      </c>
      <c r="BR23" s="155" t="s">
        <v>226</v>
      </c>
      <c r="BS23" s="155" t="s">
        <v>226</v>
      </c>
      <c r="BT23" s="155" t="s">
        <v>226</v>
      </c>
      <c r="BU23" s="155" t="s">
        <v>226</v>
      </c>
      <c r="BV23" s="155" t="s">
        <v>226</v>
      </c>
      <c r="BW23" s="155" t="s">
        <v>226</v>
      </c>
      <c r="BX23" s="155" t="s">
        <v>226</v>
      </c>
      <c r="BY23" s="155" t="s">
        <v>226</v>
      </c>
      <c r="BZ23" s="155" t="s">
        <v>226</v>
      </c>
      <c r="CA23" s="155" t="s">
        <v>226</v>
      </c>
      <c r="CB23" s="155" t="s">
        <v>226</v>
      </c>
      <c r="CC23" s="155" t="s">
        <v>226</v>
      </c>
      <c r="CD23" s="155" t="s">
        <v>226</v>
      </c>
      <c r="CE23" s="155" t="s">
        <v>226</v>
      </c>
      <c r="CF23" s="155" t="s">
        <v>226</v>
      </c>
      <c r="CG23" s="155" t="s">
        <v>226</v>
      </c>
      <c r="CH23" s="155" t="s">
        <v>226</v>
      </c>
      <c r="CI23" s="155" t="s">
        <v>226</v>
      </c>
      <c r="CJ23" s="155" t="s">
        <v>226</v>
      </c>
      <c r="CK23" s="155" t="s">
        <v>226</v>
      </c>
      <c r="CL23" s="155" t="s">
        <v>226</v>
      </c>
      <c r="CM23" s="155" t="s">
        <v>226</v>
      </c>
      <c r="CN23" s="106" t="s">
        <v>247</v>
      </c>
      <c r="CO23" s="145" t="s">
        <v>321</v>
      </c>
      <c r="CP23" s="70">
        <v>44103</v>
      </c>
      <c r="CQ23" s="70">
        <v>44110</v>
      </c>
      <c r="CR23" s="145" t="s">
        <v>226</v>
      </c>
      <c r="CS23" s="106" t="s">
        <v>226</v>
      </c>
      <c r="CT23" s="145" t="s">
        <v>226</v>
      </c>
      <c r="CU23" s="145" t="s">
        <v>226</v>
      </c>
      <c r="CV23" s="106" t="s">
        <v>226</v>
      </c>
      <c r="CW23" s="145" t="s">
        <v>226</v>
      </c>
      <c r="CX23" s="145" t="s">
        <v>226</v>
      </c>
      <c r="CY23" s="155" t="s">
        <v>226</v>
      </c>
      <c r="CZ23" s="155" t="s">
        <v>226</v>
      </c>
      <c r="DA23" s="155" t="s">
        <v>226</v>
      </c>
      <c r="DB23" s="155" t="s">
        <v>226</v>
      </c>
      <c r="DC23" s="155" t="s">
        <v>226</v>
      </c>
      <c r="DD23" s="155" t="s">
        <v>226</v>
      </c>
      <c r="DE23" s="155" t="s">
        <v>226</v>
      </c>
      <c r="DF23" s="155" t="s">
        <v>226</v>
      </c>
      <c r="DG23" s="155" t="s">
        <v>226</v>
      </c>
      <c r="DH23" s="155" t="s">
        <v>226</v>
      </c>
      <c r="DI23" s="155" t="s">
        <v>226</v>
      </c>
      <c r="DJ23" s="155" t="s">
        <v>226</v>
      </c>
      <c r="DK23" s="155" t="s">
        <v>226</v>
      </c>
      <c r="DL23" s="155" t="s">
        <v>226</v>
      </c>
      <c r="DM23" s="155" t="s">
        <v>226</v>
      </c>
      <c r="DN23" s="155" t="s">
        <v>226</v>
      </c>
      <c r="DO23" s="155" t="s">
        <v>226</v>
      </c>
      <c r="DP23" s="155" t="s">
        <v>226</v>
      </c>
      <c r="DQ23" s="155" t="s">
        <v>226</v>
      </c>
      <c r="DR23" s="155" t="s">
        <v>226</v>
      </c>
      <c r="DS23" s="155" t="s">
        <v>226</v>
      </c>
      <c r="DT23" s="155" t="s">
        <v>226</v>
      </c>
      <c r="DU23" s="155" t="s">
        <v>226</v>
      </c>
      <c r="DV23" s="155" t="s">
        <v>226</v>
      </c>
      <c r="DW23" s="155" t="s">
        <v>226</v>
      </c>
      <c r="DX23" s="155" t="s">
        <v>226</v>
      </c>
      <c r="DY23" s="155" t="s">
        <v>226</v>
      </c>
      <c r="DZ23" s="155" t="s">
        <v>226</v>
      </c>
      <c r="EA23" s="155" t="s">
        <v>226</v>
      </c>
      <c r="EB23" s="155" t="s">
        <v>226</v>
      </c>
      <c r="EC23" s="155" t="s">
        <v>226</v>
      </c>
      <c r="ED23" s="155" t="s">
        <v>226</v>
      </c>
      <c r="EE23" s="155" t="s">
        <v>226</v>
      </c>
      <c r="EF23" s="155" t="s">
        <v>226</v>
      </c>
      <c r="EG23" s="155" t="s">
        <v>226</v>
      </c>
      <c r="EH23" s="155" t="s">
        <v>226</v>
      </c>
      <c r="EI23" s="70">
        <v>44985</v>
      </c>
      <c r="EJ23" s="145" t="s">
        <v>346</v>
      </c>
      <c r="EK23" s="106" t="s">
        <v>226</v>
      </c>
      <c r="EL23" s="145" t="s">
        <v>226</v>
      </c>
      <c r="EM23" s="70" t="s">
        <v>226</v>
      </c>
      <c r="EN23" s="70" t="s">
        <v>226</v>
      </c>
      <c r="EO23" s="145" t="s">
        <v>226</v>
      </c>
      <c r="EP23" s="106" t="s">
        <v>226</v>
      </c>
      <c r="EQ23" s="145" t="s">
        <v>226</v>
      </c>
      <c r="ER23" s="145" t="s">
        <v>226</v>
      </c>
      <c r="ES23" s="106" t="s">
        <v>226</v>
      </c>
      <c r="ET23" s="145" t="s">
        <v>226</v>
      </c>
      <c r="EU23" s="145" t="s">
        <v>226</v>
      </c>
      <c r="EV23" s="106" t="s">
        <v>226</v>
      </c>
      <c r="EW23" s="145" t="s">
        <v>226</v>
      </c>
      <c r="EX23" s="145" t="s">
        <v>226</v>
      </c>
      <c r="EY23" s="106" t="s">
        <v>226</v>
      </c>
      <c r="EZ23" s="145" t="s">
        <v>226</v>
      </c>
      <c r="FA23" s="145" t="s">
        <v>226</v>
      </c>
      <c r="FB23" s="106" t="s">
        <v>226</v>
      </c>
      <c r="FC23" s="145" t="s">
        <v>226</v>
      </c>
      <c r="FD23" s="145" t="s">
        <v>226</v>
      </c>
      <c r="FE23" s="155" t="s">
        <v>226</v>
      </c>
      <c r="FF23" s="155" t="s">
        <v>226</v>
      </c>
      <c r="FG23" s="155" t="s">
        <v>226</v>
      </c>
      <c r="FH23" s="155" t="s">
        <v>226</v>
      </c>
      <c r="FI23" s="155" t="s">
        <v>226</v>
      </c>
      <c r="FJ23" s="155" t="s">
        <v>226</v>
      </c>
      <c r="FK23" s="155" t="s">
        <v>226</v>
      </c>
      <c r="FL23" s="155" t="s">
        <v>226</v>
      </c>
      <c r="FM23" s="155" t="s">
        <v>226</v>
      </c>
      <c r="FN23" s="155" t="s">
        <v>226</v>
      </c>
      <c r="FO23" s="155" t="s">
        <v>226</v>
      </c>
      <c r="FP23" s="155" t="s">
        <v>226</v>
      </c>
      <c r="FQ23" s="155" t="s">
        <v>226</v>
      </c>
      <c r="FR23" s="155" t="s">
        <v>226</v>
      </c>
      <c r="FS23" s="155" t="s">
        <v>226</v>
      </c>
      <c r="FT23" s="155" t="s">
        <v>226</v>
      </c>
      <c r="FU23" s="155" t="s">
        <v>226</v>
      </c>
      <c r="FV23" s="155" t="s">
        <v>226</v>
      </c>
      <c r="FW23" s="155" t="s">
        <v>226</v>
      </c>
      <c r="FX23" s="155" t="s">
        <v>226</v>
      </c>
      <c r="FY23" s="155" t="s">
        <v>226</v>
      </c>
      <c r="FZ23" s="155" t="s">
        <v>226</v>
      </c>
      <c r="GA23" s="155" t="s">
        <v>226</v>
      </c>
      <c r="GB23" s="155" t="s">
        <v>226</v>
      </c>
      <c r="GC23" s="155" t="s">
        <v>226</v>
      </c>
      <c r="GD23" s="155" t="s">
        <v>226</v>
      </c>
      <c r="GE23" s="155" t="s">
        <v>226</v>
      </c>
      <c r="GF23" s="150" t="s">
        <v>237</v>
      </c>
      <c r="GG23" s="70">
        <v>45063</v>
      </c>
      <c r="GH23" s="93" t="s">
        <v>230</v>
      </c>
      <c r="GI23" s="173" t="s">
        <v>312</v>
      </c>
      <c r="GJ23" s="70">
        <v>45062</v>
      </c>
      <c r="GK23" s="70" t="s">
        <v>226</v>
      </c>
      <c r="GL23" s="70" t="s">
        <v>226</v>
      </c>
      <c r="GM23" s="159" t="str">
        <f t="shared" si="1"/>
        <v>N/A</v>
      </c>
      <c r="GN23" s="159" t="str">
        <f t="shared" si="2"/>
        <v>N/A</v>
      </c>
      <c r="GO23" s="159">
        <f t="shared" si="3"/>
        <v>0.26666666666666666</v>
      </c>
      <c r="GP23" s="159" t="str">
        <f t="shared" si="4"/>
        <v>N/A</v>
      </c>
      <c r="GQ23" s="159" t="str">
        <f t="shared" si="5"/>
        <v>N/A</v>
      </c>
      <c r="GR23" s="159" t="str">
        <f t="shared" si="6"/>
        <v>N/A</v>
      </c>
      <c r="GS23" s="159" t="str">
        <f t="shared" si="7"/>
        <v>N/A</v>
      </c>
      <c r="GT23" s="159" t="str">
        <f t="shared" si="8"/>
        <v>N/A</v>
      </c>
      <c r="GU23" s="159" t="str">
        <f t="shared" si="9"/>
        <v>N/A</v>
      </c>
      <c r="GV23" s="159" t="str">
        <f t="shared" si="10"/>
        <v>N/A</v>
      </c>
      <c r="GW23" s="159">
        <f t="shared" si="11"/>
        <v>2.6</v>
      </c>
      <c r="GX23" s="159">
        <f t="shared" si="12"/>
        <v>2.8333333333333335</v>
      </c>
      <c r="GY23" s="159">
        <f t="shared" si="13"/>
        <v>32</v>
      </c>
      <c r="GZ23" s="159" t="str">
        <f t="shared" si="14"/>
        <v>N/A</v>
      </c>
      <c r="HA23" s="159" t="str">
        <f t="shared" si="15"/>
        <v>N/A</v>
      </c>
      <c r="HB23" s="159">
        <f t="shared" si="16"/>
        <v>32</v>
      </c>
      <c r="HC23" s="159">
        <f t="shared" si="17"/>
        <v>34.6</v>
      </c>
      <c r="HD23" s="159">
        <f t="shared" si="18"/>
        <v>34.56666666666667</v>
      </c>
      <c r="HE23" s="159" t="str">
        <f t="shared" si="19"/>
        <v>N/A</v>
      </c>
      <c r="HF23" s="160">
        <f t="shared" si="20"/>
        <v>34.6</v>
      </c>
      <c r="HG23" s="160" cm="1">
        <f t="array" ref="HG23">INDEX($HB23:$HD23,MATCH(TRUE,INDEX(ISNUMBER($HB23:$HD23),0),0))</f>
        <v>32</v>
      </c>
      <c r="HH23" s="161">
        <f t="shared" si="21"/>
        <v>1</v>
      </c>
      <c r="HI23" s="108">
        <f t="shared" si="22"/>
        <v>1</v>
      </c>
      <c r="HJ23" s="91">
        <f t="shared" si="23"/>
        <v>1</v>
      </c>
      <c r="HK23" s="205" t="str">
        <f t="shared" si="24"/>
        <v>1</v>
      </c>
    </row>
    <row r="24" spans="1:219" ht="15" customHeight="1" x14ac:dyDescent="0.3">
      <c r="A24" s="146">
        <v>4483735616</v>
      </c>
      <c r="B24" s="93" t="s">
        <v>221</v>
      </c>
      <c r="C24" s="93" t="s">
        <v>222</v>
      </c>
      <c r="D24" s="93" t="s">
        <v>221</v>
      </c>
      <c r="E24" s="145" t="s">
        <v>347</v>
      </c>
      <c r="F24" s="145" t="s">
        <v>319</v>
      </c>
      <c r="G24" s="145" t="s">
        <v>301</v>
      </c>
      <c r="H24" s="70">
        <v>44099</v>
      </c>
      <c r="I24" s="147" t="s">
        <v>348</v>
      </c>
      <c r="J24" s="170" t="s">
        <v>225</v>
      </c>
      <c r="K24" s="145" t="s">
        <v>226</v>
      </c>
      <c r="L24" s="145" t="s">
        <v>226</v>
      </c>
      <c r="M24" s="145" t="s">
        <v>226</v>
      </c>
      <c r="N24" s="145" t="s">
        <v>226</v>
      </c>
      <c r="O24" s="145" t="s">
        <v>226</v>
      </c>
      <c r="P24" s="70" t="s">
        <v>226</v>
      </c>
      <c r="Q24" s="93" t="s">
        <v>226</v>
      </c>
      <c r="R24" s="97" t="s">
        <v>226</v>
      </c>
      <c r="S24" s="97" t="s">
        <v>226</v>
      </c>
      <c r="T24" s="97" t="s">
        <v>226</v>
      </c>
      <c r="U24" s="97" t="s">
        <v>226</v>
      </c>
      <c r="V24" s="93" t="s">
        <v>226</v>
      </c>
      <c r="W24" s="97" t="s">
        <v>226</v>
      </c>
      <c r="X24" s="97" t="s">
        <v>226</v>
      </c>
      <c r="Y24" s="97" t="s">
        <v>226</v>
      </c>
      <c r="Z24" s="97" t="s">
        <v>226</v>
      </c>
      <c r="AA24" s="93" t="s">
        <v>226</v>
      </c>
      <c r="AB24" s="97" t="s">
        <v>226</v>
      </c>
      <c r="AC24" s="97" t="s">
        <v>226</v>
      </c>
      <c r="AD24" s="97" t="s">
        <v>226</v>
      </c>
      <c r="AE24" s="97" t="s">
        <v>226</v>
      </c>
      <c r="AF24" s="93" t="s">
        <v>226</v>
      </c>
      <c r="AG24" s="97" t="s">
        <v>226</v>
      </c>
      <c r="AH24" s="97" t="s">
        <v>226</v>
      </c>
      <c r="AI24" s="97" t="s">
        <v>226</v>
      </c>
      <c r="AJ24" s="97" t="s">
        <v>226</v>
      </c>
      <c r="AK24" s="93" t="s">
        <v>226</v>
      </c>
      <c r="AL24" s="97" t="s">
        <v>226</v>
      </c>
      <c r="AM24" s="97" t="s">
        <v>226</v>
      </c>
      <c r="AN24" s="97" t="s">
        <v>226</v>
      </c>
      <c r="AO24" s="97" t="s">
        <v>226</v>
      </c>
      <c r="AP24" s="93" t="s">
        <v>226</v>
      </c>
      <c r="AQ24" s="106" t="s">
        <v>227</v>
      </c>
      <c r="AR24" s="69">
        <v>20704</v>
      </c>
      <c r="AS24" s="70">
        <v>44053</v>
      </c>
      <c r="AT24" s="149">
        <f t="shared" si="0"/>
        <v>63</v>
      </c>
      <c r="AU24" s="147" t="s">
        <v>291</v>
      </c>
      <c r="AV24" s="93" t="s">
        <v>229</v>
      </c>
      <c r="AW24" s="93" t="s">
        <v>230</v>
      </c>
      <c r="AX24" s="150" t="s">
        <v>265</v>
      </c>
      <c r="AY24" s="150">
        <v>0</v>
      </c>
      <c r="AZ24" s="150" t="s">
        <v>232</v>
      </c>
      <c r="BA24" s="150">
        <v>0</v>
      </c>
      <c r="BB24" s="93" t="s">
        <v>266</v>
      </c>
      <c r="BC24" s="152">
        <v>3</v>
      </c>
      <c r="BD24" s="153" t="s">
        <v>234</v>
      </c>
      <c r="BE24" s="93" t="s">
        <v>267</v>
      </c>
      <c r="BF24" s="153" t="s">
        <v>221</v>
      </c>
      <c r="BG24" s="154" t="s">
        <v>226</v>
      </c>
      <c r="BH24" s="155" t="s">
        <v>226</v>
      </c>
      <c r="BI24" s="155" t="s">
        <v>226</v>
      </c>
      <c r="BJ24" s="155" t="s">
        <v>226</v>
      </c>
      <c r="BK24" s="155" t="s">
        <v>226</v>
      </c>
      <c r="BL24" s="155" t="s">
        <v>226</v>
      </c>
      <c r="BM24" s="155" t="s">
        <v>226</v>
      </c>
      <c r="BN24" s="155" t="s">
        <v>226</v>
      </c>
      <c r="BO24" s="155" t="s">
        <v>226</v>
      </c>
      <c r="BP24" s="155" t="s">
        <v>226</v>
      </c>
      <c r="BQ24" s="155" t="s">
        <v>226</v>
      </c>
      <c r="BR24" s="155" t="s">
        <v>226</v>
      </c>
      <c r="BS24" s="155" t="s">
        <v>226</v>
      </c>
      <c r="BT24" s="155" t="s">
        <v>226</v>
      </c>
      <c r="BU24" s="155" t="s">
        <v>226</v>
      </c>
      <c r="BV24" s="155" t="s">
        <v>226</v>
      </c>
      <c r="BW24" s="155" t="s">
        <v>226</v>
      </c>
      <c r="BX24" s="155" t="s">
        <v>226</v>
      </c>
      <c r="BY24" s="155" t="s">
        <v>226</v>
      </c>
      <c r="BZ24" s="155" t="s">
        <v>226</v>
      </c>
      <c r="CA24" s="155" t="s">
        <v>226</v>
      </c>
      <c r="CB24" s="155" t="s">
        <v>226</v>
      </c>
      <c r="CC24" s="155" t="s">
        <v>226</v>
      </c>
      <c r="CD24" s="155" t="s">
        <v>226</v>
      </c>
      <c r="CE24" s="155" t="s">
        <v>226</v>
      </c>
      <c r="CF24" s="155" t="s">
        <v>226</v>
      </c>
      <c r="CG24" s="155" t="s">
        <v>226</v>
      </c>
      <c r="CH24" s="155" t="s">
        <v>226</v>
      </c>
      <c r="CI24" s="155" t="s">
        <v>226</v>
      </c>
      <c r="CJ24" s="155" t="s">
        <v>226</v>
      </c>
      <c r="CK24" s="155" t="s">
        <v>226</v>
      </c>
      <c r="CL24" s="155" t="s">
        <v>226</v>
      </c>
      <c r="CM24" s="155" t="s">
        <v>226</v>
      </c>
      <c r="CN24" s="106" t="s">
        <v>226</v>
      </c>
      <c r="CO24" s="145" t="s">
        <v>226</v>
      </c>
      <c r="CP24" s="145" t="s">
        <v>226</v>
      </c>
      <c r="CQ24" s="145" t="s">
        <v>226</v>
      </c>
      <c r="CR24" s="145" t="s">
        <v>226</v>
      </c>
      <c r="CS24" s="145" t="s">
        <v>226</v>
      </c>
      <c r="CT24" s="145" t="s">
        <v>226</v>
      </c>
      <c r="CU24" s="145" t="s">
        <v>226</v>
      </c>
      <c r="CV24" s="145" t="s">
        <v>226</v>
      </c>
      <c r="CW24" s="145" t="s">
        <v>226</v>
      </c>
      <c r="CX24" s="145" t="s">
        <v>226</v>
      </c>
      <c r="CY24" s="145" t="s">
        <v>226</v>
      </c>
      <c r="CZ24" s="145" t="s">
        <v>226</v>
      </c>
      <c r="DA24" s="145" t="s">
        <v>226</v>
      </c>
      <c r="DB24" s="145" t="s">
        <v>226</v>
      </c>
      <c r="DC24" s="145" t="s">
        <v>226</v>
      </c>
      <c r="DD24" s="145" t="s">
        <v>226</v>
      </c>
      <c r="DE24" s="145" t="s">
        <v>226</v>
      </c>
      <c r="DF24" s="145" t="s">
        <v>226</v>
      </c>
      <c r="DG24" s="145" t="s">
        <v>226</v>
      </c>
      <c r="DH24" s="145" t="s">
        <v>226</v>
      </c>
      <c r="DI24" s="145" t="s">
        <v>226</v>
      </c>
      <c r="DJ24" s="145" t="s">
        <v>226</v>
      </c>
      <c r="DK24" s="145" t="s">
        <v>226</v>
      </c>
      <c r="DL24" s="145" t="s">
        <v>226</v>
      </c>
      <c r="DM24" s="145" t="s">
        <v>226</v>
      </c>
      <c r="DN24" s="145" t="s">
        <v>226</v>
      </c>
      <c r="DO24" s="145" t="s">
        <v>226</v>
      </c>
      <c r="DP24" s="145" t="s">
        <v>226</v>
      </c>
      <c r="DQ24" s="145" t="s">
        <v>226</v>
      </c>
      <c r="DR24" s="145" t="s">
        <v>226</v>
      </c>
      <c r="DS24" s="145" t="s">
        <v>226</v>
      </c>
      <c r="DT24" s="145" t="s">
        <v>226</v>
      </c>
      <c r="DU24" s="145" t="s">
        <v>226</v>
      </c>
      <c r="DV24" s="145" t="s">
        <v>226</v>
      </c>
      <c r="DW24" s="145" t="s">
        <v>226</v>
      </c>
      <c r="DX24" s="145" t="s">
        <v>226</v>
      </c>
      <c r="DY24" s="145" t="s">
        <v>226</v>
      </c>
      <c r="DZ24" s="145" t="s">
        <v>226</v>
      </c>
      <c r="EA24" s="145" t="s">
        <v>226</v>
      </c>
      <c r="EB24" s="145" t="s">
        <v>226</v>
      </c>
      <c r="EC24" s="145" t="s">
        <v>226</v>
      </c>
      <c r="ED24" s="145" t="s">
        <v>226</v>
      </c>
      <c r="EE24" s="145" t="s">
        <v>226</v>
      </c>
      <c r="EF24" s="145" t="s">
        <v>226</v>
      </c>
      <c r="EG24" s="145" t="s">
        <v>226</v>
      </c>
      <c r="EH24" s="145" t="s">
        <v>226</v>
      </c>
      <c r="EI24" s="145" t="s">
        <v>226</v>
      </c>
      <c r="EJ24" s="145" t="s">
        <v>226</v>
      </c>
      <c r="EK24" s="145" t="s">
        <v>226</v>
      </c>
      <c r="EL24" s="145" t="s">
        <v>226</v>
      </c>
      <c r="EM24" s="145" t="s">
        <v>226</v>
      </c>
      <c r="EN24" s="145" t="s">
        <v>226</v>
      </c>
      <c r="EO24" s="145" t="s">
        <v>226</v>
      </c>
      <c r="EP24" s="145" t="s">
        <v>226</v>
      </c>
      <c r="EQ24" s="145" t="s">
        <v>226</v>
      </c>
      <c r="ER24" s="145" t="s">
        <v>226</v>
      </c>
      <c r="ES24" s="145" t="s">
        <v>226</v>
      </c>
      <c r="ET24" s="145" t="s">
        <v>226</v>
      </c>
      <c r="EU24" s="145" t="s">
        <v>226</v>
      </c>
      <c r="EV24" s="145" t="s">
        <v>226</v>
      </c>
      <c r="EW24" s="145" t="s">
        <v>226</v>
      </c>
      <c r="EX24" s="145" t="s">
        <v>226</v>
      </c>
      <c r="EY24" s="106" t="s">
        <v>226</v>
      </c>
      <c r="EZ24" s="145" t="s">
        <v>226</v>
      </c>
      <c r="FA24" s="145" t="s">
        <v>226</v>
      </c>
      <c r="FB24" s="106" t="s">
        <v>226</v>
      </c>
      <c r="FC24" s="145" t="s">
        <v>226</v>
      </c>
      <c r="FD24" s="145" t="s">
        <v>226</v>
      </c>
      <c r="FE24" s="155" t="s">
        <v>226</v>
      </c>
      <c r="FF24" s="155" t="s">
        <v>226</v>
      </c>
      <c r="FG24" s="155" t="s">
        <v>226</v>
      </c>
      <c r="FH24" s="155" t="s">
        <v>226</v>
      </c>
      <c r="FI24" s="155" t="s">
        <v>226</v>
      </c>
      <c r="FJ24" s="155" t="s">
        <v>226</v>
      </c>
      <c r="FK24" s="155" t="s">
        <v>226</v>
      </c>
      <c r="FL24" s="155" t="s">
        <v>226</v>
      </c>
      <c r="FM24" s="155" t="s">
        <v>226</v>
      </c>
      <c r="FN24" s="155" t="s">
        <v>226</v>
      </c>
      <c r="FO24" s="155" t="s">
        <v>226</v>
      </c>
      <c r="FP24" s="155" t="s">
        <v>226</v>
      </c>
      <c r="FQ24" s="155" t="s">
        <v>226</v>
      </c>
      <c r="FR24" s="155" t="s">
        <v>226</v>
      </c>
      <c r="FS24" s="155" t="s">
        <v>226</v>
      </c>
      <c r="FT24" s="155" t="s">
        <v>226</v>
      </c>
      <c r="FU24" s="155" t="s">
        <v>226</v>
      </c>
      <c r="FV24" s="155" t="s">
        <v>226</v>
      </c>
      <c r="FW24" s="155" t="s">
        <v>226</v>
      </c>
      <c r="FX24" s="155" t="s">
        <v>226</v>
      </c>
      <c r="FY24" s="155" t="s">
        <v>226</v>
      </c>
      <c r="FZ24" s="155" t="s">
        <v>226</v>
      </c>
      <c r="GA24" s="155" t="s">
        <v>226</v>
      </c>
      <c r="GB24" s="155" t="s">
        <v>226</v>
      </c>
      <c r="GC24" s="155" t="s">
        <v>226</v>
      </c>
      <c r="GD24" s="155" t="s">
        <v>226</v>
      </c>
      <c r="GE24" s="155" t="s">
        <v>226</v>
      </c>
      <c r="GF24" s="150" t="s">
        <v>237</v>
      </c>
      <c r="GG24" s="70">
        <v>45662</v>
      </c>
      <c r="GH24" s="93" t="s">
        <v>232</v>
      </c>
      <c r="GI24" s="145" t="s">
        <v>232</v>
      </c>
      <c r="GJ24" s="70">
        <v>44232</v>
      </c>
      <c r="GK24" s="70" t="s">
        <v>226</v>
      </c>
      <c r="GL24" s="70" t="s">
        <v>226</v>
      </c>
      <c r="GM24" s="159" t="str">
        <f t="shared" si="1"/>
        <v>N/A</v>
      </c>
      <c r="GN24" s="159" t="str">
        <f t="shared" si="2"/>
        <v>N/A</v>
      </c>
      <c r="GO24" s="159">
        <f t="shared" si="3"/>
        <v>1.5333333333333334</v>
      </c>
      <c r="GP24" s="159" t="str">
        <f t="shared" si="4"/>
        <v>N/A</v>
      </c>
      <c r="GQ24" s="159" t="str">
        <f t="shared" si="5"/>
        <v>N/A</v>
      </c>
      <c r="GR24" s="159" t="str">
        <f t="shared" si="6"/>
        <v>N/A</v>
      </c>
      <c r="GS24" s="159" t="str">
        <f t="shared" si="7"/>
        <v>N/A</v>
      </c>
      <c r="GT24" s="159" t="str">
        <f t="shared" si="8"/>
        <v>N/A</v>
      </c>
      <c r="GU24" s="159" t="str">
        <f t="shared" si="9"/>
        <v>N/A</v>
      </c>
      <c r="GV24" s="159" t="str">
        <f t="shared" si="10"/>
        <v>N/A</v>
      </c>
      <c r="GW24" s="159" t="str">
        <f t="shared" si="11"/>
        <v>N/A</v>
      </c>
      <c r="GX24" s="159" t="str">
        <f t="shared" si="12"/>
        <v>N/A</v>
      </c>
      <c r="GY24" s="159" t="str">
        <f t="shared" si="13"/>
        <v>N/A</v>
      </c>
      <c r="GZ24" s="159" t="str">
        <f t="shared" si="14"/>
        <v>N/A</v>
      </c>
      <c r="HA24" s="159" t="str">
        <f t="shared" si="15"/>
        <v>N/A</v>
      </c>
      <c r="HB24" s="159" t="str">
        <f t="shared" si="16"/>
        <v>N/A</v>
      </c>
      <c r="HC24" s="159">
        <f t="shared" si="17"/>
        <v>53.633333333333333</v>
      </c>
      <c r="HD24" s="159">
        <f t="shared" si="18"/>
        <v>5.9666666666666668</v>
      </c>
      <c r="HE24" s="159" t="str">
        <f t="shared" si="19"/>
        <v>N/A</v>
      </c>
      <c r="HF24" s="160">
        <f t="shared" si="20"/>
        <v>53.633333333333333</v>
      </c>
      <c r="HG24" s="160" cm="1">
        <f t="array" ref="HG24">INDEX($HB24:$HD24,MATCH(TRUE,INDEX(ISNUMBER($HB24:$HD24),0),0))</f>
        <v>53.633333333333333</v>
      </c>
      <c r="HH24" s="161">
        <f t="shared" si="21"/>
        <v>0</v>
      </c>
      <c r="HI24" s="108">
        <f t="shared" si="22"/>
        <v>0</v>
      </c>
      <c r="HJ24" s="91">
        <f t="shared" si="23"/>
        <v>1</v>
      </c>
      <c r="HK24" s="205" t="str">
        <f t="shared" si="24"/>
        <v>0</v>
      </c>
    </row>
    <row r="25" spans="1:219" ht="15" customHeight="1" x14ac:dyDescent="0.3">
      <c r="A25" s="146">
        <v>4822303500</v>
      </c>
      <c r="B25" s="93" t="s">
        <v>221</v>
      </c>
      <c r="C25" s="93" t="s">
        <v>222</v>
      </c>
      <c r="D25" s="93" t="s">
        <v>221</v>
      </c>
      <c r="E25" s="145" t="s">
        <v>349</v>
      </c>
      <c r="F25" s="145" t="s">
        <v>350</v>
      </c>
      <c r="G25" s="145" t="s">
        <v>351</v>
      </c>
      <c r="H25" s="70">
        <v>44117</v>
      </c>
      <c r="I25" s="147" t="s">
        <v>352</v>
      </c>
      <c r="J25" s="147" t="s">
        <v>353</v>
      </c>
      <c r="K25" s="145" t="s">
        <v>226</v>
      </c>
      <c r="L25" s="145" t="s">
        <v>226</v>
      </c>
      <c r="M25" s="145" t="s">
        <v>226</v>
      </c>
      <c r="N25" s="145" t="s">
        <v>226</v>
      </c>
      <c r="O25" s="145" t="s">
        <v>226</v>
      </c>
      <c r="P25" s="70" t="s">
        <v>226</v>
      </c>
      <c r="Q25" s="93" t="s">
        <v>226</v>
      </c>
      <c r="R25" s="97" t="s">
        <v>226</v>
      </c>
      <c r="S25" s="97" t="s">
        <v>226</v>
      </c>
      <c r="T25" s="97" t="s">
        <v>226</v>
      </c>
      <c r="U25" s="97" t="s">
        <v>226</v>
      </c>
      <c r="V25" s="93" t="s">
        <v>226</v>
      </c>
      <c r="W25" s="97" t="s">
        <v>226</v>
      </c>
      <c r="X25" s="97" t="s">
        <v>226</v>
      </c>
      <c r="Y25" s="97" t="s">
        <v>226</v>
      </c>
      <c r="Z25" s="97" t="s">
        <v>226</v>
      </c>
      <c r="AA25" s="93" t="s">
        <v>226</v>
      </c>
      <c r="AB25" s="97" t="s">
        <v>226</v>
      </c>
      <c r="AC25" s="97" t="s">
        <v>226</v>
      </c>
      <c r="AD25" s="97" t="s">
        <v>226</v>
      </c>
      <c r="AE25" s="97" t="s">
        <v>226</v>
      </c>
      <c r="AF25" s="93" t="s">
        <v>226</v>
      </c>
      <c r="AG25" s="97" t="s">
        <v>226</v>
      </c>
      <c r="AH25" s="97" t="s">
        <v>226</v>
      </c>
      <c r="AI25" s="97" t="s">
        <v>226</v>
      </c>
      <c r="AJ25" s="97" t="s">
        <v>226</v>
      </c>
      <c r="AK25" s="93" t="s">
        <v>226</v>
      </c>
      <c r="AL25" s="97" t="s">
        <v>226</v>
      </c>
      <c r="AM25" s="97" t="s">
        <v>226</v>
      </c>
      <c r="AN25" s="97" t="s">
        <v>226</v>
      </c>
      <c r="AO25" s="97" t="s">
        <v>226</v>
      </c>
      <c r="AP25" s="93" t="s">
        <v>226</v>
      </c>
      <c r="AQ25" s="106" t="s">
        <v>227</v>
      </c>
      <c r="AR25" s="69">
        <v>21755</v>
      </c>
      <c r="AS25" s="70">
        <v>44117</v>
      </c>
      <c r="AT25" s="149">
        <f t="shared" si="0"/>
        <v>61</v>
      </c>
      <c r="AU25" s="147" t="s">
        <v>291</v>
      </c>
      <c r="AV25" s="93" t="s">
        <v>229</v>
      </c>
      <c r="AW25" s="93" t="s">
        <v>230</v>
      </c>
      <c r="AX25" s="151" t="s">
        <v>265</v>
      </c>
      <c r="AY25" s="150">
        <v>0</v>
      </c>
      <c r="AZ25" s="150" t="s">
        <v>232</v>
      </c>
      <c r="BA25" s="150">
        <v>0</v>
      </c>
      <c r="BB25" s="171" t="s">
        <v>266</v>
      </c>
      <c r="BC25" s="152">
        <v>1</v>
      </c>
      <c r="BD25" s="153" t="s">
        <v>234</v>
      </c>
      <c r="BE25" s="171" t="s">
        <v>267</v>
      </c>
      <c r="BF25" s="153" t="s">
        <v>221</v>
      </c>
      <c r="BG25" s="154" t="s">
        <v>226</v>
      </c>
      <c r="BH25" s="155" t="s">
        <v>226</v>
      </c>
      <c r="BI25" s="155" t="s">
        <v>226</v>
      </c>
      <c r="BJ25" s="155" t="s">
        <v>226</v>
      </c>
      <c r="BK25" s="155" t="s">
        <v>226</v>
      </c>
      <c r="BL25" s="155" t="s">
        <v>226</v>
      </c>
      <c r="BM25" s="155" t="s">
        <v>226</v>
      </c>
      <c r="BN25" s="155" t="s">
        <v>226</v>
      </c>
      <c r="BO25" s="155" t="s">
        <v>226</v>
      </c>
      <c r="BP25" s="155" t="s">
        <v>226</v>
      </c>
      <c r="BQ25" s="155" t="s">
        <v>226</v>
      </c>
      <c r="BR25" s="155" t="s">
        <v>226</v>
      </c>
      <c r="BS25" s="155" t="s">
        <v>226</v>
      </c>
      <c r="BT25" s="155" t="s">
        <v>226</v>
      </c>
      <c r="BU25" s="155" t="s">
        <v>226</v>
      </c>
      <c r="BV25" s="155" t="s">
        <v>226</v>
      </c>
      <c r="BW25" s="155" t="s">
        <v>226</v>
      </c>
      <c r="BX25" s="155" t="s">
        <v>226</v>
      </c>
      <c r="BY25" s="155" t="s">
        <v>226</v>
      </c>
      <c r="BZ25" s="155" t="s">
        <v>226</v>
      </c>
      <c r="CA25" s="155" t="s">
        <v>226</v>
      </c>
      <c r="CB25" s="155" t="s">
        <v>226</v>
      </c>
      <c r="CC25" s="155" t="s">
        <v>226</v>
      </c>
      <c r="CD25" s="155" t="s">
        <v>226</v>
      </c>
      <c r="CE25" s="155" t="s">
        <v>226</v>
      </c>
      <c r="CF25" s="155" t="s">
        <v>226</v>
      </c>
      <c r="CG25" s="155" t="s">
        <v>226</v>
      </c>
      <c r="CH25" s="155" t="s">
        <v>226</v>
      </c>
      <c r="CI25" s="155" t="s">
        <v>226</v>
      </c>
      <c r="CJ25" s="155" t="s">
        <v>226</v>
      </c>
      <c r="CK25" s="155" t="s">
        <v>226</v>
      </c>
      <c r="CL25" s="155" t="s">
        <v>226</v>
      </c>
      <c r="CM25" s="155" t="s">
        <v>226</v>
      </c>
      <c r="CN25" s="106" t="s">
        <v>247</v>
      </c>
      <c r="CO25" s="145" t="s">
        <v>321</v>
      </c>
      <c r="CP25" s="70">
        <v>44180</v>
      </c>
      <c r="CQ25" s="70">
        <v>44187</v>
      </c>
      <c r="CR25" s="145" t="s">
        <v>226</v>
      </c>
      <c r="CS25" s="106" t="s">
        <v>226</v>
      </c>
      <c r="CT25" s="145" t="s">
        <v>226</v>
      </c>
      <c r="CU25" s="145" t="s">
        <v>226</v>
      </c>
      <c r="CV25" s="106" t="s">
        <v>226</v>
      </c>
      <c r="CW25" s="145" t="s">
        <v>226</v>
      </c>
      <c r="CX25" s="145" t="s">
        <v>226</v>
      </c>
      <c r="CY25" s="155" t="s">
        <v>226</v>
      </c>
      <c r="CZ25" s="155" t="s">
        <v>226</v>
      </c>
      <c r="DA25" s="155" t="s">
        <v>226</v>
      </c>
      <c r="DB25" s="155" t="s">
        <v>226</v>
      </c>
      <c r="DC25" s="155" t="s">
        <v>226</v>
      </c>
      <c r="DD25" s="155" t="s">
        <v>226</v>
      </c>
      <c r="DE25" s="155" t="s">
        <v>226</v>
      </c>
      <c r="DF25" s="155" t="s">
        <v>226</v>
      </c>
      <c r="DG25" s="155" t="s">
        <v>226</v>
      </c>
      <c r="DH25" s="155" t="s">
        <v>226</v>
      </c>
      <c r="DI25" s="155" t="s">
        <v>226</v>
      </c>
      <c r="DJ25" s="155" t="s">
        <v>226</v>
      </c>
      <c r="DK25" s="155" t="s">
        <v>226</v>
      </c>
      <c r="DL25" s="155" t="s">
        <v>226</v>
      </c>
      <c r="DM25" s="155" t="s">
        <v>226</v>
      </c>
      <c r="DN25" s="155" t="s">
        <v>226</v>
      </c>
      <c r="DO25" s="155" t="s">
        <v>226</v>
      </c>
      <c r="DP25" s="155" t="s">
        <v>226</v>
      </c>
      <c r="DQ25" s="155" t="s">
        <v>226</v>
      </c>
      <c r="DR25" s="155" t="s">
        <v>226</v>
      </c>
      <c r="DS25" s="155" t="s">
        <v>226</v>
      </c>
      <c r="DT25" s="155" t="s">
        <v>226</v>
      </c>
      <c r="DU25" s="155" t="s">
        <v>226</v>
      </c>
      <c r="DV25" s="155" t="s">
        <v>226</v>
      </c>
      <c r="DW25" s="155" t="s">
        <v>226</v>
      </c>
      <c r="DX25" s="155" t="s">
        <v>226</v>
      </c>
      <c r="DY25" s="155" t="s">
        <v>226</v>
      </c>
      <c r="DZ25" s="155" t="s">
        <v>226</v>
      </c>
      <c r="EA25" s="155" t="s">
        <v>226</v>
      </c>
      <c r="EB25" s="155" t="s">
        <v>226</v>
      </c>
      <c r="EC25" s="155" t="s">
        <v>226</v>
      </c>
      <c r="ED25" s="155" t="s">
        <v>226</v>
      </c>
      <c r="EE25" s="155" t="s">
        <v>226</v>
      </c>
      <c r="EF25" s="155" t="s">
        <v>226</v>
      </c>
      <c r="EG25" s="155" t="s">
        <v>226</v>
      </c>
      <c r="EH25" s="155" t="s">
        <v>226</v>
      </c>
      <c r="EI25" s="70">
        <v>44496</v>
      </c>
      <c r="EJ25" s="145" t="s">
        <v>309</v>
      </c>
      <c r="EK25" s="106" t="s">
        <v>247</v>
      </c>
      <c r="EL25" s="145" t="s">
        <v>316</v>
      </c>
      <c r="EM25" s="70">
        <v>44526</v>
      </c>
      <c r="EN25" s="70">
        <v>44532</v>
      </c>
      <c r="EO25" s="145" t="s">
        <v>232</v>
      </c>
      <c r="EP25" s="106" t="s">
        <v>226</v>
      </c>
      <c r="EQ25" s="145" t="s">
        <v>226</v>
      </c>
      <c r="ER25" s="145" t="s">
        <v>226</v>
      </c>
      <c r="ES25" s="106" t="s">
        <v>226</v>
      </c>
      <c r="ET25" s="145" t="s">
        <v>226</v>
      </c>
      <c r="EU25" s="145" t="s">
        <v>226</v>
      </c>
      <c r="EV25" s="106" t="s">
        <v>226</v>
      </c>
      <c r="EW25" s="145" t="s">
        <v>226</v>
      </c>
      <c r="EX25" s="145" t="s">
        <v>226</v>
      </c>
      <c r="EY25" s="106" t="s">
        <v>226</v>
      </c>
      <c r="EZ25" s="145" t="s">
        <v>226</v>
      </c>
      <c r="FA25" s="145" t="s">
        <v>226</v>
      </c>
      <c r="FB25" s="106" t="s">
        <v>226</v>
      </c>
      <c r="FC25" s="145" t="s">
        <v>226</v>
      </c>
      <c r="FD25" s="145" t="s">
        <v>226</v>
      </c>
      <c r="FE25" s="155" t="s">
        <v>226</v>
      </c>
      <c r="FF25" s="155" t="s">
        <v>226</v>
      </c>
      <c r="FG25" s="155" t="s">
        <v>226</v>
      </c>
      <c r="FH25" s="155" t="s">
        <v>226</v>
      </c>
      <c r="FI25" s="155" t="s">
        <v>226</v>
      </c>
      <c r="FJ25" s="155" t="s">
        <v>226</v>
      </c>
      <c r="FK25" s="155" t="s">
        <v>226</v>
      </c>
      <c r="FL25" s="155" t="s">
        <v>226</v>
      </c>
      <c r="FM25" s="155" t="s">
        <v>226</v>
      </c>
      <c r="FN25" s="155" t="s">
        <v>226</v>
      </c>
      <c r="FO25" s="155" t="s">
        <v>226</v>
      </c>
      <c r="FP25" s="155" t="s">
        <v>226</v>
      </c>
      <c r="FQ25" s="155" t="s">
        <v>226</v>
      </c>
      <c r="FR25" s="155" t="s">
        <v>226</v>
      </c>
      <c r="FS25" s="155" t="s">
        <v>226</v>
      </c>
      <c r="FT25" s="155" t="s">
        <v>226</v>
      </c>
      <c r="FU25" s="155" t="s">
        <v>226</v>
      </c>
      <c r="FV25" s="155" t="s">
        <v>226</v>
      </c>
      <c r="FW25" s="155" t="s">
        <v>226</v>
      </c>
      <c r="FX25" s="155" t="s">
        <v>226</v>
      </c>
      <c r="FY25" s="155" t="s">
        <v>226</v>
      </c>
      <c r="FZ25" s="155" t="s">
        <v>226</v>
      </c>
      <c r="GA25" s="155" t="s">
        <v>226</v>
      </c>
      <c r="GB25" s="155" t="s">
        <v>226</v>
      </c>
      <c r="GC25" s="155" t="s">
        <v>226</v>
      </c>
      <c r="GD25" s="155" t="s">
        <v>226</v>
      </c>
      <c r="GE25" s="155" t="s">
        <v>226</v>
      </c>
      <c r="GF25" s="150" t="s">
        <v>256</v>
      </c>
      <c r="GG25" s="70" t="s">
        <v>226</v>
      </c>
      <c r="GH25" s="93" t="s">
        <v>226</v>
      </c>
      <c r="GI25" s="145" t="s">
        <v>226</v>
      </c>
      <c r="GJ25" s="70">
        <v>44585</v>
      </c>
      <c r="GK25" s="70">
        <v>45902</v>
      </c>
      <c r="GL25" s="70" t="s">
        <v>226</v>
      </c>
      <c r="GM25" s="159" t="str">
        <f t="shared" si="1"/>
        <v>N/A</v>
      </c>
      <c r="GN25" s="159" t="str">
        <f t="shared" si="2"/>
        <v>N/A</v>
      </c>
      <c r="GO25" s="159">
        <f t="shared" si="3"/>
        <v>0</v>
      </c>
      <c r="GP25" s="159" t="str">
        <f t="shared" si="4"/>
        <v>N/A</v>
      </c>
      <c r="GQ25" s="159" t="str">
        <f t="shared" si="5"/>
        <v>N/A</v>
      </c>
      <c r="GR25" s="159" t="str">
        <f t="shared" si="6"/>
        <v>N/A</v>
      </c>
      <c r="GS25" s="159" t="str">
        <f t="shared" si="7"/>
        <v>N/A</v>
      </c>
      <c r="GT25" s="159" t="str">
        <f t="shared" si="8"/>
        <v>N/A</v>
      </c>
      <c r="GU25" s="159" t="str">
        <f t="shared" si="9"/>
        <v>N/A</v>
      </c>
      <c r="GV25" s="159" t="str">
        <f t="shared" si="10"/>
        <v>N/A</v>
      </c>
      <c r="GW25" s="159">
        <f t="shared" si="11"/>
        <v>2.1</v>
      </c>
      <c r="GX25" s="159">
        <f t="shared" si="12"/>
        <v>2.3333333333333335</v>
      </c>
      <c r="GY25" s="159">
        <f t="shared" si="13"/>
        <v>12.633333333333333</v>
      </c>
      <c r="GZ25" s="159">
        <f t="shared" si="14"/>
        <v>13.633333333333333</v>
      </c>
      <c r="HA25" s="159">
        <f t="shared" si="15"/>
        <v>13.833333333333334</v>
      </c>
      <c r="HB25" s="159">
        <f t="shared" si="16"/>
        <v>12.633333333333333</v>
      </c>
      <c r="HC25" s="159" t="str">
        <f t="shared" si="17"/>
        <v>N/A</v>
      </c>
      <c r="HD25" s="159">
        <f t="shared" si="18"/>
        <v>15.6</v>
      </c>
      <c r="HE25" s="159">
        <f t="shared" si="19"/>
        <v>59.5</v>
      </c>
      <c r="HF25" s="160">
        <f t="shared" si="20"/>
        <v>59.5</v>
      </c>
      <c r="HG25" s="160" cm="1">
        <f t="array" ref="HG25">INDEX($HB25:$HD25,MATCH(TRUE,INDEX(ISNUMBER($HB25:$HD25),0),0))</f>
        <v>12.633333333333333</v>
      </c>
      <c r="HH25" s="161">
        <f t="shared" si="21"/>
        <v>1</v>
      </c>
      <c r="HI25" s="108">
        <f t="shared" si="22"/>
        <v>0</v>
      </c>
      <c r="HJ25" s="91">
        <f t="shared" si="23"/>
        <v>0</v>
      </c>
      <c r="HK25" s="205" t="str">
        <f t="shared" si="24"/>
        <v>1</v>
      </c>
    </row>
    <row r="26" spans="1:219" ht="15" customHeight="1" x14ac:dyDescent="0.3">
      <c r="A26" s="146">
        <v>4387643676</v>
      </c>
      <c r="B26" s="93" t="s">
        <v>221</v>
      </c>
      <c r="C26" s="93" t="s">
        <v>222</v>
      </c>
      <c r="D26" s="93" t="s">
        <v>221</v>
      </c>
      <c r="E26" s="145" t="s">
        <v>354</v>
      </c>
      <c r="F26" s="145" t="s">
        <v>269</v>
      </c>
      <c r="G26" s="145" t="s">
        <v>319</v>
      </c>
      <c r="H26" s="70">
        <v>44260</v>
      </c>
      <c r="I26" s="147" t="s">
        <v>355</v>
      </c>
      <c r="J26" s="148" t="s">
        <v>225</v>
      </c>
      <c r="K26" s="145" t="s">
        <v>226</v>
      </c>
      <c r="L26" s="145" t="s">
        <v>226</v>
      </c>
      <c r="M26" s="145" t="s">
        <v>226</v>
      </c>
      <c r="N26" s="145" t="s">
        <v>226</v>
      </c>
      <c r="O26" s="145" t="s">
        <v>226</v>
      </c>
      <c r="P26" s="70" t="s">
        <v>226</v>
      </c>
      <c r="Q26" s="93" t="s">
        <v>226</v>
      </c>
      <c r="R26" s="97" t="s">
        <v>226</v>
      </c>
      <c r="S26" s="97" t="s">
        <v>226</v>
      </c>
      <c r="T26" s="97" t="s">
        <v>226</v>
      </c>
      <c r="U26" s="97" t="s">
        <v>226</v>
      </c>
      <c r="V26" s="93" t="s">
        <v>226</v>
      </c>
      <c r="W26" s="97" t="s">
        <v>226</v>
      </c>
      <c r="X26" s="97" t="s">
        <v>226</v>
      </c>
      <c r="Y26" s="97" t="s">
        <v>226</v>
      </c>
      <c r="Z26" s="97" t="s">
        <v>226</v>
      </c>
      <c r="AA26" s="93" t="s">
        <v>226</v>
      </c>
      <c r="AB26" s="97" t="s">
        <v>226</v>
      </c>
      <c r="AC26" s="97" t="s">
        <v>226</v>
      </c>
      <c r="AD26" s="97" t="s">
        <v>226</v>
      </c>
      <c r="AE26" s="97" t="s">
        <v>226</v>
      </c>
      <c r="AF26" s="93" t="s">
        <v>226</v>
      </c>
      <c r="AG26" s="97" t="s">
        <v>226</v>
      </c>
      <c r="AH26" s="97" t="s">
        <v>226</v>
      </c>
      <c r="AI26" s="97" t="s">
        <v>226</v>
      </c>
      <c r="AJ26" s="97" t="s">
        <v>226</v>
      </c>
      <c r="AK26" s="93" t="s">
        <v>226</v>
      </c>
      <c r="AL26" s="97" t="s">
        <v>226</v>
      </c>
      <c r="AM26" s="97" t="s">
        <v>226</v>
      </c>
      <c r="AN26" s="97" t="s">
        <v>226</v>
      </c>
      <c r="AO26" s="97" t="s">
        <v>226</v>
      </c>
      <c r="AP26" s="93" t="s">
        <v>226</v>
      </c>
      <c r="AQ26" s="106" t="s">
        <v>227</v>
      </c>
      <c r="AR26" s="69">
        <v>15518</v>
      </c>
      <c r="AS26" s="70">
        <v>44235</v>
      </c>
      <c r="AT26" s="149">
        <f t="shared" si="0"/>
        <v>78</v>
      </c>
      <c r="AU26" s="147" t="s">
        <v>291</v>
      </c>
      <c r="AV26" s="93" t="s">
        <v>229</v>
      </c>
      <c r="AW26" s="93" t="s">
        <v>221</v>
      </c>
      <c r="AX26" s="151">
        <v>2</v>
      </c>
      <c r="AY26" s="150">
        <v>0</v>
      </c>
      <c r="AZ26" s="150" t="s">
        <v>232</v>
      </c>
      <c r="BA26" s="150">
        <v>0</v>
      </c>
      <c r="BB26" s="171" t="s">
        <v>253</v>
      </c>
      <c r="BC26" s="152">
        <v>2</v>
      </c>
      <c r="BD26" s="153" t="s">
        <v>234</v>
      </c>
      <c r="BE26" s="171" t="s">
        <v>254</v>
      </c>
      <c r="BF26" s="153" t="s">
        <v>221</v>
      </c>
      <c r="BG26" s="154" t="s">
        <v>226</v>
      </c>
      <c r="BH26" s="155" t="s">
        <v>226</v>
      </c>
      <c r="BI26" s="155" t="s">
        <v>226</v>
      </c>
      <c r="BJ26" s="155" t="s">
        <v>226</v>
      </c>
      <c r="BK26" s="155" t="s">
        <v>226</v>
      </c>
      <c r="BL26" s="155" t="s">
        <v>226</v>
      </c>
      <c r="BM26" s="155" t="s">
        <v>226</v>
      </c>
      <c r="BN26" s="155" t="s">
        <v>226</v>
      </c>
      <c r="BO26" s="155" t="s">
        <v>226</v>
      </c>
      <c r="BP26" s="155" t="s">
        <v>226</v>
      </c>
      <c r="BQ26" s="155" t="s">
        <v>226</v>
      </c>
      <c r="BR26" s="155" t="s">
        <v>226</v>
      </c>
      <c r="BS26" s="155" t="s">
        <v>226</v>
      </c>
      <c r="BT26" s="155" t="s">
        <v>226</v>
      </c>
      <c r="BU26" s="155" t="s">
        <v>226</v>
      </c>
      <c r="BV26" s="155" t="s">
        <v>226</v>
      </c>
      <c r="BW26" s="155" t="s">
        <v>226</v>
      </c>
      <c r="BX26" s="155" t="s">
        <v>226</v>
      </c>
      <c r="BY26" s="155" t="s">
        <v>226</v>
      </c>
      <c r="BZ26" s="155" t="s">
        <v>226</v>
      </c>
      <c r="CA26" s="155" t="s">
        <v>226</v>
      </c>
      <c r="CB26" s="155" t="s">
        <v>226</v>
      </c>
      <c r="CC26" s="155" t="s">
        <v>226</v>
      </c>
      <c r="CD26" s="155" t="s">
        <v>226</v>
      </c>
      <c r="CE26" s="155" t="s">
        <v>226</v>
      </c>
      <c r="CF26" s="155" t="s">
        <v>226</v>
      </c>
      <c r="CG26" s="155" t="s">
        <v>226</v>
      </c>
      <c r="CH26" s="155" t="s">
        <v>226</v>
      </c>
      <c r="CI26" s="155" t="s">
        <v>226</v>
      </c>
      <c r="CJ26" s="155" t="s">
        <v>226</v>
      </c>
      <c r="CK26" s="155" t="s">
        <v>226</v>
      </c>
      <c r="CL26" s="155" t="s">
        <v>226</v>
      </c>
      <c r="CM26" s="155" t="s">
        <v>226</v>
      </c>
      <c r="CN26" s="106" t="s">
        <v>247</v>
      </c>
      <c r="CO26" s="145" t="s">
        <v>321</v>
      </c>
      <c r="CP26" s="70">
        <v>44313</v>
      </c>
      <c r="CQ26" s="70">
        <v>44321</v>
      </c>
      <c r="CR26" s="145" t="s">
        <v>226</v>
      </c>
      <c r="CS26" s="106" t="s">
        <v>226</v>
      </c>
      <c r="CT26" s="145" t="s">
        <v>226</v>
      </c>
      <c r="CU26" s="145" t="s">
        <v>226</v>
      </c>
      <c r="CV26" s="106" t="s">
        <v>226</v>
      </c>
      <c r="CW26" s="145" t="s">
        <v>226</v>
      </c>
      <c r="CX26" s="145" t="s">
        <v>226</v>
      </c>
      <c r="CY26" s="155" t="s">
        <v>226</v>
      </c>
      <c r="CZ26" s="155" t="s">
        <v>226</v>
      </c>
      <c r="DA26" s="155" t="s">
        <v>226</v>
      </c>
      <c r="DB26" s="155" t="s">
        <v>226</v>
      </c>
      <c r="DC26" s="155" t="s">
        <v>226</v>
      </c>
      <c r="DD26" s="155" t="s">
        <v>226</v>
      </c>
      <c r="DE26" s="155" t="s">
        <v>226</v>
      </c>
      <c r="DF26" s="155" t="s">
        <v>226</v>
      </c>
      <c r="DG26" s="155" t="s">
        <v>226</v>
      </c>
      <c r="DH26" s="155" t="s">
        <v>226</v>
      </c>
      <c r="DI26" s="155" t="s">
        <v>226</v>
      </c>
      <c r="DJ26" s="155" t="s">
        <v>226</v>
      </c>
      <c r="DK26" s="155" t="s">
        <v>226</v>
      </c>
      <c r="DL26" s="155" t="s">
        <v>226</v>
      </c>
      <c r="DM26" s="155" t="s">
        <v>226</v>
      </c>
      <c r="DN26" s="155" t="s">
        <v>226</v>
      </c>
      <c r="DO26" s="155" t="s">
        <v>226</v>
      </c>
      <c r="DP26" s="155" t="s">
        <v>226</v>
      </c>
      <c r="DQ26" s="155" t="s">
        <v>226</v>
      </c>
      <c r="DR26" s="155" t="s">
        <v>226</v>
      </c>
      <c r="DS26" s="155" t="s">
        <v>226</v>
      </c>
      <c r="DT26" s="155" t="s">
        <v>226</v>
      </c>
      <c r="DU26" s="155" t="s">
        <v>226</v>
      </c>
      <c r="DV26" s="155" t="s">
        <v>226</v>
      </c>
      <c r="DW26" s="155" t="s">
        <v>226</v>
      </c>
      <c r="DX26" s="155" t="s">
        <v>226</v>
      </c>
      <c r="DY26" s="155" t="s">
        <v>226</v>
      </c>
      <c r="DZ26" s="155" t="s">
        <v>226</v>
      </c>
      <c r="EA26" s="155" t="s">
        <v>226</v>
      </c>
      <c r="EB26" s="155" t="s">
        <v>226</v>
      </c>
      <c r="EC26" s="155" t="s">
        <v>226</v>
      </c>
      <c r="ED26" s="155" t="s">
        <v>226</v>
      </c>
      <c r="EE26" s="155" t="s">
        <v>226</v>
      </c>
      <c r="EF26" s="155" t="s">
        <v>226</v>
      </c>
      <c r="EG26" s="155" t="s">
        <v>226</v>
      </c>
      <c r="EH26" s="155" t="s">
        <v>226</v>
      </c>
      <c r="EI26" s="70">
        <v>45061</v>
      </c>
      <c r="EJ26" s="145" t="s">
        <v>309</v>
      </c>
      <c r="EK26" s="106" t="s">
        <v>247</v>
      </c>
      <c r="EL26" s="145" t="s">
        <v>356</v>
      </c>
      <c r="EM26" s="70">
        <v>45091</v>
      </c>
      <c r="EN26" s="70">
        <v>45097</v>
      </c>
      <c r="EO26" s="145" t="s">
        <v>276</v>
      </c>
      <c r="EP26" s="106" t="s">
        <v>226</v>
      </c>
      <c r="EQ26" s="145" t="s">
        <v>226</v>
      </c>
      <c r="ER26" s="145" t="s">
        <v>226</v>
      </c>
      <c r="ES26" s="106" t="s">
        <v>226</v>
      </c>
      <c r="ET26" s="145" t="s">
        <v>226</v>
      </c>
      <c r="EU26" s="145" t="s">
        <v>226</v>
      </c>
      <c r="EV26" s="106" t="s">
        <v>226</v>
      </c>
      <c r="EW26" s="145" t="s">
        <v>226</v>
      </c>
      <c r="EX26" s="145" t="s">
        <v>226</v>
      </c>
      <c r="EY26" s="106" t="s">
        <v>226</v>
      </c>
      <c r="EZ26" s="145" t="s">
        <v>226</v>
      </c>
      <c r="FA26" s="145" t="s">
        <v>226</v>
      </c>
      <c r="FB26" s="106" t="s">
        <v>226</v>
      </c>
      <c r="FC26" s="145" t="s">
        <v>226</v>
      </c>
      <c r="FD26" s="145" t="s">
        <v>226</v>
      </c>
      <c r="FE26" s="155" t="s">
        <v>226</v>
      </c>
      <c r="FF26" s="155" t="s">
        <v>226</v>
      </c>
      <c r="FG26" s="155" t="s">
        <v>226</v>
      </c>
      <c r="FH26" s="155" t="s">
        <v>226</v>
      </c>
      <c r="FI26" s="155" t="s">
        <v>226</v>
      </c>
      <c r="FJ26" s="155" t="s">
        <v>226</v>
      </c>
      <c r="FK26" s="155" t="s">
        <v>226</v>
      </c>
      <c r="FL26" s="155" t="s">
        <v>226</v>
      </c>
      <c r="FM26" s="155" t="s">
        <v>226</v>
      </c>
      <c r="FN26" s="155" t="s">
        <v>226</v>
      </c>
      <c r="FO26" s="155" t="s">
        <v>226</v>
      </c>
      <c r="FP26" s="155" t="s">
        <v>226</v>
      </c>
      <c r="FQ26" s="155" t="s">
        <v>226</v>
      </c>
      <c r="FR26" s="155" t="s">
        <v>226</v>
      </c>
      <c r="FS26" s="155" t="s">
        <v>226</v>
      </c>
      <c r="FT26" s="155" t="s">
        <v>226</v>
      </c>
      <c r="FU26" s="155" t="s">
        <v>226</v>
      </c>
      <c r="FV26" s="155" t="s">
        <v>226</v>
      </c>
      <c r="FW26" s="155" t="s">
        <v>226</v>
      </c>
      <c r="FX26" s="155" t="s">
        <v>226</v>
      </c>
      <c r="FY26" s="155" t="s">
        <v>226</v>
      </c>
      <c r="FZ26" s="155" t="s">
        <v>226</v>
      </c>
      <c r="GA26" s="155" t="s">
        <v>226</v>
      </c>
      <c r="GB26" s="155" t="s">
        <v>226</v>
      </c>
      <c r="GC26" s="155" t="s">
        <v>226</v>
      </c>
      <c r="GD26" s="155" t="s">
        <v>226</v>
      </c>
      <c r="GE26" s="155" t="s">
        <v>226</v>
      </c>
      <c r="GF26" s="150" t="s">
        <v>237</v>
      </c>
      <c r="GG26" s="70">
        <v>45676</v>
      </c>
      <c r="GH26" s="93" t="s">
        <v>230</v>
      </c>
      <c r="GI26" s="145" t="s">
        <v>312</v>
      </c>
      <c r="GJ26" s="70">
        <v>45589</v>
      </c>
      <c r="GK26" s="70" t="s">
        <v>226</v>
      </c>
      <c r="GL26" s="70" t="s">
        <v>226</v>
      </c>
      <c r="GM26" s="159" t="str">
        <f t="shared" si="1"/>
        <v>N/A</v>
      </c>
      <c r="GN26" s="159" t="str">
        <f t="shared" si="2"/>
        <v>N/A</v>
      </c>
      <c r="GO26" s="159">
        <f t="shared" si="3"/>
        <v>0.83333333333333337</v>
      </c>
      <c r="GP26" s="159" t="str">
        <f t="shared" si="4"/>
        <v>N/A</v>
      </c>
      <c r="GQ26" s="159" t="str">
        <f t="shared" si="5"/>
        <v>N/A</v>
      </c>
      <c r="GR26" s="159" t="str">
        <f t="shared" si="6"/>
        <v>N/A</v>
      </c>
      <c r="GS26" s="159" t="str">
        <f t="shared" si="7"/>
        <v>N/A</v>
      </c>
      <c r="GT26" s="159" t="str">
        <f t="shared" si="8"/>
        <v>N/A</v>
      </c>
      <c r="GU26" s="159" t="str">
        <f t="shared" si="9"/>
        <v>N/A</v>
      </c>
      <c r="GV26" s="159" t="str">
        <f t="shared" si="10"/>
        <v>N/A</v>
      </c>
      <c r="GW26" s="159">
        <f t="shared" si="11"/>
        <v>2.6</v>
      </c>
      <c r="GX26" s="159">
        <f t="shared" si="12"/>
        <v>2.8666666666666667</v>
      </c>
      <c r="GY26" s="159">
        <f t="shared" si="13"/>
        <v>27.533333333333335</v>
      </c>
      <c r="GZ26" s="159">
        <f t="shared" si="14"/>
        <v>28.533333333333335</v>
      </c>
      <c r="HA26" s="159">
        <f t="shared" si="15"/>
        <v>28.733333333333334</v>
      </c>
      <c r="HB26" s="159">
        <f t="shared" si="16"/>
        <v>27.533333333333335</v>
      </c>
      <c r="HC26" s="159">
        <f t="shared" si="17"/>
        <v>48.033333333333331</v>
      </c>
      <c r="HD26" s="159">
        <f t="shared" si="18"/>
        <v>45.133333333333333</v>
      </c>
      <c r="HE26" s="159" t="str">
        <f t="shared" si="19"/>
        <v>N/A</v>
      </c>
      <c r="HF26" s="160">
        <f t="shared" si="20"/>
        <v>48.033333333333331</v>
      </c>
      <c r="HG26" s="160" cm="1">
        <f t="array" ref="HG26">INDEX($HB26:$HD26,MATCH(TRUE,INDEX(ISNUMBER($HB26:$HD26),0),0))</f>
        <v>27.533333333333335</v>
      </c>
      <c r="HH26" s="161">
        <f t="shared" si="21"/>
        <v>1</v>
      </c>
      <c r="HI26" s="108">
        <f t="shared" si="22"/>
        <v>1</v>
      </c>
      <c r="HJ26" s="91">
        <f t="shared" si="23"/>
        <v>1</v>
      </c>
      <c r="HK26" s="205" t="str">
        <f t="shared" si="24"/>
        <v>1</v>
      </c>
    </row>
    <row r="27" spans="1:219" ht="15" customHeight="1" x14ac:dyDescent="0.3">
      <c r="A27" s="146">
        <v>4506130529</v>
      </c>
      <c r="B27" s="93" t="s">
        <v>221</v>
      </c>
      <c r="C27" s="93" t="s">
        <v>222</v>
      </c>
      <c r="D27" s="93" t="s">
        <v>221</v>
      </c>
      <c r="E27" s="145" t="s">
        <v>357</v>
      </c>
      <c r="F27" s="145" t="s">
        <v>301</v>
      </c>
      <c r="G27" s="145" t="s">
        <v>319</v>
      </c>
      <c r="H27" s="70">
        <v>44266</v>
      </c>
      <c r="I27" s="147" t="s">
        <v>330</v>
      </c>
      <c r="J27" s="147" t="s">
        <v>353</v>
      </c>
      <c r="K27" s="145" t="s">
        <v>226</v>
      </c>
      <c r="L27" s="145" t="s">
        <v>226</v>
      </c>
      <c r="M27" s="145" t="s">
        <v>226</v>
      </c>
      <c r="N27" s="145" t="s">
        <v>226</v>
      </c>
      <c r="O27" s="145" t="s">
        <v>226</v>
      </c>
      <c r="P27" s="70" t="s">
        <v>226</v>
      </c>
      <c r="Q27" s="93" t="s">
        <v>226</v>
      </c>
      <c r="R27" s="97" t="s">
        <v>226</v>
      </c>
      <c r="S27" s="97" t="s">
        <v>226</v>
      </c>
      <c r="T27" s="97" t="s">
        <v>226</v>
      </c>
      <c r="U27" s="97" t="s">
        <v>226</v>
      </c>
      <c r="V27" s="93" t="s">
        <v>226</v>
      </c>
      <c r="W27" s="97" t="s">
        <v>226</v>
      </c>
      <c r="X27" s="97" t="s">
        <v>226</v>
      </c>
      <c r="Y27" s="97" t="s">
        <v>226</v>
      </c>
      <c r="Z27" s="97" t="s">
        <v>226</v>
      </c>
      <c r="AA27" s="93" t="s">
        <v>226</v>
      </c>
      <c r="AB27" s="97" t="s">
        <v>226</v>
      </c>
      <c r="AC27" s="97" t="s">
        <v>226</v>
      </c>
      <c r="AD27" s="97" t="s">
        <v>226</v>
      </c>
      <c r="AE27" s="97" t="s">
        <v>226</v>
      </c>
      <c r="AF27" s="93" t="s">
        <v>226</v>
      </c>
      <c r="AG27" s="97" t="s">
        <v>226</v>
      </c>
      <c r="AH27" s="97" t="s">
        <v>226</v>
      </c>
      <c r="AI27" s="97" t="s">
        <v>226</v>
      </c>
      <c r="AJ27" s="97" t="s">
        <v>226</v>
      </c>
      <c r="AK27" s="93" t="s">
        <v>226</v>
      </c>
      <c r="AL27" s="97" t="s">
        <v>226</v>
      </c>
      <c r="AM27" s="97" t="s">
        <v>226</v>
      </c>
      <c r="AN27" s="97" t="s">
        <v>226</v>
      </c>
      <c r="AO27" s="97" t="s">
        <v>226</v>
      </c>
      <c r="AP27" s="93" t="s">
        <v>226</v>
      </c>
      <c r="AQ27" s="106" t="s">
        <v>227</v>
      </c>
      <c r="AR27" s="69">
        <v>21336</v>
      </c>
      <c r="AS27" s="70">
        <v>44216</v>
      </c>
      <c r="AT27" s="149">
        <f t="shared" si="0"/>
        <v>62</v>
      </c>
      <c r="AU27" s="147" t="s">
        <v>228</v>
      </c>
      <c r="AV27" s="93" t="s">
        <v>229</v>
      </c>
      <c r="AW27" s="93" t="s">
        <v>230</v>
      </c>
      <c r="AX27" s="151" t="s">
        <v>231</v>
      </c>
      <c r="AY27" s="151" t="s">
        <v>232</v>
      </c>
      <c r="AZ27" s="150" t="s">
        <v>232</v>
      </c>
      <c r="BA27" s="150">
        <v>0</v>
      </c>
      <c r="BB27" s="171" t="s">
        <v>233</v>
      </c>
      <c r="BC27" s="152">
        <v>1</v>
      </c>
      <c r="BD27" s="153" t="s">
        <v>234</v>
      </c>
      <c r="BE27" s="171" t="s">
        <v>235</v>
      </c>
      <c r="BF27" s="153" t="s">
        <v>221</v>
      </c>
      <c r="BG27" s="154" t="s">
        <v>226</v>
      </c>
      <c r="BH27" s="155" t="s">
        <v>226</v>
      </c>
      <c r="BI27" s="155" t="s">
        <v>226</v>
      </c>
      <c r="BJ27" s="155" t="s">
        <v>226</v>
      </c>
      <c r="BK27" s="155" t="s">
        <v>226</v>
      </c>
      <c r="BL27" s="155" t="s">
        <v>226</v>
      </c>
      <c r="BM27" s="155" t="s">
        <v>226</v>
      </c>
      <c r="BN27" s="155" t="s">
        <v>226</v>
      </c>
      <c r="BO27" s="155" t="s">
        <v>226</v>
      </c>
      <c r="BP27" s="155" t="s">
        <v>226</v>
      </c>
      <c r="BQ27" s="155" t="s">
        <v>226</v>
      </c>
      <c r="BR27" s="155" t="s">
        <v>226</v>
      </c>
      <c r="BS27" s="155" t="s">
        <v>226</v>
      </c>
      <c r="BT27" s="155" t="s">
        <v>226</v>
      </c>
      <c r="BU27" s="155" t="s">
        <v>226</v>
      </c>
      <c r="BV27" s="155" t="s">
        <v>226</v>
      </c>
      <c r="BW27" s="155" t="s">
        <v>226</v>
      </c>
      <c r="BX27" s="155" t="s">
        <v>226</v>
      </c>
      <c r="BY27" s="155" t="s">
        <v>226</v>
      </c>
      <c r="BZ27" s="155" t="s">
        <v>226</v>
      </c>
      <c r="CA27" s="155" t="s">
        <v>226</v>
      </c>
      <c r="CB27" s="155" t="s">
        <v>226</v>
      </c>
      <c r="CC27" s="155" t="s">
        <v>226</v>
      </c>
      <c r="CD27" s="155" t="s">
        <v>226</v>
      </c>
      <c r="CE27" s="155" t="s">
        <v>226</v>
      </c>
      <c r="CF27" s="155" t="s">
        <v>226</v>
      </c>
      <c r="CG27" s="155" t="s">
        <v>226</v>
      </c>
      <c r="CH27" s="155" t="s">
        <v>226</v>
      </c>
      <c r="CI27" s="155" t="s">
        <v>226</v>
      </c>
      <c r="CJ27" s="155" t="s">
        <v>226</v>
      </c>
      <c r="CK27" s="155" t="s">
        <v>226</v>
      </c>
      <c r="CL27" s="155" t="s">
        <v>226</v>
      </c>
      <c r="CM27" s="155" t="s">
        <v>226</v>
      </c>
      <c r="CN27" s="145" t="s">
        <v>226</v>
      </c>
      <c r="CO27" s="145" t="s">
        <v>226</v>
      </c>
      <c r="CP27" s="145" t="s">
        <v>226</v>
      </c>
      <c r="CQ27" s="145" t="s">
        <v>226</v>
      </c>
      <c r="CR27" s="145" t="s">
        <v>226</v>
      </c>
      <c r="CS27" s="145" t="s">
        <v>226</v>
      </c>
      <c r="CT27" s="145" t="s">
        <v>226</v>
      </c>
      <c r="CU27" s="145" t="s">
        <v>226</v>
      </c>
      <c r="CV27" s="145" t="s">
        <v>226</v>
      </c>
      <c r="CW27" s="145" t="s">
        <v>226</v>
      </c>
      <c r="CX27" s="145" t="s">
        <v>226</v>
      </c>
      <c r="CY27" s="145" t="s">
        <v>226</v>
      </c>
      <c r="CZ27" s="145" t="s">
        <v>226</v>
      </c>
      <c r="DA27" s="145" t="s">
        <v>226</v>
      </c>
      <c r="DB27" s="145" t="s">
        <v>226</v>
      </c>
      <c r="DC27" s="145" t="s">
        <v>226</v>
      </c>
      <c r="DD27" s="145" t="s">
        <v>226</v>
      </c>
      <c r="DE27" s="145" t="s">
        <v>226</v>
      </c>
      <c r="DF27" s="145" t="s">
        <v>226</v>
      </c>
      <c r="DG27" s="145" t="s">
        <v>226</v>
      </c>
      <c r="DH27" s="145" t="s">
        <v>226</v>
      </c>
      <c r="DI27" s="145" t="s">
        <v>226</v>
      </c>
      <c r="DJ27" s="145" t="s">
        <v>226</v>
      </c>
      <c r="DK27" s="145" t="s">
        <v>226</v>
      </c>
      <c r="DL27" s="145" t="s">
        <v>226</v>
      </c>
      <c r="DM27" s="145" t="s">
        <v>226</v>
      </c>
      <c r="DN27" s="145" t="s">
        <v>226</v>
      </c>
      <c r="DO27" s="145" t="s">
        <v>226</v>
      </c>
      <c r="DP27" s="145" t="s">
        <v>226</v>
      </c>
      <c r="DQ27" s="145" t="s">
        <v>226</v>
      </c>
      <c r="DR27" s="145" t="s">
        <v>226</v>
      </c>
      <c r="DS27" s="145" t="s">
        <v>226</v>
      </c>
      <c r="DT27" s="145" t="s">
        <v>226</v>
      </c>
      <c r="DU27" s="145" t="s">
        <v>226</v>
      </c>
      <c r="DV27" s="145" t="s">
        <v>226</v>
      </c>
      <c r="DW27" s="145" t="s">
        <v>226</v>
      </c>
      <c r="DX27" s="145" t="s">
        <v>226</v>
      </c>
      <c r="DY27" s="145" t="s">
        <v>226</v>
      </c>
      <c r="DZ27" s="145" t="s">
        <v>226</v>
      </c>
      <c r="EA27" s="145" t="s">
        <v>226</v>
      </c>
      <c r="EB27" s="145" t="s">
        <v>226</v>
      </c>
      <c r="EC27" s="145" t="s">
        <v>226</v>
      </c>
      <c r="ED27" s="145" t="s">
        <v>226</v>
      </c>
      <c r="EE27" s="145" t="s">
        <v>226</v>
      </c>
      <c r="EF27" s="145" t="s">
        <v>226</v>
      </c>
      <c r="EG27" s="145" t="s">
        <v>226</v>
      </c>
      <c r="EH27" s="145" t="s">
        <v>226</v>
      </c>
      <c r="EI27" s="145" t="s">
        <v>226</v>
      </c>
      <c r="EJ27" s="145" t="s">
        <v>226</v>
      </c>
      <c r="EK27" s="145" t="s">
        <v>226</v>
      </c>
      <c r="EL27" s="145" t="s">
        <v>226</v>
      </c>
      <c r="EM27" s="145" t="s">
        <v>226</v>
      </c>
      <c r="EN27" s="145" t="s">
        <v>226</v>
      </c>
      <c r="EO27" s="145" t="s">
        <v>226</v>
      </c>
      <c r="EP27" s="145" t="s">
        <v>226</v>
      </c>
      <c r="EQ27" s="145" t="s">
        <v>226</v>
      </c>
      <c r="ER27" s="145" t="s">
        <v>226</v>
      </c>
      <c r="ES27" s="145" t="s">
        <v>226</v>
      </c>
      <c r="ET27" s="145" t="s">
        <v>226</v>
      </c>
      <c r="EU27" s="145" t="s">
        <v>226</v>
      </c>
      <c r="EV27" s="145" t="s">
        <v>226</v>
      </c>
      <c r="EW27" s="145" t="s">
        <v>226</v>
      </c>
      <c r="EX27" s="145" t="s">
        <v>226</v>
      </c>
      <c r="EY27" s="106" t="s">
        <v>226</v>
      </c>
      <c r="EZ27" s="145" t="s">
        <v>226</v>
      </c>
      <c r="FA27" s="145" t="s">
        <v>226</v>
      </c>
      <c r="FB27" s="106" t="s">
        <v>226</v>
      </c>
      <c r="FC27" s="145" t="s">
        <v>226</v>
      </c>
      <c r="FD27" s="145" t="s">
        <v>226</v>
      </c>
      <c r="FE27" s="155" t="s">
        <v>226</v>
      </c>
      <c r="FF27" s="155" t="s">
        <v>226</v>
      </c>
      <c r="FG27" s="155" t="s">
        <v>226</v>
      </c>
      <c r="FH27" s="155" t="s">
        <v>226</v>
      </c>
      <c r="FI27" s="155" t="s">
        <v>226</v>
      </c>
      <c r="FJ27" s="155" t="s">
        <v>226</v>
      </c>
      <c r="FK27" s="155" t="s">
        <v>226</v>
      </c>
      <c r="FL27" s="155" t="s">
        <v>226</v>
      </c>
      <c r="FM27" s="155" t="s">
        <v>226</v>
      </c>
      <c r="FN27" s="155" t="s">
        <v>226</v>
      </c>
      <c r="FO27" s="155" t="s">
        <v>226</v>
      </c>
      <c r="FP27" s="155" t="s">
        <v>226</v>
      </c>
      <c r="FQ27" s="155" t="s">
        <v>226</v>
      </c>
      <c r="FR27" s="155" t="s">
        <v>226</v>
      </c>
      <c r="FS27" s="155" t="s">
        <v>226</v>
      </c>
      <c r="FT27" s="155" t="s">
        <v>226</v>
      </c>
      <c r="FU27" s="155" t="s">
        <v>226</v>
      </c>
      <c r="FV27" s="155" t="s">
        <v>226</v>
      </c>
      <c r="FW27" s="155" t="s">
        <v>226</v>
      </c>
      <c r="FX27" s="155" t="s">
        <v>226</v>
      </c>
      <c r="FY27" s="155" t="s">
        <v>226</v>
      </c>
      <c r="FZ27" s="155" t="s">
        <v>226</v>
      </c>
      <c r="GA27" s="155" t="s">
        <v>226</v>
      </c>
      <c r="GB27" s="155" t="s">
        <v>226</v>
      </c>
      <c r="GC27" s="155" t="s">
        <v>226</v>
      </c>
      <c r="GD27" s="155" t="s">
        <v>226</v>
      </c>
      <c r="GE27" s="155" t="s">
        <v>226</v>
      </c>
      <c r="GF27" s="150" t="s">
        <v>237</v>
      </c>
      <c r="GG27" s="70">
        <v>45368</v>
      </c>
      <c r="GH27" s="93" t="s">
        <v>221</v>
      </c>
      <c r="GI27" s="145" t="s">
        <v>232</v>
      </c>
      <c r="GJ27" s="70">
        <v>44279</v>
      </c>
      <c r="GK27" s="70" t="s">
        <v>226</v>
      </c>
      <c r="GL27" s="70" t="s">
        <v>358</v>
      </c>
      <c r="GM27" s="159" t="str">
        <f t="shared" si="1"/>
        <v>N/A</v>
      </c>
      <c r="GN27" s="159" t="str">
        <f t="shared" si="2"/>
        <v>N/A</v>
      </c>
      <c r="GO27" s="159">
        <f t="shared" si="3"/>
        <v>1.6666666666666667</v>
      </c>
      <c r="GP27" s="159" t="str">
        <f t="shared" si="4"/>
        <v>N/A</v>
      </c>
      <c r="GQ27" s="159" t="str">
        <f t="shared" si="5"/>
        <v>N/A</v>
      </c>
      <c r="GR27" s="159" t="str">
        <f t="shared" si="6"/>
        <v>N/A</v>
      </c>
      <c r="GS27" s="159" t="str">
        <f t="shared" si="7"/>
        <v>N/A</v>
      </c>
      <c r="GT27" s="159" t="str">
        <f t="shared" si="8"/>
        <v>N/A</v>
      </c>
      <c r="GU27" s="159" t="str">
        <f t="shared" si="9"/>
        <v>N/A</v>
      </c>
      <c r="GV27" s="159" t="str">
        <f t="shared" si="10"/>
        <v>N/A</v>
      </c>
      <c r="GW27" s="159" t="str">
        <f t="shared" si="11"/>
        <v>N/A</v>
      </c>
      <c r="GX27" s="159" t="str">
        <f t="shared" si="12"/>
        <v>N/A</v>
      </c>
      <c r="GY27" s="159" t="str">
        <f t="shared" si="13"/>
        <v>N/A</v>
      </c>
      <c r="GZ27" s="159" t="str">
        <f t="shared" si="14"/>
        <v>N/A</v>
      </c>
      <c r="HA27" s="159" t="str">
        <f t="shared" si="15"/>
        <v>N/A</v>
      </c>
      <c r="HB27" s="159" t="str">
        <f t="shared" si="16"/>
        <v>N/A</v>
      </c>
      <c r="HC27" s="159">
        <f t="shared" si="17"/>
        <v>38.4</v>
      </c>
      <c r="HD27" s="159">
        <f t="shared" si="18"/>
        <v>2.1</v>
      </c>
      <c r="HE27" s="159" t="str">
        <f t="shared" si="19"/>
        <v>N/A</v>
      </c>
      <c r="HF27" s="160">
        <f t="shared" si="20"/>
        <v>38.4</v>
      </c>
      <c r="HG27" s="160" cm="1">
        <f t="array" ref="HG27">INDEX($HB27:$HD27,MATCH(TRUE,INDEX(ISNUMBER($HB27:$HD27),0),0))</f>
        <v>38.4</v>
      </c>
      <c r="HH27" s="161">
        <f t="shared" si="21"/>
        <v>0</v>
      </c>
      <c r="HI27" s="108">
        <f t="shared" si="22"/>
        <v>0</v>
      </c>
      <c r="HJ27" s="91">
        <f t="shared" si="23"/>
        <v>1</v>
      </c>
      <c r="HK27" s="205" t="str">
        <f t="shared" si="24"/>
        <v>0</v>
      </c>
    </row>
    <row r="28" spans="1:219" ht="15" customHeight="1" x14ac:dyDescent="0.3">
      <c r="A28" s="146">
        <v>4125818207</v>
      </c>
      <c r="B28" s="93" t="s">
        <v>221</v>
      </c>
      <c r="C28" s="93" t="s">
        <v>222</v>
      </c>
      <c r="D28" s="93" t="s">
        <v>221</v>
      </c>
      <c r="E28" s="145" t="s">
        <v>359</v>
      </c>
      <c r="F28" s="145" t="s">
        <v>301</v>
      </c>
      <c r="G28" s="145" t="s">
        <v>360</v>
      </c>
      <c r="H28" s="70">
        <v>44270</v>
      </c>
      <c r="I28" s="147" t="s">
        <v>361</v>
      </c>
      <c r="J28" s="148" t="s">
        <v>225</v>
      </c>
      <c r="K28" s="145" t="s">
        <v>226</v>
      </c>
      <c r="L28" s="145" t="s">
        <v>226</v>
      </c>
      <c r="M28" s="145" t="s">
        <v>226</v>
      </c>
      <c r="N28" s="145" t="s">
        <v>226</v>
      </c>
      <c r="O28" s="145" t="s">
        <v>226</v>
      </c>
      <c r="P28" s="70" t="s">
        <v>226</v>
      </c>
      <c r="Q28" s="93" t="s">
        <v>226</v>
      </c>
      <c r="R28" s="97" t="s">
        <v>226</v>
      </c>
      <c r="S28" s="97" t="s">
        <v>226</v>
      </c>
      <c r="T28" s="97" t="s">
        <v>226</v>
      </c>
      <c r="U28" s="97" t="s">
        <v>226</v>
      </c>
      <c r="V28" s="93" t="s">
        <v>226</v>
      </c>
      <c r="W28" s="97" t="s">
        <v>226</v>
      </c>
      <c r="X28" s="97" t="s">
        <v>226</v>
      </c>
      <c r="Y28" s="97" t="s">
        <v>226</v>
      </c>
      <c r="Z28" s="97" t="s">
        <v>226</v>
      </c>
      <c r="AA28" s="93" t="s">
        <v>226</v>
      </c>
      <c r="AB28" s="97" t="s">
        <v>226</v>
      </c>
      <c r="AC28" s="97" t="s">
        <v>226</v>
      </c>
      <c r="AD28" s="97" t="s">
        <v>226</v>
      </c>
      <c r="AE28" s="97" t="s">
        <v>226</v>
      </c>
      <c r="AF28" s="93" t="s">
        <v>226</v>
      </c>
      <c r="AG28" s="97" t="s">
        <v>226</v>
      </c>
      <c r="AH28" s="97" t="s">
        <v>226</v>
      </c>
      <c r="AI28" s="97" t="s">
        <v>226</v>
      </c>
      <c r="AJ28" s="97" t="s">
        <v>226</v>
      </c>
      <c r="AK28" s="93" t="s">
        <v>226</v>
      </c>
      <c r="AL28" s="97" t="s">
        <v>226</v>
      </c>
      <c r="AM28" s="97" t="s">
        <v>226</v>
      </c>
      <c r="AN28" s="97" t="s">
        <v>226</v>
      </c>
      <c r="AO28" s="97" t="s">
        <v>226</v>
      </c>
      <c r="AP28" s="93" t="s">
        <v>226</v>
      </c>
      <c r="AQ28" s="106" t="s">
        <v>227</v>
      </c>
      <c r="AR28" s="69">
        <v>23900</v>
      </c>
      <c r="AS28" s="70">
        <v>44210</v>
      </c>
      <c r="AT28" s="149">
        <f t="shared" si="0"/>
        <v>55</v>
      </c>
      <c r="AU28" s="147" t="s">
        <v>252</v>
      </c>
      <c r="AV28" s="93" t="s">
        <v>229</v>
      </c>
      <c r="AW28" s="93" t="s">
        <v>230</v>
      </c>
      <c r="AX28" s="150" t="s">
        <v>265</v>
      </c>
      <c r="AY28" s="151" t="s">
        <v>232</v>
      </c>
      <c r="AZ28" s="150" t="s">
        <v>232</v>
      </c>
      <c r="BA28" s="150">
        <v>0</v>
      </c>
      <c r="BB28" s="93" t="s">
        <v>266</v>
      </c>
      <c r="BC28" s="152">
        <v>1</v>
      </c>
      <c r="BD28" s="153" t="s">
        <v>234</v>
      </c>
      <c r="BE28" s="93" t="s">
        <v>267</v>
      </c>
      <c r="BF28" s="153" t="s">
        <v>221</v>
      </c>
      <c r="BG28" s="154" t="s">
        <v>226</v>
      </c>
      <c r="BH28" s="155" t="s">
        <v>226</v>
      </c>
      <c r="BI28" s="155" t="s">
        <v>226</v>
      </c>
      <c r="BJ28" s="155" t="s">
        <v>226</v>
      </c>
      <c r="BK28" s="155" t="s">
        <v>226</v>
      </c>
      <c r="BL28" s="155" t="s">
        <v>226</v>
      </c>
      <c r="BM28" s="155" t="s">
        <v>226</v>
      </c>
      <c r="BN28" s="155" t="s">
        <v>226</v>
      </c>
      <c r="BO28" s="155" t="s">
        <v>226</v>
      </c>
      <c r="BP28" s="155" t="s">
        <v>226</v>
      </c>
      <c r="BQ28" s="155" t="s">
        <v>226</v>
      </c>
      <c r="BR28" s="155" t="s">
        <v>226</v>
      </c>
      <c r="BS28" s="155" t="s">
        <v>226</v>
      </c>
      <c r="BT28" s="155" t="s">
        <v>226</v>
      </c>
      <c r="BU28" s="155" t="s">
        <v>226</v>
      </c>
      <c r="BV28" s="155" t="s">
        <v>226</v>
      </c>
      <c r="BW28" s="155" t="s">
        <v>226</v>
      </c>
      <c r="BX28" s="155" t="s">
        <v>226</v>
      </c>
      <c r="BY28" s="155" t="s">
        <v>226</v>
      </c>
      <c r="BZ28" s="155" t="s">
        <v>226</v>
      </c>
      <c r="CA28" s="155" t="s">
        <v>226</v>
      </c>
      <c r="CB28" s="155" t="s">
        <v>226</v>
      </c>
      <c r="CC28" s="155" t="s">
        <v>226</v>
      </c>
      <c r="CD28" s="155" t="s">
        <v>226</v>
      </c>
      <c r="CE28" s="155" t="s">
        <v>226</v>
      </c>
      <c r="CF28" s="155" t="s">
        <v>226</v>
      </c>
      <c r="CG28" s="155" t="s">
        <v>226</v>
      </c>
      <c r="CH28" s="155" t="s">
        <v>226</v>
      </c>
      <c r="CI28" s="155" t="s">
        <v>226</v>
      </c>
      <c r="CJ28" s="155" t="s">
        <v>226</v>
      </c>
      <c r="CK28" s="155" t="s">
        <v>226</v>
      </c>
      <c r="CL28" s="155" t="s">
        <v>226</v>
      </c>
      <c r="CM28" s="155" t="s">
        <v>226</v>
      </c>
      <c r="CN28" s="106" t="s">
        <v>226</v>
      </c>
      <c r="CO28" s="145" t="s">
        <v>226</v>
      </c>
      <c r="CP28" s="145" t="s">
        <v>226</v>
      </c>
      <c r="CQ28" s="145" t="s">
        <v>226</v>
      </c>
      <c r="CR28" s="145" t="s">
        <v>226</v>
      </c>
      <c r="CS28" s="145" t="s">
        <v>226</v>
      </c>
      <c r="CT28" s="145" t="s">
        <v>226</v>
      </c>
      <c r="CU28" s="145" t="s">
        <v>226</v>
      </c>
      <c r="CV28" s="145" t="s">
        <v>226</v>
      </c>
      <c r="CW28" s="145" t="s">
        <v>226</v>
      </c>
      <c r="CX28" s="145" t="s">
        <v>226</v>
      </c>
      <c r="CY28" s="145" t="s">
        <v>226</v>
      </c>
      <c r="CZ28" s="145" t="s">
        <v>226</v>
      </c>
      <c r="DA28" s="145" t="s">
        <v>226</v>
      </c>
      <c r="DB28" s="145" t="s">
        <v>226</v>
      </c>
      <c r="DC28" s="145" t="s">
        <v>226</v>
      </c>
      <c r="DD28" s="145" t="s">
        <v>226</v>
      </c>
      <c r="DE28" s="145" t="s">
        <v>226</v>
      </c>
      <c r="DF28" s="145" t="s">
        <v>226</v>
      </c>
      <c r="DG28" s="145" t="s">
        <v>226</v>
      </c>
      <c r="DH28" s="145" t="s">
        <v>226</v>
      </c>
      <c r="DI28" s="145" t="s">
        <v>226</v>
      </c>
      <c r="DJ28" s="145" t="s">
        <v>226</v>
      </c>
      <c r="DK28" s="145" t="s">
        <v>226</v>
      </c>
      <c r="DL28" s="145" t="s">
        <v>226</v>
      </c>
      <c r="DM28" s="145" t="s">
        <v>226</v>
      </c>
      <c r="DN28" s="145" t="s">
        <v>226</v>
      </c>
      <c r="DO28" s="145" t="s">
        <v>226</v>
      </c>
      <c r="DP28" s="145" t="s">
        <v>226</v>
      </c>
      <c r="DQ28" s="145" t="s">
        <v>226</v>
      </c>
      <c r="DR28" s="145" t="s">
        <v>226</v>
      </c>
      <c r="DS28" s="145" t="s">
        <v>226</v>
      </c>
      <c r="DT28" s="145" t="s">
        <v>226</v>
      </c>
      <c r="DU28" s="145" t="s">
        <v>226</v>
      </c>
      <c r="DV28" s="145" t="s">
        <v>226</v>
      </c>
      <c r="DW28" s="145" t="s">
        <v>226</v>
      </c>
      <c r="DX28" s="145" t="s">
        <v>226</v>
      </c>
      <c r="DY28" s="145" t="s">
        <v>226</v>
      </c>
      <c r="DZ28" s="145" t="s">
        <v>226</v>
      </c>
      <c r="EA28" s="145" t="s">
        <v>226</v>
      </c>
      <c r="EB28" s="145" t="s">
        <v>226</v>
      </c>
      <c r="EC28" s="145" t="s">
        <v>226</v>
      </c>
      <c r="ED28" s="145" t="s">
        <v>226</v>
      </c>
      <c r="EE28" s="145" t="s">
        <v>226</v>
      </c>
      <c r="EF28" s="145" t="s">
        <v>226</v>
      </c>
      <c r="EG28" s="145" t="s">
        <v>226</v>
      </c>
      <c r="EH28" s="145" t="s">
        <v>226</v>
      </c>
      <c r="EI28" s="145" t="s">
        <v>226</v>
      </c>
      <c r="EJ28" s="145" t="s">
        <v>226</v>
      </c>
      <c r="EK28" s="145" t="s">
        <v>226</v>
      </c>
      <c r="EL28" s="145" t="s">
        <v>226</v>
      </c>
      <c r="EM28" s="145" t="s">
        <v>226</v>
      </c>
      <c r="EN28" s="145" t="s">
        <v>226</v>
      </c>
      <c r="EO28" s="145" t="s">
        <v>226</v>
      </c>
      <c r="EP28" s="145" t="s">
        <v>226</v>
      </c>
      <c r="EQ28" s="145" t="s">
        <v>226</v>
      </c>
      <c r="ER28" s="145" t="s">
        <v>226</v>
      </c>
      <c r="ES28" s="145" t="s">
        <v>226</v>
      </c>
      <c r="ET28" s="145" t="s">
        <v>226</v>
      </c>
      <c r="EU28" s="145" t="s">
        <v>226</v>
      </c>
      <c r="EV28" s="145" t="s">
        <v>226</v>
      </c>
      <c r="EW28" s="145" t="s">
        <v>226</v>
      </c>
      <c r="EX28" s="145" t="s">
        <v>226</v>
      </c>
      <c r="EY28" s="106" t="s">
        <v>226</v>
      </c>
      <c r="EZ28" s="145" t="s">
        <v>226</v>
      </c>
      <c r="FA28" s="145" t="s">
        <v>226</v>
      </c>
      <c r="FB28" s="106" t="s">
        <v>226</v>
      </c>
      <c r="FC28" s="145" t="s">
        <v>226</v>
      </c>
      <c r="FD28" s="145" t="s">
        <v>226</v>
      </c>
      <c r="FE28" s="155" t="s">
        <v>226</v>
      </c>
      <c r="FF28" s="155" t="s">
        <v>226</v>
      </c>
      <c r="FG28" s="155" t="s">
        <v>226</v>
      </c>
      <c r="FH28" s="155" t="s">
        <v>226</v>
      </c>
      <c r="FI28" s="155" t="s">
        <v>226</v>
      </c>
      <c r="FJ28" s="155" t="s">
        <v>226</v>
      </c>
      <c r="FK28" s="155" t="s">
        <v>226</v>
      </c>
      <c r="FL28" s="155" t="s">
        <v>226</v>
      </c>
      <c r="FM28" s="155" t="s">
        <v>226</v>
      </c>
      <c r="FN28" s="155" t="s">
        <v>226</v>
      </c>
      <c r="FO28" s="155" t="s">
        <v>226</v>
      </c>
      <c r="FP28" s="155" t="s">
        <v>226</v>
      </c>
      <c r="FQ28" s="155" t="s">
        <v>226</v>
      </c>
      <c r="FR28" s="155" t="s">
        <v>226</v>
      </c>
      <c r="FS28" s="155" t="s">
        <v>226</v>
      </c>
      <c r="FT28" s="155" t="s">
        <v>226</v>
      </c>
      <c r="FU28" s="155" t="s">
        <v>226</v>
      </c>
      <c r="FV28" s="155" t="s">
        <v>226</v>
      </c>
      <c r="FW28" s="155" t="s">
        <v>226</v>
      </c>
      <c r="FX28" s="155" t="s">
        <v>226</v>
      </c>
      <c r="FY28" s="155" t="s">
        <v>226</v>
      </c>
      <c r="FZ28" s="155" t="s">
        <v>226</v>
      </c>
      <c r="GA28" s="155" t="s">
        <v>226</v>
      </c>
      <c r="GB28" s="155" t="s">
        <v>226</v>
      </c>
      <c r="GC28" s="155" t="s">
        <v>226</v>
      </c>
      <c r="GD28" s="155" t="s">
        <v>226</v>
      </c>
      <c r="GE28" s="155" t="s">
        <v>226</v>
      </c>
      <c r="GF28" s="150" t="s">
        <v>256</v>
      </c>
      <c r="GG28" s="70" t="s">
        <v>226</v>
      </c>
      <c r="GH28" s="93" t="s">
        <v>226</v>
      </c>
      <c r="GI28" s="145" t="s">
        <v>226</v>
      </c>
      <c r="GJ28" s="70">
        <v>45578</v>
      </c>
      <c r="GK28" s="70">
        <v>45929</v>
      </c>
      <c r="GL28" s="70" t="s">
        <v>362</v>
      </c>
      <c r="GM28" s="159" t="str">
        <f t="shared" si="1"/>
        <v>N/A</v>
      </c>
      <c r="GN28" s="159" t="str">
        <f t="shared" si="2"/>
        <v>N/A</v>
      </c>
      <c r="GO28" s="159">
        <f t="shared" si="3"/>
        <v>2</v>
      </c>
      <c r="GP28" s="159" t="str">
        <f t="shared" si="4"/>
        <v>N/A</v>
      </c>
      <c r="GQ28" s="159" t="str">
        <f t="shared" si="5"/>
        <v>N/A</v>
      </c>
      <c r="GR28" s="159" t="str">
        <f t="shared" si="6"/>
        <v>N/A</v>
      </c>
      <c r="GS28" s="159" t="str">
        <f t="shared" si="7"/>
        <v>N/A</v>
      </c>
      <c r="GT28" s="159" t="str">
        <f t="shared" si="8"/>
        <v>N/A</v>
      </c>
      <c r="GU28" s="159" t="str">
        <f t="shared" si="9"/>
        <v>N/A</v>
      </c>
      <c r="GV28" s="159" t="str">
        <f t="shared" si="10"/>
        <v>N/A</v>
      </c>
      <c r="GW28" s="159" t="str">
        <f t="shared" si="11"/>
        <v>N/A</v>
      </c>
      <c r="GX28" s="159" t="str">
        <f t="shared" si="12"/>
        <v>N/A</v>
      </c>
      <c r="GY28" s="159" t="str">
        <f t="shared" si="13"/>
        <v>N/A</v>
      </c>
      <c r="GZ28" s="159" t="str">
        <f t="shared" si="14"/>
        <v>N/A</v>
      </c>
      <c r="HA28" s="159" t="str">
        <f t="shared" si="15"/>
        <v>N/A</v>
      </c>
      <c r="HB28" s="159" t="str">
        <f t="shared" si="16"/>
        <v>N/A</v>
      </c>
      <c r="HC28" s="159" t="str">
        <f t="shared" si="17"/>
        <v>N/A</v>
      </c>
      <c r="HD28" s="159">
        <f t="shared" si="18"/>
        <v>45.6</v>
      </c>
      <c r="HE28" s="159">
        <f t="shared" si="19"/>
        <v>57.3</v>
      </c>
      <c r="HF28" s="160">
        <f t="shared" si="20"/>
        <v>57.3</v>
      </c>
      <c r="HG28" s="160" cm="1">
        <f t="array" ref="HG28">INDEX($HB28:$HD28,MATCH(TRUE,INDEX(ISNUMBER($HB28:$HD28),0),0))</f>
        <v>45.6</v>
      </c>
      <c r="HH28" s="161">
        <f t="shared" si="21"/>
        <v>0</v>
      </c>
      <c r="HI28" s="108">
        <f t="shared" si="22"/>
        <v>0</v>
      </c>
      <c r="HJ28" s="91">
        <f t="shared" si="23"/>
        <v>0</v>
      </c>
      <c r="HK28" s="205" t="str">
        <f t="shared" si="24"/>
        <v>0</v>
      </c>
    </row>
    <row r="29" spans="1:219" ht="15" customHeight="1" x14ac:dyDescent="0.3">
      <c r="A29" s="146">
        <v>4520207401</v>
      </c>
      <c r="B29" s="93" t="s">
        <v>221</v>
      </c>
      <c r="C29" s="93" t="s">
        <v>222</v>
      </c>
      <c r="D29" s="93" t="s">
        <v>221</v>
      </c>
      <c r="E29" s="145" t="s">
        <v>363</v>
      </c>
      <c r="F29" s="145" t="s">
        <v>364</v>
      </c>
      <c r="G29" s="145" t="s">
        <v>365</v>
      </c>
      <c r="H29" s="70">
        <v>44361</v>
      </c>
      <c r="I29" s="147" t="s">
        <v>366</v>
      </c>
      <c r="J29" s="148" t="s">
        <v>225</v>
      </c>
      <c r="K29" s="145" t="s">
        <v>226</v>
      </c>
      <c r="L29" s="145" t="s">
        <v>226</v>
      </c>
      <c r="M29" s="145" t="s">
        <v>226</v>
      </c>
      <c r="N29" s="145" t="s">
        <v>226</v>
      </c>
      <c r="O29" s="145" t="s">
        <v>226</v>
      </c>
      <c r="P29" s="70" t="s">
        <v>226</v>
      </c>
      <c r="Q29" s="93" t="s">
        <v>226</v>
      </c>
      <c r="R29" s="97" t="s">
        <v>226</v>
      </c>
      <c r="S29" s="97" t="s">
        <v>226</v>
      </c>
      <c r="T29" s="97" t="s">
        <v>226</v>
      </c>
      <c r="U29" s="97" t="s">
        <v>226</v>
      </c>
      <c r="V29" s="93" t="s">
        <v>226</v>
      </c>
      <c r="W29" s="97" t="s">
        <v>226</v>
      </c>
      <c r="X29" s="97" t="s">
        <v>226</v>
      </c>
      <c r="Y29" s="97" t="s">
        <v>226</v>
      </c>
      <c r="Z29" s="97" t="s">
        <v>226</v>
      </c>
      <c r="AA29" s="93" t="s">
        <v>226</v>
      </c>
      <c r="AB29" s="97" t="s">
        <v>226</v>
      </c>
      <c r="AC29" s="97" t="s">
        <v>226</v>
      </c>
      <c r="AD29" s="97" t="s">
        <v>226</v>
      </c>
      <c r="AE29" s="97" t="s">
        <v>226</v>
      </c>
      <c r="AF29" s="93" t="s">
        <v>226</v>
      </c>
      <c r="AG29" s="97" t="s">
        <v>226</v>
      </c>
      <c r="AH29" s="97" t="s">
        <v>226</v>
      </c>
      <c r="AI29" s="97" t="s">
        <v>226</v>
      </c>
      <c r="AJ29" s="97" t="s">
        <v>226</v>
      </c>
      <c r="AK29" s="93" t="s">
        <v>226</v>
      </c>
      <c r="AL29" s="97" t="s">
        <v>226</v>
      </c>
      <c r="AM29" s="97" t="s">
        <v>226</v>
      </c>
      <c r="AN29" s="97" t="s">
        <v>226</v>
      </c>
      <c r="AO29" s="97" t="s">
        <v>226</v>
      </c>
      <c r="AP29" s="93" t="s">
        <v>226</v>
      </c>
      <c r="AQ29" s="106" t="s">
        <v>227</v>
      </c>
      <c r="AR29" s="69">
        <v>19422</v>
      </c>
      <c r="AS29" s="70">
        <v>44315</v>
      </c>
      <c r="AT29" s="149">
        <f t="shared" si="0"/>
        <v>68</v>
      </c>
      <c r="AU29" s="147" t="s">
        <v>252</v>
      </c>
      <c r="AV29" s="93" t="s">
        <v>229</v>
      </c>
      <c r="AW29" s="93" t="s">
        <v>221</v>
      </c>
      <c r="AX29" s="150" t="s">
        <v>232</v>
      </c>
      <c r="AY29" s="150">
        <v>1</v>
      </c>
      <c r="AZ29" s="150" t="s">
        <v>232</v>
      </c>
      <c r="BA29" s="150">
        <v>0</v>
      </c>
      <c r="BB29" s="93" t="s">
        <v>226</v>
      </c>
      <c r="BC29" s="152">
        <v>1</v>
      </c>
      <c r="BD29" s="153" t="s">
        <v>234</v>
      </c>
      <c r="BE29" s="93" t="s">
        <v>307</v>
      </c>
      <c r="BF29" s="153" t="s">
        <v>221</v>
      </c>
      <c r="BG29" s="154" t="s">
        <v>226</v>
      </c>
      <c r="BH29" s="155" t="s">
        <v>226</v>
      </c>
      <c r="BI29" s="155" t="s">
        <v>226</v>
      </c>
      <c r="BJ29" s="155" t="s">
        <v>226</v>
      </c>
      <c r="BK29" s="155" t="s">
        <v>226</v>
      </c>
      <c r="BL29" s="155" t="s">
        <v>226</v>
      </c>
      <c r="BM29" s="155" t="s">
        <v>226</v>
      </c>
      <c r="BN29" s="155" t="s">
        <v>226</v>
      </c>
      <c r="BO29" s="155" t="s">
        <v>226</v>
      </c>
      <c r="BP29" s="155" t="s">
        <v>226</v>
      </c>
      <c r="BQ29" s="155" t="s">
        <v>226</v>
      </c>
      <c r="BR29" s="155" t="s">
        <v>226</v>
      </c>
      <c r="BS29" s="155" t="s">
        <v>226</v>
      </c>
      <c r="BT29" s="155" t="s">
        <v>226</v>
      </c>
      <c r="BU29" s="155" t="s">
        <v>226</v>
      </c>
      <c r="BV29" s="155" t="s">
        <v>226</v>
      </c>
      <c r="BW29" s="155" t="s">
        <v>226</v>
      </c>
      <c r="BX29" s="155" t="s">
        <v>226</v>
      </c>
      <c r="BY29" s="155" t="s">
        <v>226</v>
      </c>
      <c r="BZ29" s="155" t="s">
        <v>226</v>
      </c>
      <c r="CA29" s="155" t="s">
        <v>226</v>
      </c>
      <c r="CB29" s="155" t="s">
        <v>226</v>
      </c>
      <c r="CC29" s="155" t="s">
        <v>226</v>
      </c>
      <c r="CD29" s="155" t="s">
        <v>226</v>
      </c>
      <c r="CE29" s="155" t="s">
        <v>226</v>
      </c>
      <c r="CF29" s="155" t="s">
        <v>226</v>
      </c>
      <c r="CG29" s="155" t="s">
        <v>226</v>
      </c>
      <c r="CH29" s="155" t="s">
        <v>226</v>
      </c>
      <c r="CI29" s="155" t="s">
        <v>226</v>
      </c>
      <c r="CJ29" s="155" t="s">
        <v>226</v>
      </c>
      <c r="CK29" s="155" t="s">
        <v>226</v>
      </c>
      <c r="CL29" s="155" t="s">
        <v>226</v>
      </c>
      <c r="CM29" s="155" t="s">
        <v>226</v>
      </c>
      <c r="CN29" s="106" t="s">
        <v>226</v>
      </c>
      <c r="CO29" s="145" t="s">
        <v>226</v>
      </c>
      <c r="CP29" s="145" t="s">
        <v>226</v>
      </c>
      <c r="CQ29" s="145" t="s">
        <v>226</v>
      </c>
      <c r="CR29" s="145" t="s">
        <v>226</v>
      </c>
      <c r="CS29" s="145" t="s">
        <v>226</v>
      </c>
      <c r="CT29" s="145" t="s">
        <v>226</v>
      </c>
      <c r="CU29" s="145" t="s">
        <v>226</v>
      </c>
      <c r="CV29" s="145" t="s">
        <v>226</v>
      </c>
      <c r="CW29" s="145" t="s">
        <v>226</v>
      </c>
      <c r="CX29" s="145" t="s">
        <v>226</v>
      </c>
      <c r="CY29" s="155" t="s">
        <v>226</v>
      </c>
      <c r="CZ29" s="155" t="s">
        <v>226</v>
      </c>
      <c r="DA29" s="155" t="s">
        <v>226</v>
      </c>
      <c r="DB29" s="155" t="s">
        <v>226</v>
      </c>
      <c r="DC29" s="155" t="s">
        <v>226</v>
      </c>
      <c r="DD29" s="155" t="s">
        <v>226</v>
      </c>
      <c r="DE29" s="155" t="s">
        <v>226</v>
      </c>
      <c r="DF29" s="155" t="s">
        <v>226</v>
      </c>
      <c r="DG29" s="155" t="s">
        <v>226</v>
      </c>
      <c r="DH29" s="155" t="s">
        <v>226</v>
      </c>
      <c r="DI29" s="155" t="s">
        <v>226</v>
      </c>
      <c r="DJ29" s="155" t="s">
        <v>226</v>
      </c>
      <c r="DK29" s="155" t="s">
        <v>226</v>
      </c>
      <c r="DL29" s="155" t="s">
        <v>226</v>
      </c>
      <c r="DM29" s="155" t="s">
        <v>226</v>
      </c>
      <c r="DN29" s="155" t="s">
        <v>226</v>
      </c>
      <c r="DO29" s="155" t="s">
        <v>226</v>
      </c>
      <c r="DP29" s="155" t="s">
        <v>226</v>
      </c>
      <c r="DQ29" s="155" t="s">
        <v>226</v>
      </c>
      <c r="DR29" s="155" t="s">
        <v>226</v>
      </c>
      <c r="DS29" s="155" t="s">
        <v>226</v>
      </c>
      <c r="DT29" s="155" t="s">
        <v>226</v>
      </c>
      <c r="DU29" s="155" t="s">
        <v>226</v>
      </c>
      <c r="DV29" s="155" t="s">
        <v>226</v>
      </c>
      <c r="DW29" s="155" t="s">
        <v>226</v>
      </c>
      <c r="DX29" s="155" t="s">
        <v>226</v>
      </c>
      <c r="DY29" s="155" t="s">
        <v>226</v>
      </c>
      <c r="DZ29" s="155" t="s">
        <v>226</v>
      </c>
      <c r="EA29" s="155" t="s">
        <v>226</v>
      </c>
      <c r="EB29" s="155" t="s">
        <v>226</v>
      </c>
      <c r="EC29" s="155" t="s">
        <v>226</v>
      </c>
      <c r="ED29" s="155" t="s">
        <v>226</v>
      </c>
      <c r="EE29" s="155" t="s">
        <v>226</v>
      </c>
      <c r="EF29" s="155" t="s">
        <v>226</v>
      </c>
      <c r="EG29" s="155" t="s">
        <v>226</v>
      </c>
      <c r="EH29" s="155" t="s">
        <v>226</v>
      </c>
      <c r="EI29" s="70">
        <v>45447</v>
      </c>
      <c r="EJ29" s="145" t="s">
        <v>367</v>
      </c>
      <c r="EK29" s="106" t="s">
        <v>277</v>
      </c>
      <c r="EL29" s="145" t="s">
        <v>368</v>
      </c>
      <c r="EM29" s="70">
        <v>45488</v>
      </c>
      <c r="EN29" s="70">
        <v>45672</v>
      </c>
      <c r="EO29" s="145" t="s">
        <v>369</v>
      </c>
      <c r="EP29" s="106" t="s">
        <v>247</v>
      </c>
      <c r="EQ29" s="145" t="s">
        <v>370</v>
      </c>
      <c r="ER29" s="145" t="s">
        <v>276</v>
      </c>
      <c r="ES29" s="106" t="s">
        <v>274</v>
      </c>
      <c r="ET29" s="145" t="s">
        <v>275</v>
      </c>
      <c r="EU29" s="145" t="s">
        <v>226</v>
      </c>
      <c r="EV29" s="106" t="s">
        <v>226</v>
      </c>
      <c r="EW29" s="145" t="s">
        <v>226</v>
      </c>
      <c r="EX29" s="145" t="s">
        <v>226</v>
      </c>
      <c r="EY29" s="106" t="s">
        <v>226</v>
      </c>
      <c r="EZ29" s="145" t="s">
        <v>226</v>
      </c>
      <c r="FA29" s="145" t="s">
        <v>226</v>
      </c>
      <c r="FB29" s="106" t="s">
        <v>226</v>
      </c>
      <c r="FC29" s="145" t="s">
        <v>226</v>
      </c>
      <c r="FD29" s="145" t="s">
        <v>226</v>
      </c>
      <c r="FE29" s="155" t="s">
        <v>226</v>
      </c>
      <c r="FF29" s="155" t="s">
        <v>226</v>
      </c>
      <c r="FG29" s="155" t="s">
        <v>226</v>
      </c>
      <c r="FH29" s="155" t="s">
        <v>226</v>
      </c>
      <c r="FI29" s="155" t="s">
        <v>226</v>
      </c>
      <c r="FJ29" s="155" t="s">
        <v>226</v>
      </c>
      <c r="FK29" s="155" t="s">
        <v>226</v>
      </c>
      <c r="FL29" s="155" t="s">
        <v>226</v>
      </c>
      <c r="FM29" s="155" t="s">
        <v>226</v>
      </c>
      <c r="FN29" s="155" t="s">
        <v>226</v>
      </c>
      <c r="FO29" s="155" t="s">
        <v>226</v>
      </c>
      <c r="FP29" s="155" t="s">
        <v>226</v>
      </c>
      <c r="FQ29" s="155" t="s">
        <v>226</v>
      </c>
      <c r="FR29" s="155" t="s">
        <v>226</v>
      </c>
      <c r="FS29" s="155" t="s">
        <v>226</v>
      </c>
      <c r="FT29" s="155" t="s">
        <v>226</v>
      </c>
      <c r="FU29" s="155" t="s">
        <v>226</v>
      </c>
      <c r="FV29" s="155" t="s">
        <v>226</v>
      </c>
      <c r="FW29" s="155" t="s">
        <v>226</v>
      </c>
      <c r="FX29" s="155" t="s">
        <v>226</v>
      </c>
      <c r="FY29" s="155" t="s">
        <v>226</v>
      </c>
      <c r="FZ29" s="155" t="s">
        <v>226</v>
      </c>
      <c r="GA29" s="155" t="s">
        <v>226</v>
      </c>
      <c r="GB29" s="155" t="s">
        <v>226</v>
      </c>
      <c r="GC29" s="155" t="s">
        <v>226</v>
      </c>
      <c r="GD29" s="155" t="s">
        <v>226</v>
      </c>
      <c r="GE29" s="155" t="s">
        <v>226</v>
      </c>
      <c r="GF29" s="150" t="s">
        <v>256</v>
      </c>
      <c r="GG29" s="70" t="s">
        <v>226</v>
      </c>
      <c r="GH29" s="93" t="s">
        <v>226</v>
      </c>
      <c r="GI29" s="145" t="s">
        <v>226</v>
      </c>
      <c r="GJ29" s="70">
        <v>45952</v>
      </c>
      <c r="GK29" s="70">
        <v>45970</v>
      </c>
      <c r="GL29" s="70" t="s">
        <v>226</v>
      </c>
      <c r="GM29" s="159" t="str">
        <f t="shared" si="1"/>
        <v>N/A</v>
      </c>
      <c r="GN29" s="159" t="str">
        <f t="shared" si="2"/>
        <v>N/A</v>
      </c>
      <c r="GO29" s="159">
        <f t="shared" si="3"/>
        <v>1.5333333333333334</v>
      </c>
      <c r="GP29" s="159" t="str">
        <f t="shared" si="4"/>
        <v>N/A</v>
      </c>
      <c r="GQ29" s="159" t="str">
        <f t="shared" si="5"/>
        <v>N/A</v>
      </c>
      <c r="GR29" s="159" t="str">
        <f t="shared" si="6"/>
        <v>N/A</v>
      </c>
      <c r="GS29" s="159" t="str">
        <f t="shared" si="7"/>
        <v>N/A</v>
      </c>
      <c r="GT29" s="159" t="str">
        <f t="shared" si="8"/>
        <v>N/A</v>
      </c>
      <c r="GU29" s="159" t="str">
        <f t="shared" si="9"/>
        <v>N/A</v>
      </c>
      <c r="GV29" s="159" t="str">
        <f t="shared" si="10"/>
        <v>N/A</v>
      </c>
      <c r="GW29" s="159" t="str">
        <f t="shared" si="11"/>
        <v>N/A</v>
      </c>
      <c r="GX29" s="159" t="str">
        <f t="shared" si="12"/>
        <v>N/A</v>
      </c>
      <c r="GY29" s="159">
        <f t="shared" si="13"/>
        <v>37.733333333333334</v>
      </c>
      <c r="GZ29" s="159">
        <f t="shared" si="14"/>
        <v>39.1</v>
      </c>
      <c r="HA29" s="159">
        <f t="shared" si="15"/>
        <v>45.233333333333334</v>
      </c>
      <c r="HB29" s="159">
        <f t="shared" si="16"/>
        <v>37.733333333333334</v>
      </c>
      <c r="HC29" s="159" t="str">
        <f t="shared" si="17"/>
        <v>N/A</v>
      </c>
      <c r="HD29" s="159">
        <f t="shared" si="18"/>
        <v>54.56666666666667</v>
      </c>
      <c r="HE29" s="159">
        <f t="shared" si="19"/>
        <v>55.166666666666664</v>
      </c>
      <c r="HF29" s="160">
        <f t="shared" si="20"/>
        <v>55.166666666666664</v>
      </c>
      <c r="HG29" s="160" cm="1">
        <f t="array" ref="HG29">INDEX($HB29:$HD29,MATCH(TRUE,INDEX(ISNUMBER($HB29:$HD29),0),0))</f>
        <v>37.733333333333334</v>
      </c>
      <c r="HH29" s="161">
        <f t="shared" si="21"/>
        <v>1</v>
      </c>
      <c r="HI29" s="108">
        <f t="shared" si="22"/>
        <v>0</v>
      </c>
      <c r="HJ29" s="91">
        <f t="shared" si="23"/>
        <v>0</v>
      </c>
      <c r="HK29" s="205" t="str">
        <f t="shared" si="24"/>
        <v>1</v>
      </c>
    </row>
    <row r="30" spans="1:219" ht="15" customHeight="1" x14ac:dyDescent="0.3">
      <c r="A30" s="146">
        <v>4125915636</v>
      </c>
      <c r="B30" s="93" t="s">
        <v>221</v>
      </c>
      <c r="C30" s="93" t="s">
        <v>222</v>
      </c>
      <c r="D30" s="93" t="s">
        <v>221</v>
      </c>
      <c r="E30" s="145" t="s">
        <v>371</v>
      </c>
      <c r="F30" s="145" t="s">
        <v>262</v>
      </c>
      <c r="G30" s="145" t="s">
        <v>240</v>
      </c>
      <c r="H30" s="70">
        <v>44378</v>
      </c>
      <c r="I30" s="170" t="s">
        <v>372</v>
      </c>
      <c r="J30" s="148" t="s">
        <v>225</v>
      </c>
      <c r="K30" s="145" t="s">
        <v>226</v>
      </c>
      <c r="L30" s="145" t="s">
        <v>226</v>
      </c>
      <c r="M30" s="145" t="s">
        <v>226</v>
      </c>
      <c r="N30" s="145" t="s">
        <v>226</v>
      </c>
      <c r="O30" s="145" t="s">
        <v>226</v>
      </c>
      <c r="P30" s="70" t="s">
        <v>226</v>
      </c>
      <c r="Q30" s="93" t="s">
        <v>226</v>
      </c>
      <c r="R30" s="97" t="s">
        <v>226</v>
      </c>
      <c r="S30" s="97" t="s">
        <v>226</v>
      </c>
      <c r="T30" s="97" t="s">
        <v>226</v>
      </c>
      <c r="U30" s="97" t="s">
        <v>226</v>
      </c>
      <c r="V30" s="93" t="s">
        <v>226</v>
      </c>
      <c r="W30" s="97" t="s">
        <v>226</v>
      </c>
      <c r="X30" s="97" t="s">
        <v>226</v>
      </c>
      <c r="Y30" s="97" t="s">
        <v>226</v>
      </c>
      <c r="Z30" s="97" t="s">
        <v>226</v>
      </c>
      <c r="AA30" s="93" t="s">
        <v>226</v>
      </c>
      <c r="AB30" s="97" t="s">
        <v>226</v>
      </c>
      <c r="AC30" s="97" t="s">
        <v>226</v>
      </c>
      <c r="AD30" s="97" t="s">
        <v>226</v>
      </c>
      <c r="AE30" s="97" t="s">
        <v>226</v>
      </c>
      <c r="AF30" s="93" t="s">
        <v>226</v>
      </c>
      <c r="AG30" s="97" t="s">
        <v>226</v>
      </c>
      <c r="AH30" s="97" t="s">
        <v>226</v>
      </c>
      <c r="AI30" s="97" t="s">
        <v>226</v>
      </c>
      <c r="AJ30" s="97" t="s">
        <v>226</v>
      </c>
      <c r="AK30" s="93" t="s">
        <v>226</v>
      </c>
      <c r="AL30" s="97" t="s">
        <v>226</v>
      </c>
      <c r="AM30" s="97" t="s">
        <v>226</v>
      </c>
      <c r="AN30" s="97" t="s">
        <v>226</v>
      </c>
      <c r="AO30" s="97" t="s">
        <v>226</v>
      </c>
      <c r="AP30" s="93" t="s">
        <v>226</v>
      </c>
      <c r="AQ30" s="106" t="s">
        <v>227</v>
      </c>
      <c r="AR30" s="69">
        <v>24018</v>
      </c>
      <c r="AS30" s="70">
        <v>44341</v>
      </c>
      <c r="AT30" s="149">
        <f t="shared" si="0"/>
        <v>55</v>
      </c>
      <c r="AU30" s="147" t="s">
        <v>252</v>
      </c>
      <c r="AV30" s="93" t="s">
        <v>229</v>
      </c>
      <c r="AW30" s="93" t="s">
        <v>230</v>
      </c>
      <c r="AX30" s="150" t="s">
        <v>265</v>
      </c>
      <c r="AY30" s="151" t="s">
        <v>232</v>
      </c>
      <c r="AZ30" s="150" t="s">
        <v>232</v>
      </c>
      <c r="BA30" s="150">
        <v>0</v>
      </c>
      <c r="BB30" s="93" t="s">
        <v>266</v>
      </c>
      <c r="BC30" s="152">
        <v>2</v>
      </c>
      <c r="BD30" s="153" t="s">
        <v>234</v>
      </c>
      <c r="BE30" s="93" t="s">
        <v>267</v>
      </c>
      <c r="BF30" s="153" t="s">
        <v>221</v>
      </c>
      <c r="BG30" s="154" t="s">
        <v>226</v>
      </c>
      <c r="BH30" s="155" t="s">
        <v>226</v>
      </c>
      <c r="BI30" s="155" t="s">
        <v>226</v>
      </c>
      <c r="BJ30" s="155" t="s">
        <v>226</v>
      </c>
      <c r="BK30" s="155" t="s">
        <v>226</v>
      </c>
      <c r="BL30" s="155" t="s">
        <v>226</v>
      </c>
      <c r="BM30" s="155" t="s">
        <v>226</v>
      </c>
      <c r="BN30" s="155" t="s">
        <v>226</v>
      </c>
      <c r="BO30" s="155" t="s">
        <v>226</v>
      </c>
      <c r="BP30" s="155" t="s">
        <v>226</v>
      </c>
      <c r="BQ30" s="155" t="s">
        <v>226</v>
      </c>
      <c r="BR30" s="155" t="s">
        <v>226</v>
      </c>
      <c r="BS30" s="155" t="s">
        <v>226</v>
      </c>
      <c r="BT30" s="155" t="s">
        <v>226</v>
      </c>
      <c r="BU30" s="155" t="s">
        <v>226</v>
      </c>
      <c r="BV30" s="155" t="s">
        <v>226</v>
      </c>
      <c r="BW30" s="155" t="s">
        <v>226</v>
      </c>
      <c r="BX30" s="155" t="s">
        <v>226</v>
      </c>
      <c r="BY30" s="155" t="s">
        <v>226</v>
      </c>
      <c r="BZ30" s="155" t="s">
        <v>226</v>
      </c>
      <c r="CA30" s="155" t="s">
        <v>226</v>
      </c>
      <c r="CB30" s="155" t="s">
        <v>226</v>
      </c>
      <c r="CC30" s="155" t="s">
        <v>226</v>
      </c>
      <c r="CD30" s="155" t="s">
        <v>226</v>
      </c>
      <c r="CE30" s="155" t="s">
        <v>226</v>
      </c>
      <c r="CF30" s="155" t="s">
        <v>226</v>
      </c>
      <c r="CG30" s="155" t="s">
        <v>226</v>
      </c>
      <c r="CH30" s="155" t="s">
        <v>226</v>
      </c>
      <c r="CI30" s="155" t="s">
        <v>226</v>
      </c>
      <c r="CJ30" s="155" t="s">
        <v>226</v>
      </c>
      <c r="CK30" s="155" t="s">
        <v>226</v>
      </c>
      <c r="CL30" s="155" t="s">
        <v>226</v>
      </c>
      <c r="CM30" s="155" t="s">
        <v>226</v>
      </c>
      <c r="CN30" s="106" t="s">
        <v>226</v>
      </c>
      <c r="CO30" s="145" t="s">
        <v>226</v>
      </c>
      <c r="CP30" s="145" t="s">
        <v>226</v>
      </c>
      <c r="CQ30" s="145" t="s">
        <v>226</v>
      </c>
      <c r="CR30" s="145" t="s">
        <v>226</v>
      </c>
      <c r="CS30" s="145" t="s">
        <v>226</v>
      </c>
      <c r="CT30" s="145" t="s">
        <v>226</v>
      </c>
      <c r="CU30" s="145" t="s">
        <v>226</v>
      </c>
      <c r="CV30" s="145" t="s">
        <v>226</v>
      </c>
      <c r="CW30" s="145" t="s">
        <v>226</v>
      </c>
      <c r="CX30" s="145" t="s">
        <v>226</v>
      </c>
      <c r="CY30" s="145" t="s">
        <v>226</v>
      </c>
      <c r="CZ30" s="145" t="s">
        <v>226</v>
      </c>
      <c r="DA30" s="145" t="s">
        <v>226</v>
      </c>
      <c r="DB30" s="145" t="s">
        <v>226</v>
      </c>
      <c r="DC30" s="145" t="s">
        <v>226</v>
      </c>
      <c r="DD30" s="145" t="s">
        <v>226</v>
      </c>
      <c r="DE30" s="145" t="s">
        <v>226</v>
      </c>
      <c r="DF30" s="145" t="s">
        <v>226</v>
      </c>
      <c r="DG30" s="145" t="s">
        <v>226</v>
      </c>
      <c r="DH30" s="145" t="s">
        <v>226</v>
      </c>
      <c r="DI30" s="145" t="s">
        <v>226</v>
      </c>
      <c r="DJ30" s="145" t="s">
        <v>226</v>
      </c>
      <c r="DK30" s="145" t="s">
        <v>226</v>
      </c>
      <c r="DL30" s="145" t="s">
        <v>226</v>
      </c>
      <c r="DM30" s="145" t="s">
        <v>226</v>
      </c>
      <c r="DN30" s="145" t="s">
        <v>226</v>
      </c>
      <c r="DO30" s="145" t="s">
        <v>226</v>
      </c>
      <c r="DP30" s="145" t="s">
        <v>226</v>
      </c>
      <c r="DQ30" s="145" t="s">
        <v>226</v>
      </c>
      <c r="DR30" s="145" t="s">
        <v>226</v>
      </c>
      <c r="DS30" s="145" t="s">
        <v>226</v>
      </c>
      <c r="DT30" s="145" t="s">
        <v>226</v>
      </c>
      <c r="DU30" s="145" t="s">
        <v>226</v>
      </c>
      <c r="DV30" s="145" t="s">
        <v>226</v>
      </c>
      <c r="DW30" s="145" t="s">
        <v>226</v>
      </c>
      <c r="DX30" s="145" t="s">
        <v>226</v>
      </c>
      <c r="DY30" s="145" t="s">
        <v>226</v>
      </c>
      <c r="DZ30" s="145" t="s">
        <v>226</v>
      </c>
      <c r="EA30" s="145" t="s">
        <v>226</v>
      </c>
      <c r="EB30" s="145" t="s">
        <v>226</v>
      </c>
      <c r="EC30" s="145" t="s">
        <v>226</v>
      </c>
      <c r="ED30" s="145" t="s">
        <v>226</v>
      </c>
      <c r="EE30" s="145" t="s">
        <v>226</v>
      </c>
      <c r="EF30" s="145" t="s">
        <v>226</v>
      </c>
      <c r="EG30" s="145" t="s">
        <v>226</v>
      </c>
      <c r="EH30" s="145" t="s">
        <v>226</v>
      </c>
      <c r="EI30" s="145" t="s">
        <v>226</v>
      </c>
      <c r="EJ30" s="145" t="s">
        <v>226</v>
      </c>
      <c r="EK30" s="145" t="s">
        <v>226</v>
      </c>
      <c r="EL30" s="145" t="s">
        <v>226</v>
      </c>
      <c r="EM30" s="145" t="s">
        <v>226</v>
      </c>
      <c r="EN30" s="145" t="s">
        <v>226</v>
      </c>
      <c r="EO30" s="145" t="s">
        <v>226</v>
      </c>
      <c r="EP30" s="145" t="s">
        <v>226</v>
      </c>
      <c r="EQ30" s="145" t="s">
        <v>226</v>
      </c>
      <c r="ER30" s="145" t="s">
        <v>226</v>
      </c>
      <c r="ES30" s="145" t="s">
        <v>226</v>
      </c>
      <c r="ET30" s="145" t="s">
        <v>226</v>
      </c>
      <c r="EU30" s="145" t="s">
        <v>226</v>
      </c>
      <c r="EV30" s="145" t="s">
        <v>226</v>
      </c>
      <c r="EW30" s="145" t="s">
        <v>226</v>
      </c>
      <c r="EX30" s="145" t="s">
        <v>226</v>
      </c>
      <c r="EY30" s="106" t="s">
        <v>226</v>
      </c>
      <c r="EZ30" s="145" t="s">
        <v>226</v>
      </c>
      <c r="FA30" s="145" t="s">
        <v>226</v>
      </c>
      <c r="FB30" s="106" t="s">
        <v>226</v>
      </c>
      <c r="FC30" s="145" t="s">
        <v>226</v>
      </c>
      <c r="FD30" s="145" t="s">
        <v>226</v>
      </c>
      <c r="FE30" s="155" t="s">
        <v>226</v>
      </c>
      <c r="FF30" s="155" t="s">
        <v>226</v>
      </c>
      <c r="FG30" s="155" t="s">
        <v>226</v>
      </c>
      <c r="FH30" s="155" t="s">
        <v>226</v>
      </c>
      <c r="FI30" s="155" t="s">
        <v>226</v>
      </c>
      <c r="FJ30" s="155" t="s">
        <v>226</v>
      </c>
      <c r="FK30" s="155" t="s">
        <v>226</v>
      </c>
      <c r="FL30" s="155" t="s">
        <v>226</v>
      </c>
      <c r="FM30" s="155" t="s">
        <v>226</v>
      </c>
      <c r="FN30" s="155" t="s">
        <v>226</v>
      </c>
      <c r="FO30" s="155" t="s">
        <v>226</v>
      </c>
      <c r="FP30" s="155" t="s">
        <v>226</v>
      </c>
      <c r="FQ30" s="155" t="s">
        <v>226</v>
      </c>
      <c r="FR30" s="155" t="s">
        <v>226</v>
      </c>
      <c r="FS30" s="155" t="s">
        <v>226</v>
      </c>
      <c r="FT30" s="155" t="s">
        <v>226</v>
      </c>
      <c r="FU30" s="155" t="s">
        <v>226</v>
      </c>
      <c r="FV30" s="155" t="s">
        <v>226</v>
      </c>
      <c r="FW30" s="155" t="s">
        <v>226</v>
      </c>
      <c r="FX30" s="155" t="s">
        <v>226</v>
      </c>
      <c r="FY30" s="155" t="s">
        <v>226</v>
      </c>
      <c r="FZ30" s="155" t="s">
        <v>226</v>
      </c>
      <c r="GA30" s="155" t="s">
        <v>226</v>
      </c>
      <c r="GB30" s="155" t="s">
        <v>226</v>
      </c>
      <c r="GC30" s="155" t="s">
        <v>226</v>
      </c>
      <c r="GD30" s="155" t="s">
        <v>226</v>
      </c>
      <c r="GE30" s="155" t="s">
        <v>226</v>
      </c>
      <c r="GF30" s="150" t="s">
        <v>256</v>
      </c>
      <c r="GG30" s="70" t="s">
        <v>226</v>
      </c>
      <c r="GH30" s="93" t="s">
        <v>226</v>
      </c>
      <c r="GI30" s="145" t="s">
        <v>226</v>
      </c>
      <c r="GJ30" s="70">
        <v>44399</v>
      </c>
      <c r="GK30" s="70">
        <v>45975</v>
      </c>
      <c r="GL30" s="70" t="s">
        <v>226</v>
      </c>
      <c r="GM30" s="159" t="str">
        <f t="shared" si="1"/>
        <v>N/A</v>
      </c>
      <c r="GN30" s="159" t="str">
        <f t="shared" si="2"/>
        <v>N/A</v>
      </c>
      <c r="GO30" s="159">
        <f t="shared" si="3"/>
        <v>1.2333333333333334</v>
      </c>
      <c r="GP30" s="159" t="str">
        <f t="shared" si="4"/>
        <v>N/A</v>
      </c>
      <c r="GQ30" s="159" t="str">
        <f t="shared" si="5"/>
        <v>N/A</v>
      </c>
      <c r="GR30" s="159" t="str">
        <f t="shared" si="6"/>
        <v>N/A</v>
      </c>
      <c r="GS30" s="159" t="str">
        <f t="shared" si="7"/>
        <v>N/A</v>
      </c>
      <c r="GT30" s="159" t="str">
        <f t="shared" si="8"/>
        <v>N/A</v>
      </c>
      <c r="GU30" s="159" t="str">
        <f t="shared" si="9"/>
        <v>N/A</v>
      </c>
      <c r="GV30" s="159" t="str">
        <f t="shared" si="10"/>
        <v>N/A</v>
      </c>
      <c r="GW30" s="159" t="str">
        <f t="shared" si="11"/>
        <v>N/A</v>
      </c>
      <c r="GX30" s="159" t="str">
        <f t="shared" si="12"/>
        <v>N/A</v>
      </c>
      <c r="GY30" s="159" t="str">
        <f t="shared" si="13"/>
        <v>N/A</v>
      </c>
      <c r="GZ30" s="159" t="str">
        <f t="shared" si="14"/>
        <v>N/A</v>
      </c>
      <c r="HA30" s="159" t="str">
        <f t="shared" si="15"/>
        <v>N/A</v>
      </c>
      <c r="HB30" s="159" t="str">
        <f t="shared" si="16"/>
        <v>N/A</v>
      </c>
      <c r="HC30" s="159" t="str">
        <f t="shared" si="17"/>
        <v>N/A</v>
      </c>
      <c r="HD30" s="159">
        <f t="shared" si="18"/>
        <v>1.9333333333333333</v>
      </c>
      <c r="HE30" s="159">
        <f t="shared" si="19"/>
        <v>54.466666666666669</v>
      </c>
      <c r="HF30" s="160">
        <f t="shared" si="20"/>
        <v>54.466666666666669</v>
      </c>
      <c r="HG30" s="160" cm="1">
        <f t="array" ref="HG30">INDEX($HB30:$HD30,MATCH(TRUE,INDEX(ISNUMBER($HB30:$HD30),0),0))</f>
        <v>1.9333333333333333</v>
      </c>
      <c r="HH30" s="161">
        <f t="shared" si="21"/>
        <v>0</v>
      </c>
      <c r="HI30" s="108">
        <f t="shared" si="22"/>
        <v>0</v>
      </c>
      <c r="HJ30" s="91">
        <f t="shared" si="23"/>
        <v>0</v>
      </c>
      <c r="HK30" s="205" t="str">
        <f t="shared" si="24"/>
        <v>0</v>
      </c>
    </row>
    <row r="31" spans="1:219" ht="15" customHeight="1" x14ac:dyDescent="0.3">
      <c r="A31" s="146">
        <v>4861893291</v>
      </c>
      <c r="B31" s="93" t="s">
        <v>221</v>
      </c>
      <c r="C31" s="93" t="s">
        <v>222</v>
      </c>
      <c r="D31" s="93" t="s">
        <v>221</v>
      </c>
      <c r="E31" s="145" t="s">
        <v>373</v>
      </c>
      <c r="F31" s="145" t="s">
        <v>314</v>
      </c>
      <c r="G31" s="145" t="s">
        <v>262</v>
      </c>
      <c r="H31" s="70">
        <v>44407</v>
      </c>
      <c r="I31" s="147" t="s">
        <v>374</v>
      </c>
      <c r="J31" s="147" t="s">
        <v>375</v>
      </c>
      <c r="K31" s="145" t="s">
        <v>226</v>
      </c>
      <c r="L31" s="145" t="s">
        <v>226</v>
      </c>
      <c r="M31" s="145" t="s">
        <v>226</v>
      </c>
      <c r="N31" s="145" t="s">
        <v>226</v>
      </c>
      <c r="O31" s="145" t="s">
        <v>226</v>
      </c>
      <c r="P31" s="70" t="s">
        <v>226</v>
      </c>
      <c r="Q31" s="93" t="s">
        <v>226</v>
      </c>
      <c r="R31" s="97" t="s">
        <v>226</v>
      </c>
      <c r="S31" s="97" t="s">
        <v>226</v>
      </c>
      <c r="T31" s="97" t="s">
        <v>226</v>
      </c>
      <c r="U31" s="97" t="s">
        <v>226</v>
      </c>
      <c r="V31" s="93" t="s">
        <v>226</v>
      </c>
      <c r="W31" s="97" t="s">
        <v>226</v>
      </c>
      <c r="X31" s="97" t="s">
        <v>226</v>
      </c>
      <c r="Y31" s="97" t="s">
        <v>226</v>
      </c>
      <c r="Z31" s="97" t="s">
        <v>226</v>
      </c>
      <c r="AA31" s="93" t="s">
        <v>226</v>
      </c>
      <c r="AB31" s="97" t="s">
        <v>226</v>
      </c>
      <c r="AC31" s="97" t="s">
        <v>226</v>
      </c>
      <c r="AD31" s="97" t="s">
        <v>226</v>
      </c>
      <c r="AE31" s="97" t="s">
        <v>226</v>
      </c>
      <c r="AF31" s="93" t="s">
        <v>226</v>
      </c>
      <c r="AG31" s="97" t="s">
        <v>226</v>
      </c>
      <c r="AH31" s="97" t="s">
        <v>226</v>
      </c>
      <c r="AI31" s="97" t="s">
        <v>226</v>
      </c>
      <c r="AJ31" s="97" t="s">
        <v>226</v>
      </c>
      <c r="AK31" s="93" t="s">
        <v>226</v>
      </c>
      <c r="AL31" s="97" t="s">
        <v>226</v>
      </c>
      <c r="AM31" s="97" t="s">
        <v>226</v>
      </c>
      <c r="AN31" s="97" t="s">
        <v>226</v>
      </c>
      <c r="AO31" s="97" t="s">
        <v>226</v>
      </c>
      <c r="AP31" s="93" t="s">
        <v>226</v>
      </c>
      <c r="AQ31" s="106" t="s">
        <v>227</v>
      </c>
      <c r="AR31" s="69">
        <v>22713</v>
      </c>
      <c r="AS31" s="70">
        <v>44341</v>
      </c>
      <c r="AT31" s="149">
        <f t="shared" si="0"/>
        <v>59</v>
      </c>
      <c r="AU31" s="147" t="s">
        <v>252</v>
      </c>
      <c r="AV31" s="93" t="s">
        <v>229</v>
      </c>
      <c r="AW31" s="93" t="s">
        <v>230</v>
      </c>
      <c r="AX31" s="150" t="s">
        <v>231</v>
      </c>
      <c r="AY31" s="150">
        <v>0</v>
      </c>
      <c r="AZ31" s="150" t="s">
        <v>232</v>
      </c>
      <c r="BA31" s="150">
        <v>0</v>
      </c>
      <c r="BB31" s="93" t="s">
        <v>233</v>
      </c>
      <c r="BC31" s="152">
        <v>1</v>
      </c>
      <c r="BD31" s="153" t="s">
        <v>234</v>
      </c>
      <c r="BE31" s="93" t="s">
        <v>235</v>
      </c>
      <c r="BF31" s="153" t="s">
        <v>221</v>
      </c>
      <c r="BG31" s="154" t="s">
        <v>226</v>
      </c>
      <c r="BH31" s="155" t="s">
        <v>226</v>
      </c>
      <c r="BI31" s="155" t="s">
        <v>226</v>
      </c>
      <c r="BJ31" s="155" t="s">
        <v>226</v>
      </c>
      <c r="BK31" s="155" t="s">
        <v>226</v>
      </c>
      <c r="BL31" s="155" t="s">
        <v>226</v>
      </c>
      <c r="BM31" s="155" t="s">
        <v>226</v>
      </c>
      <c r="BN31" s="155" t="s">
        <v>226</v>
      </c>
      <c r="BO31" s="155" t="s">
        <v>226</v>
      </c>
      <c r="BP31" s="155" t="s">
        <v>226</v>
      </c>
      <c r="BQ31" s="155" t="s">
        <v>226</v>
      </c>
      <c r="BR31" s="155" t="s">
        <v>226</v>
      </c>
      <c r="BS31" s="155" t="s">
        <v>226</v>
      </c>
      <c r="BT31" s="155" t="s">
        <v>226</v>
      </c>
      <c r="BU31" s="155" t="s">
        <v>226</v>
      </c>
      <c r="BV31" s="155" t="s">
        <v>226</v>
      </c>
      <c r="BW31" s="155" t="s">
        <v>226</v>
      </c>
      <c r="BX31" s="155" t="s">
        <v>226</v>
      </c>
      <c r="BY31" s="155" t="s">
        <v>226</v>
      </c>
      <c r="BZ31" s="155" t="s">
        <v>226</v>
      </c>
      <c r="CA31" s="155" t="s">
        <v>226</v>
      </c>
      <c r="CB31" s="155" t="s">
        <v>226</v>
      </c>
      <c r="CC31" s="155" t="s">
        <v>226</v>
      </c>
      <c r="CD31" s="155" t="s">
        <v>226</v>
      </c>
      <c r="CE31" s="155" t="s">
        <v>226</v>
      </c>
      <c r="CF31" s="155" t="s">
        <v>226</v>
      </c>
      <c r="CG31" s="155" t="s">
        <v>226</v>
      </c>
      <c r="CH31" s="155" t="s">
        <v>226</v>
      </c>
      <c r="CI31" s="155" t="s">
        <v>226</v>
      </c>
      <c r="CJ31" s="155" t="s">
        <v>226</v>
      </c>
      <c r="CK31" s="155" t="s">
        <v>226</v>
      </c>
      <c r="CL31" s="155" t="s">
        <v>226</v>
      </c>
      <c r="CM31" s="155" t="s">
        <v>226</v>
      </c>
      <c r="CN31" s="106" t="s">
        <v>226</v>
      </c>
      <c r="CO31" s="145" t="s">
        <v>226</v>
      </c>
      <c r="CP31" s="145" t="s">
        <v>226</v>
      </c>
      <c r="CQ31" s="145" t="s">
        <v>226</v>
      </c>
      <c r="CR31" s="145" t="s">
        <v>226</v>
      </c>
      <c r="CS31" s="145" t="s">
        <v>226</v>
      </c>
      <c r="CT31" s="145" t="s">
        <v>226</v>
      </c>
      <c r="CU31" s="145" t="s">
        <v>226</v>
      </c>
      <c r="CV31" s="145" t="s">
        <v>226</v>
      </c>
      <c r="CW31" s="145" t="s">
        <v>226</v>
      </c>
      <c r="CX31" s="145" t="s">
        <v>226</v>
      </c>
      <c r="CY31" s="145" t="s">
        <v>226</v>
      </c>
      <c r="CZ31" s="145" t="s">
        <v>226</v>
      </c>
      <c r="DA31" s="145" t="s">
        <v>226</v>
      </c>
      <c r="DB31" s="145" t="s">
        <v>226</v>
      </c>
      <c r="DC31" s="145" t="s">
        <v>226</v>
      </c>
      <c r="DD31" s="145" t="s">
        <v>226</v>
      </c>
      <c r="DE31" s="145" t="s">
        <v>226</v>
      </c>
      <c r="DF31" s="145" t="s">
        <v>226</v>
      </c>
      <c r="DG31" s="145" t="s">
        <v>226</v>
      </c>
      <c r="DH31" s="145" t="s">
        <v>226</v>
      </c>
      <c r="DI31" s="145" t="s">
        <v>226</v>
      </c>
      <c r="DJ31" s="145" t="s">
        <v>226</v>
      </c>
      <c r="DK31" s="145" t="s">
        <v>226</v>
      </c>
      <c r="DL31" s="145" t="s">
        <v>226</v>
      </c>
      <c r="DM31" s="145" t="s">
        <v>226</v>
      </c>
      <c r="DN31" s="145" t="s">
        <v>226</v>
      </c>
      <c r="DO31" s="145" t="s">
        <v>226</v>
      </c>
      <c r="DP31" s="145" t="s">
        <v>226</v>
      </c>
      <c r="DQ31" s="145" t="s">
        <v>226</v>
      </c>
      <c r="DR31" s="145" t="s">
        <v>226</v>
      </c>
      <c r="DS31" s="145" t="s">
        <v>226</v>
      </c>
      <c r="DT31" s="145" t="s">
        <v>226</v>
      </c>
      <c r="DU31" s="145" t="s">
        <v>226</v>
      </c>
      <c r="DV31" s="145" t="s">
        <v>226</v>
      </c>
      <c r="DW31" s="145" t="s">
        <v>226</v>
      </c>
      <c r="DX31" s="145" t="s">
        <v>226</v>
      </c>
      <c r="DY31" s="145" t="s">
        <v>226</v>
      </c>
      <c r="DZ31" s="145" t="s">
        <v>226</v>
      </c>
      <c r="EA31" s="145" t="s">
        <v>226</v>
      </c>
      <c r="EB31" s="145" t="s">
        <v>226</v>
      </c>
      <c r="EC31" s="145" t="s">
        <v>226</v>
      </c>
      <c r="ED31" s="145" t="s">
        <v>226</v>
      </c>
      <c r="EE31" s="145" t="s">
        <v>226</v>
      </c>
      <c r="EF31" s="145" t="s">
        <v>226</v>
      </c>
      <c r="EG31" s="145" t="s">
        <v>226</v>
      </c>
      <c r="EH31" s="145" t="s">
        <v>226</v>
      </c>
      <c r="EI31" s="145" t="s">
        <v>226</v>
      </c>
      <c r="EJ31" s="145" t="s">
        <v>226</v>
      </c>
      <c r="EK31" s="145" t="s">
        <v>226</v>
      </c>
      <c r="EL31" s="145" t="s">
        <v>226</v>
      </c>
      <c r="EM31" s="145" t="s">
        <v>226</v>
      </c>
      <c r="EN31" s="145" t="s">
        <v>226</v>
      </c>
      <c r="EO31" s="145" t="s">
        <v>226</v>
      </c>
      <c r="EP31" s="145" t="s">
        <v>226</v>
      </c>
      <c r="EQ31" s="145" t="s">
        <v>226</v>
      </c>
      <c r="ER31" s="145" t="s">
        <v>226</v>
      </c>
      <c r="ES31" s="145" t="s">
        <v>226</v>
      </c>
      <c r="ET31" s="145" t="s">
        <v>226</v>
      </c>
      <c r="EU31" s="145" t="s">
        <v>226</v>
      </c>
      <c r="EV31" s="145" t="s">
        <v>226</v>
      </c>
      <c r="EW31" s="145" t="s">
        <v>226</v>
      </c>
      <c r="EX31" s="145" t="s">
        <v>226</v>
      </c>
      <c r="EY31" s="106" t="s">
        <v>226</v>
      </c>
      <c r="EZ31" s="145" t="s">
        <v>226</v>
      </c>
      <c r="FA31" s="145" t="s">
        <v>226</v>
      </c>
      <c r="FB31" s="106" t="s">
        <v>226</v>
      </c>
      <c r="FC31" s="145" t="s">
        <v>226</v>
      </c>
      <c r="FD31" s="145" t="s">
        <v>226</v>
      </c>
      <c r="FE31" s="155" t="s">
        <v>226</v>
      </c>
      <c r="FF31" s="155" t="s">
        <v>226</v>
      </c>
      <c r="FG31" s="155" t="s">
        <v>226</v>
      </c>
      <c r="FH31" s="155" t="s">
        <v>226</v>
      </c>
      <c r="FI31" s="155" t="s">
        <v>226</v>
      </c>
      <c r="FJ31" s="155" t="s">
        <v>226</v>
      </c>
      <c r="FK31" s="155" t="s">
        <v>226</v>
      </c>
      <c r="FL31" s="155" t="s">
        <v>226</v>
      </c>
      <c r="FM31" s="155" t="s">
        <v>226</v>
      </c>
      <c r="FN31" s="155" t="s">
        <v>226</v>
      </c>
      <c r="FO31" s="155" t="s">
        <v>226</v>
      </c>
      <c r="FP31" s="155" t="s">
        <v>226</v>
      </c>
      <c r="FQ31" s="155" t="s">
        <v>226</v>
      </c>
      <c r="FR31" s="155" t="s">
        <v>226</v>
      </c>
      <c r="FS31" s="155" t="s">
        <v>226</v>
      </c>
      <c r="FT31" s="155" t="s">
        <v>226</v>
      </c>
      <c r="FU31" s="155" t="s">
        <v>226</v>
      </c>
      <c r="FV31" s="155" t="s">
        <v>226</v>
      </c>
      <c r="FW31" s="155" t="s">
        <v>226</v>
      </c>
      <c r="FX31" s="155" t="s">
        <v>226</v>
      </c>
      <c r="FY31" s="155" t="s">
        <v>226</v>
      </c>
      <c r="FZ31" s="155" t="s">
        <v>226</v>
      </c>
      <c r="GA31" s="155" t="s">
        <v>226</v>
      </c>
      <c r="GB31" s="155" t="s">
        <v>226</v>
      </c>
      <c r="GC31" s="155" t="s">
        <v>226</v>
      </c>
      <c r="GD31" s="155" t="s">
        <v>226</v>
      </c>
      <c r="GE31" s="155" t="s">
        <v>226</v>
      </c>
      <c r="GF31" s="150" t="s">
        <v>256</v>
      </c>
      <c r="GG31" s="70" t="s">
        <v>226</v>
      </c>
      <c r="GH31" s="93" t="s">
        <v>226</v>
      </c>
      <c r="GI31" s="145" t="s">
        <v>226</v>
      </c>
      <c r="GJ31" s="70">
        <v>45905</v>
      </c>
      <c r="GK31" s="70">
        <v>45986</v>
      </c>
      <c r="GL31" s="70" t="s">
        <v>226</v>
      </c>
      <c r="GM31" s="159" t="str">
        <f t="shared" si="1"/>
        <v>N/A</v>
      </c>
      <c r="GN31" s="159" t="str">
        <f t="shared" si="2"/>
        <v>N/A</v>
      </c>
      <c r="GO31" s="159">
        <f t="shared" si="3"/>
        <v>2.2000000000000002</v>
      </c>
      <c r="GP31" s="159" t="str">
        <f t="shared" si="4"/>
        <v>N/A</v>
      </c>
      <c r="GQ31" s="159" t="str">
        <f t="shared" si="5"/>
        <v>N/A</v>
      </c>
      <c r="GR31" s="159" t="str">
        <f t="shared" si="6"/>
        <v>N/A</v>
      </c>
      <c r="GS31" s="159" t="str">
        <f t="shared" si="7"/>
        <v>N/A</v>
      </c>
      <c r="GT31" s="159" t="str">
        <f t="shared" si="8"/>
        <v>N/A</v>
      </c>
      <c r="GU31" s="159" t="str">
        <f t="shared" si="9"/>
        <v>N/A</v>
      </c>
      <c r="GV31" s="159" t="str">
        <f t="shared" si="10"/>
        <v>N/A</v>
      </c>
      <c r="GW31" s="159" t="str">
        <f t="shared" si="11"/>
        <v>N/A</v>
      </c>
      <c r="GX31" s="159" t="str">
        <f t="shared" si="12"/>
        <v>N/A</v>
      </c>
      <c r="GY31" s="159" t="str">
        <f t="shared" si="13"/>
        <v>N/A</v>
      </c>
      <c r="GZ31" s="159" t="str">
        <f t="shared" si="14"/>
        <v>N/A</v>
      </c>
      <c r="HA31" s="159" t="str">
        <f t="shared" si="15"/>
        <v>N/A</v>
      </c>
      <c r="HB31" s="159" t="str">
        <f t="shared" si="16"/>
        <v>N/A</v>
      </c>
      <c r="HC31" s="159" t="str">
        <f t="shared" si="17"/>
        <v>N/A</v>
      </c>
      <c r="HD31" s="159">
        <f t="shared" si="18"/>
        <v>52.133333333333333</v>
      </c>
      <c r="HE31" s="159">
        <f t="shared" si="19"/>
        <v>54.833333333333336</v>
      </c>
      <c r="HF31" s="160">
        <f t="shared" si="20"/>
        <v>54.833333333333336</v>
      </c>
      <c r="HG31" s="160" cm="1">
        <f t="array" ref="HG31">INDEX($HB31:$HD31,MATCH(TRUE,INDEX(ISNUMBER($HB31:$HD31),0),0))</f>
        <v>52.133333333333333</v>
      </c>
      <c r="HH31" s="161">
        <f t="shared" si="21"/>
        <v>0</v>
      </c>
      <c r="HI31" s="108">
        <f t="shared" si="22"/>
        <v>0</v>
      </c>
      <c r="HJ31" s="91">
        <f t="shared" si="23"/>
        <v>0</v>
      </c>
      <c r="HK31" s="205" t="str">
        <f t="shared" si="24"/>
        <v>0</v>
      </c>
    </row>
    <row r="32" spans="1:219" ht="15" customHeight="1" x14ac:dyDescent="0.3">
      <c r="A32" s="146">
        <v>4849656994</v>
      </c>
      <c r="B32" s="93" t="s">
        <v>221</v>
      </c>
      <c r="C32" s="93" t="s">
        <v>222</v>
      </c>
      <c r="D32" s="93" t="s">
        <v>221</v>
      </c>
      <c r="E32" s="145" t="s">
        <v>376</v>
      </c>
      <c r="F32" s="145" t="s">
        <v>269</v>
      </c>
      <c r="G32" s="145" t="s">
        <v>226</v>
      </c>
      <c r="H32" s="70">
        <v>44420</v>
      </c>
      <c r="I32" s="145" t="s">
        <v>377</v>
      </c>
      <c r="J32" s="148" t="s">
        <v>378</v>
      </c>
      <c r="K32" s="145" t="s">
        <v>226</v>
      </c>
      <c r="L32" s="145" t="s">
        <v>226</v>
      </c>
      <c r="M32" s="145" t="s">
        <v>226</v>
      </c>
      <c r="N32" s="145" t="s">
        <v>226</v>
      </c>
      <c r="O32" s="145" t="s">
        <v>226</v>
      </c>
      <c r="P32" s="70" t="s">
        <v>226</v>
      </c>
      <c r="Q32" s="93" t="s">
        <v>226</v>
      </c>
      <c r="R32" s="97" t="s">
        <v>226</v>
      </c>
      <c r="S32" s="97" t="s">
        <v>226</v>
      </c>
      <c r="T32" s="97" t="s">
        <v>226</v>
      </c>
      <c r="U32" s="97" t="s">
        <v>226</v>
      </c>
      <c r="V32" s="93" t="s">
        <v>226</v>
      </c>
      <c r="W32" s="97" t="s">
        <v>226</v>
      </c>
      <c r="X32" s="97" t="s">
        <v>226</v>
      </c>
      <c r="Y32" s="97" t="s">
        <v>226</v>
      </c>
      <c r="Z32" s="97" t="s">
        <v>226</v>
      </c>
      <c r="AA32" s="93" t="s">
        <v>226</v>
      </c>
      <c r="AB32" s="97" t="s">
        <v>226</v>
      </c>
      <c r="AC32" s="97" t="s">
        <v>226</v>
      </c>
      <c r="AD32" s="97" t="s">
        <v>226</v>
      </c>
      <c r="AE32" s="97" t="s">
        <v>226</v>
      </c>
      <c r="AF32" s="93" t="s">
        <v>226</v>
      </c>
      <c r="AG32" s="97" t="s">
        <v>226</v>
      </c>
      <c r="AH32" s="97" t="s">
        <v>226</v>
      </c>
      <c r="AI32" s="97" t="s">
        <v>226</v>
      </c>
      <c r="AJ32" s="97" t="s">
        <v>226</v>
      </c>
      <c r="AK32" s="93" t="s">
        <v>226</v>
      </c>
      <c r="AL32" s="97" t="s">
        <v>226</v>
      </c>
      <c r="AM32" s="97" t="s">
        <v>226</v>
      </c>
      <c r="AN32" s="97" t="s">
        <v>226</v>
      </c>
      <c r="AO32" s="97" t="s">
        <v>226</v>
      </c>
      <c r="AP32" s="93" t="s">
        <v>226</v>
      </c>
      <c r="AQ32" s="106" t="s">
        <v>227</v>
      </c>
      <c r="AR32" s="69">
        <v>23034</v>
      </c>
      <c r="AS32" s="70">
        <v>44389</v>
      </c>
      <c r="AT32" s="149">
        <f t="shared" si="0"/>
        <v>58</v>
      </c>
      <c r="AU32" s="147" t="s">
        <v>228</v>
      </c>
      <c r="AV32" s="93" t="s">
        <v>229</v>
      </c>
      <c r="AW32" s="93" t="s">
        <v>230</v>
      </c>
      <c r="AX32" s="150" t="s">
        <v>265</v>
      </c>
      <c r="AY32" s="145" t="s">
        <v>379</v>
      </c>
      <c r="AZ32" s="150" t="s">
        <v>232</v>
      </c>
      <c r="BA32" s="150">
        <v>0</v>
      </c>
      <c r="BB32" s="93" t="s">
        <v>266</v>
      </c>
      <c r="BC32" s="152">
        <v>2</v>
      </c>
      <c r="BD32" s="153" t="s">
        <v>234</v>
      </c>
      <c r="BE32" s="93" t="s">
        <v>267</v>
      </c>
      <c r="BF32" s="153" t="s">
        <v>221</v>
      </c>
      <c r="BG32" s="154" t="s">
        <v>226</v>
      </c>
      <c r="BH32" s="155" t="s">
        <v>226</v>
      </c>
      <c r="BI32" s="155" t="s">
        <v>226</v>
      </c>
      <c r="BJ32" s="155" t="s">
        <v>226</v>
      </c>
      <c r="BK32" s="155" t="s">
        <v>226</v>
      </c>
      <c r="BL32" s="155" t="s">
        <v>226</v>
      </c>
      <c r="BM32" s="155" t="s">
        <v>226</v>
      </c>
      <c r="BN32" s="155" t="s">
        <v>226</v>
      </c>
      <c r="BO32" s="155" t="s">
        <v>226</v>
      </c>
      <c r="BP32" s="155" t="s">
        <v>226</v>
      </c>
      <c r="BQ32" s="155" t="s">
        <v>226</v>
      </c>
      <c r="BR32" s="155" t="s">
        <v>226</v>
      </c>
      <c r="BS32" s="155" t="s">
        <v>226</v>
      </c>
      <c r="BT32" s="155" t="s">
        <v>226</v>
      </c>
      <c r="BU32" s="155" t="s">
        <v>226</v>
      </c>
      <c r="BV32" s="155" t="s">
        <v>226</v>
      </c>
      <c r="BW32" s="155" t="s">
        <v>226</v>
      </c>
      <c r="BX32" s="155" t="s">
        <v>226</v>
      </c>
      <c r="BY32" s="155" t="s">
        <v>226</v>
      </c>
      <c r="BZ32" s="155" t="s">
        <v>226</v>
      </c>
      <c r="CA32" s="155" t="s">
        <v>226</v>
      </c>
      <c r="CB32" s="155" t="s">
        <v>226</v>
      </c>
      <c r="CC32" s="155" t="s">
        <v>226</v>
      </c>
      <c r="CD32" s="155" t="s">
        <v>226</v>
      </c>
      <c r="CE32" s="155" t="s">
        <v>226</v>
      </c>
      <c r="CF32" s="155" t="s">
        <v>226</v>
      </c>
      <c r="CG32" s="155" t="s">
        <v>226</v>
      </c>
      <c r="CH32" s="155" t="s">
        <v>226</v>
      </c>
      <c r="CI32" s="155" t="s">
        <v>226</v>
      </c>
      <c r="CJ32" s="155" t="s">
        <v>226</v>
      </c>
      <c r="CK32" s="155" t="s">
        <v>226</v>
      </c>
      <c r="CL32" s="155" t="s">
        <v>226</v>
      </c>
      <c r="CM32" s="155" t="s">
        <v>226</v>
      </c>
      <c r="CN32" s="145" t="s">
        <v>226</v>
      </c>
      <c r="CO32" s="145" t="s">
        <v>226</v>
      </c>
      <c r="CP32" s="145" t="s">
        <v>226</v>
      </c>
      <c r="CQ32" s="145" t="s">
        <v>226</v>
      </c>
      <c r="CR32" s="145" t="s">
        <v>226</v>
      </c>
      <c r="CS32" s="145" t="s">
        <v>226</v>
      </c>
      <c r="CT32" s="145" t="s">
        <v>226</v>
      </c>
      <c r="CU32" s="145" t="s">
        <v>226</v>
      </c>
      <c r="CV32" s="145" t="s">
        <v>226</v>
      </c>
      <c r="CW32" s="145" t="s">
        <v>226</v>
      </c>
      <c r="CX32" s="145" t="s">
        <v>226</v>
      </c>
      <c r="CY32" s="145" t="s">
        <v>226</v>
      </c>
      <c r="CZ32" s="145" t="s">
        <v>226</v>
      </c>
      <c r="DA32" s="145" t="s">
        <v>226</v>
      </c>
      <c r="DB32" s="145" t="s">
        <v>226</v>
      </c>
      <c r="DC32" s="145" t="s">
        <v>226</v>
      </c>
      <c r="DD32" s="145" t="s">
        <v>226</v>
      </c>
      <c r="DE32" s="145" t="s">
        <v>226</v>
      </c>
      <c r="DF32" s="145" t="s">
        <v>226</v>
      </c>
      <c r="DG32" s="145" t="s">
        <v>226</v>
      </c>
      <c r="DH32" s="145" t="s">
        <v>226</v>
      </c>
      <c r="DI32" s="145" t="s">
        <v>226</v>
      </c>
      <c r="DJ32" s="145" t="s">
        <v>226</v>
      </c>
      <c r="DK32" s="145" t="s">
        <v>226</v>
      </c>
      <c r="DL32" s="145" t="s">
        <v>226</v>
      </c>
      <c r="DM32" s="145" t="s">
        <v>226</v>
      </c>
      <c r="DN32" s="145" t="s">
        <v>226</v>
      </c>
      <c r="DO32" s="145" t="s">
        <v>226</v>
      </c>
      <c r="DP32" s="145" t="s">
        <v>226</v>
      </c>
      <c r="DQ32" s="145" t="s">
        <v>226</v>
      </c>
      <c r="DR32" s="145" t="s">
        <v>226</v>
      </c>
      <c r="DS32" s="145" t="s">
        <v>226</v>
      </c>
      <c r="DT32" s="145" t="s">
        <v>226</v>
      </c>
      <c r="DU32" s="145" t="s">
        <v>226</v>
      </c>
      <c r="DV32" s="145" t="s">
        <v>226</v>
      </c>
      <c r="DW32" s="145" t="s">
        <v>226</v>
      </c>
      <c r="DX32" s="145" t="s">
        <v>226</v>
      </c>
      <c r="DY32" s="145" t="s">
        <v>226</v>
      </c>
      <c r="DZ32" s="145" t="s">
        <v>226</v>
      </c>
      <c r="EA32" s="145" t="s">
        <v>226</v>
      </c>
      <c r="EB32" s="145" t="s">
        <v>226</v>
      </c>
      <c r="EC32" s="145" t="s">
        <v>226</v>
      </c>
      <c r="ED32" s="145" t="s">
        <v>226</v>
      </c>
      <c r="EE32" s="145" t="s">
        <v>226</v>
      </c>
      <c r="EF32" s="145" t="s">
        <v>226</v>
      </c>
      <c r="EG32" s="145" t="s">
        <v>226</v>
      </c>
      <c r="EH32" s="145" t="s">
        <v>226</v>
      </c>
      <c r="EI32" s="145" t="s">
        <v>226</v>
      </c>
      <c r="EJ32" s="145" t="s">
        <v>226</v>
      </c>
      <c r="EK32" s="145" t="s">
        <v>226</v>
      </c>
      <c r="EL32" s="145" t="s">
        <v>226</v>
      </c>
      <c r="EM32" s="145" t="s">
        <v>226</v>
      </c>
      <c r="EN32" s="145" t="s">
        <v>226</v>
      </c>
      <c r="EO32" s="145" t="s">
        <v>226</v>
      </c>
      <c r="EP32" s="145" t="s">
        <v>226</v>
      </c>
      <c r="EQ32" s="145" t="s">
        <v>226</v>
      </c>
      <c r="ER32" s="145" t="s">
        <v>226</v>
      </c>
      <c r="ES32" s="145" t="s">
        <v>226</v>
      </c>
      <c r="ET32" s="145" t="s">
        <v>226</v>
      </c>
      <c r="EU32" s="145" t="s">
        <v>226</v>
      </c>
      <c r="EV32" s="145" t="s">
        <v>226</v>
      </c>
      <c r="EW32" s="145" t="s">
        <v>226</v>
      </c>
      <c r="EX32" s="145" t="s">
        <v>226</v>
      </c>
      <c r="EY32" s="106" t="s">
        <v>226</v>
      </c>
      <c r="EZ32" s="145" t="s">
        <v>226</v>
      </c>
      <c r="FA32" s="145" t="s">
        <v>226</v>
      </c>
      <c r="FB32" s="106" t="s">
        <v>226</v>
      </c>
      <c r="FC32" s="145" t="s">
        <v>226</v>
      </c>
      <c r="FD32" s="145" t="s">
        <v>226</v>
      </c>
      <c r="FE32" s="155" t="s">
        <v>226</v>
      </c>
      <c r="FF32" s="155" t="s">
        <v>226</v>
      </c>
      <c r="FG32" s="155" t="s">
        <v>226</v>
      </c>
      <c r="FH32" s="155" t="s">
        <v>226</v>
      </c>
      <c r="FI32" s="155" t="s">
        <v>226</v>
      </c>
      <c r="FJ32" s="155" t="s">
        <v>226</v>
      </c>
      <c r="FK32" s="155" t="s">
        <v>226</v>
      </c>
      <c r="FL32" s="155" t="s">
        <v>226</v>
      </c>
      <c r="FM32" s="155" t="s">
        <v>226</v>
      </c>
      <c r="FN32" s="155" t="s">
        <v>226</v>
      </c>
      <c r="FO32" s="155" t="s">
        <v>226</v>
      </c>
      <c r="FP32" s="155" t="s">
        <v>226</v>
      </c>
      <c r="FQ32" s="155" t="s">
        <v>226</v>
      </c>
      <c r="FR32" s="155" t="s">
        <v>226</v>
      </c>
      <c r="FS32" s="155" t="s">
        <v>226</v>
      </c>
      <c r="FT32" s="155" t="s">
        <v>226</v>
      </c>
      <c r="FU32" s="155" t="s">
        <v>226</v>
      </c>
      <c r="FV32" s="155" t="s">
        <v>226</v>
      </c>
      <c r="FW32" s="155" t="s">
        <v>226</v>
      </c>
      <c r="FX32" s="155" t="s">
        <v>226</v>
      </c>
      <c r="FY32" s="155" t="s">
        <v>226</v>
      </c>
      <c r="FZ32" s="155" t="s">
        <v>226</v>
      </c>
      <c r="GA32" s="155" t="s">
        <v>226</v>
      </c>
      <c r="GB32" s="155" t="s">
        <v>226</v>
      </c>
      <c r="GC32" s="155" t="s">
        <v>226</v>
      </c>
      <c r="GD32" s="155" t="s">
        <v>226</v>
      </c>
      <c r="GE32" s="155" t="s">
        <v>226</v>
      </c>
      <c r="GF32" s="150" t="s">
        <v>256</v>
      </c>
      <c r="GG32" s="70" t="s">
        <v>226</v>
      </c>
      <c r="GH32" s="93" t="s">
        <v>226</v>
      </c>
      <c r="GI32" s="145" t="s">
        <v>226</v>
      </c>
      <c r="GJ32" s="70">
        <v>44456</v>
      </c>
      <c r="GK32" s="70">
        <v>45942</v>
      </c>
      <c r="GL32" s="70" t="s">
        <v>226</v>
      </c>
      <c r="GM32" s="159" t="str">
        <f t="shared" si="1"/>
        <v>N/A</v>
      </c>
      <c r="GN32" s="159" t="str">
        <f t="shared" si="2"/>
        <v>N/A</v>
      </c>
      <c r="GO32" s="159">
        <f t="shared" si="3"/>
        <v>1.0333333333333334</v>
      </c>
      <c r="GP32" s="159" t="str">
        <f t="shared" si="4"/>
        <v>N/A</v>
      </c>
      <c r="GQ32" s="159" t="str">
        <f t="shared" si="5"/>
        <v>N/A</v>
      </c>
      <c r="GR32" s="159" t="str">
        <f t="shared" si="6"/>
        <v>N/A</v>
      </c>
      <c r="GS32" s="159" t="str">
        <f t="shared" si="7"/>
        <v>N/A</v>
      </c>
      <c r="GT32" s="159" t="str">
        <f t="shared" si="8"/>
        <v>N/A</v>
      </c>
      <c r="GU32" s="159" t="str">
        <f t="shared" si="9"/>
        <v>N/A</v>
      </c>
      <c r="GV32" s="159" t="str">
        <f t="shared" si="10"/>
        <v>N/A</v>
      </c>
      <c r="GW32" s="159" t="str">
        <f t="shared" si="11"/>
        <v>N/A</v>
      </c>
      <c r="GX32" s="159" t="str">
        <f t="shared" si="12"/>
        <v>N/A</v>
      </c>
      <c r="GY32" s="159" t="str">
        <f t="shared" si="13"/>
        <v>N/A</v>
      </c>
      <c r="GZ32" s="159" t="str">
        <f t="shared" si="14"/>
        <v>N/A</v>
      </c>
      <c r="HA32" s="159" t="str">
        <f t="shared" si="15"/>
        <v>N/A</v>
      </c>
      <c r="HB32" s="159" t="str">
        <f t="shared" si="16"/>
        <v>N/A</v>
      </c>
      <c r="HC32" s="159" t="str">
        <f t="shared" si="17"/>
        <v>N/A</v>
      </c>
      <c r="HD32" s="159">
        <f t="shared" si="18"/>
        <v>2.2333333333333334</v>
      </c>
      <c r="HE32" s="159">
        <f t="shared" si="19"/>
        <v>51.766666666666666</v>
      </c>
      <c r="HF32" s="160">
        <f t="shared" si="20"/>
        <v>51.766666666666666</v>
      </c>
      <c r="HG32" s="160" cm="1">
        <f t="array" ref="HG32">INDEX($HB32:$HD32,MATCH(TRUE,INDEX(ISNUMBER($HB32:$HD32),0),0))</f>
        <v>2.2333333333333334</v>
      </c>
      <c r="HH32" s="161">
        <f t="shared" si="21"/>
        <v>0</v>
      </c>
      <c r="HI32" s="108">
        <f t="shared" si="22"/>
        <v>0</v>
      </c>
      <c r="HJ32" s="91">
        <f t="shared" si="23"/>
        <v>0</v>
      </c>
      <c r="HK32" s="205" t="str">
        <f t="shared" si="24"/>
        <v>0</v>
      </c>
    </row>
    <row r="33" spans="1:219" ht="15" customHeight="1" x14ac:dyDescent="0.3">
      <c r="A33" s="146">
        <v>4123777023</v>
      </c>
      <c r="B33" s="93" t="s">
        <v>221</v>
      </c>
      <c r="C33" s="93" t="s">
        <v>222</v>
      </c>
      <c r="D33" s="93" t="s">
        <v>221</v>
      </c>
      <c r="E33" s="145" t="s">
        <v>380</v>
      </c>
      <c r="F33" s="175" t="s">
        <v>284</v>
      </c>
      <c r="G33" s="145" t="s">
        <v>226</v>
      </c>
      <c r="H33" s="70">
        <v>44473</v>
      </c>
      <c r="I33" s="147" t="s">
        <v>381</v>
      </c>
      <c r="J33" s="148" t="s">
        <v>225</v>
      </c>
      <c r="K33" s="145" t="s">
        <v>226</v>
      </c>
      <c r="L33" s="145" t="s">
        <v>226</v>
      </c>
      <c r="M33" s="145" t="s">
        <v>226</v>
      </c>
      <c r="N33" s="145" t="s">
        <v>226</v>
      </c>
      <c r="O33" s="145" t="s">
        <v>226</v>
      </c>
      <c r="P33" s="70" t="s">
        <v>226</v>
      </c>
      <c r="Q33" s="93" t="s">
        <v>226</v>
      </c>
      <c r="R33" s="97" t="s">
        <v>226</v>
      </c>
      <c r="S33" s="97" t="s">
        <v>226</v>
      </c>
      <c r="T33" s="97" t="s">
        <v>226</v>
      </c>
      <c r="U33" s="97" t="s">
        <v>226</v>
      </c>
      <c r="V33" s="93" t="s">
        <v>226</v>
      </c>
      <c r="W33" s="97" t="s">
        <v>226</v>
      </c>
      <c r="X33" s="97" t="s">
        <v>226</v>
      </c>
      <c r="Y33" s="97" t="s">
        <v>226</v>
      </c>
      <c r="Z33" s="97" t="s">
        <v>226</v>
      </c>
      <c r="AA33" s="93" t="s">
        <v>226</v>
      </c>
      <c r="AB33" s="97" t="s">
        <v>226</v>
      </c>
      <c r="AC33" s="97" t="s">
        <v>226</v>
      </c>
      <c r="AD33" s="97" t="s">
        <v>226</v>
      </c>
      <c r="AE33" s="97" t="s">
        <v>226</v>
      </c>
      <c r="AF33" s="93" t="s">
        <v>226</v>
      </c>
      <c r="AG33" s="97" t="s">
        <v>226</v>
      </c>
      <c r="AH33" s="97" t="s">
        <v>226</v>
      </c>
      <c r="AI33" s="97" t="s">
        <v>226</v>
      </c>
      <c r="AJ33" s="97" t="s">
        <v>226</v>
      </c>
      <c r="AK33" s="93" t="s">
        <v>226</v>
      </c>
      <c r="AL33" s="97" t="s">
        <v>226</v>
      </c>
      <c r="AM33" s="97" t="s">
        <v>226</v>
      </c>
      <c r="AN33" s="97" t="s">
        <v>226</v>
      </c>
      <c r="AO33" s="97" t="s">
        <v>226</v>
      </c>
      <c r="AP33" s="93" t="s">
        <v>226</v>
      </c>
      <c r="AQ33" s="106" t="s">
        <v>227</v>
      </c>
      <c r="AR33" s="69">
        <v>24106</v>
      </c>
      <c r="AS33" s="70">
        <v>44392</v>
      </c>
      <c r="AT33" s="149">
        <f t="shared" si="0"/>
        <v>55</v>
      </c>
      <c r="AU33" s="147" t="s">
        <v>228</v>
      </c>
      <c r="AV33" s="93" t="s">
        <v>229</v>
      </c>
      <c r="AW33" s="93" t="s">
        <v>230</v>
      </c>
      <c r="AX33" s="150" t="s">
        <v>265</v>
      </c>
      <c r="AY33" s="150">
        <v>0</v>
      </c>
      <c r="AZ33" s="150" t="s">
        <v>232</v>
      </c>
      <c r="BA33" s="150">
        <v>0</v>
      </c>
      <c r="BB33" s="93" t="s">
        <v>266</v>
      </c>
      <c r="BC33" s="152">
        <v>2</v>
      </c>
      <c r="BD33" s="153" t="s">
        <v>234</v>
      </c>
      <c r="BE33" s="93" t="s">
        <v>267</v>
      </c>
      <c r="BF33" s="153" t="s">
        <v>221</v>
      </c>
      <c r="BG33" s="154" t="s">
        <v>226</v>
      </c>
      <c r="BH33" s="155" t="s">
        <v>226</v>
      </c>
      <c r="BI33" s="155" t="s">
        <v>226</v>
      </c>
      <c r="BJ33" s="155" t="s">
        <v>226</v>
      </c>
      <c r="BK33" s="155" t="s">
        <v>226</v>
      </c>
      <c r="BL33" s="155" t="s">
        <v>226</v>
      </c>
      <c r="BM33" s="155" t="s">
        <v>226</v>
      </c>
      <c r="BN33" s="155" t="s">
        <v>226</v>
      </c>
      <c r="BO33" s="155" t="s">
        <v>226</v>
      </c>
      <c r="BP33" s="155" t="s">
        <v>226</v>
      </c>
      <c r="BQ33" s="155" t="s">
        <v>226</v>
      </c>
      <c r="BR33" s="155" t="s">
        <v>226</v>
      </c>
      <c r="BS33" s="155" t="s">
        <v>226</v>
      </c>
      <c r="BT33" s="155" t="s">
        <v>226</v>
      </c>
      <c r="BU33" s="155" t="s">
        <v>226</v>
      </c>
      <c r="BV33" s="155" t="s">
        <v>226</v>
      </c>
      <c r="BW33" s="155" t="s">
        <v>226</v>
      </c>
      <c r="BX33" s="155" t="s">
        <v>226</v>
      </c>
      <c r="BY33" s="155" t="s">
        <v>226</v>
      </c>
      <c r="BZ33" s="155" t="s">
        <v>226</v>
      </c>
      <c r="CA33" s="155" t="s">
        <v>226</v>
      </c>
      <c r="CB33" s="155" t="s">
        <v>226</v>
      </c>
      <c r="CC33" s="155" t="s">
        <v>226</v>
      </c>
      <c r="CD33" s="155" t="s">
        <v>226</v>
      </c>
      <c r="CE33" s="155" t="s">
        <v>226</v>
      </c>
      <c r="CF33" s="155" t="s">
        <v>226</v>
      </c>
      <c r="CG33" s="155" t="s">
        <v>226</v>
      </c>
      <c r="CH33" s="155" t="s">
        <v>226</v>
      </c>
      <c r="CI33" s="155" t="s">
        <v>226</v>
      </c>
      <c r="CJ33" s="155" t="s">
        <v>226</v>
      </c>
      <c r="CK33" s="155" t="s">
        <v>226</v>
      </c>
      <c r="CL33" s="155" t="s">
        <v>226</v>
      </c>
      <c r="CM33" s="155" t="s">
        <v>226</v>
      </c>
      <c r="CN33" s="106" t="s">
        <v>226</v>
      </c>
      <c r="CO33" s="145" t="s">
        <v>226</v>
      </c>
      <c r="CP33" s="145" t="s">
        <v>226</v>
      </c>
      <c r="CQ33" s="145" t="s">
        <v>226</v>
      </c>
      <c r="CR33" s="145" t="s">
        <v>226</v>
      </c>
      <c r="CS33" s="145" t="s">
        <v>226</v>
      </c>
      <c r="CT33" s="145" t="s">
        <v>226</v>
      </c>
      <c r="CU33" s="145" t="s">
        <v>226</v>
      </c>
      <c r="CV33" s="145" t="s">
        <v>226</v>
      </c>
      <c r="CW33" s="145" t="s">
        <v>226</v>
      </c>
      <c r="CX33" s="145" t="s">
        <v>226</v>
      </c>
      <c r="CY33" s="145" t="s">
        <v>226</v>
      </c>
      <c r="CZ33" s="145" t="s">
        <v>226</v>
      </c>
      <c r="DA33" s="145" t="s">
        <v>226</v>
      </c>
      <c r="DB33" s="145" t="s">
        <v>226</v>
      </c>
      <c r="DC33" s="145" t="s">
        <v>226</v>
      </c>
      <c r="DD33" s="145" t="s">
        <v>226</v>
      </c>
      <c r="DE33" s="145" t="s">
        <v>226</v>
      </c>
      <c r="DF33" s="145" t="s">
        <v>226</v>
      </c>
      <c r="DG33" s="145" t="s">
        <v>226</v>
      </c>
      <c r="DH33" s="145" t="s">
        <v>226</v>
      </c>
      <c r="DI33" s="145" t="s">
        <v>226</v>
      </c>
      <c r="DJ33" s="145" t="s">
        <v>226</v>
      </c>
      <c r="DK33" s="145" t="s">
        <v>226</v>
      </c>
      <c r="DL33" s="145" t="s">
        <v>226</v>
      </c>
      <c r="DM33" s="145" t="s">
        <v>226</v>
      </c>
      <c r="DN33" s="145" t="s">
        <v>226</v>
      </c>
      <c r="DO33" s="145" t="s">
        <v>226</v>
      </c>
      <c r="DP33" s="145" t="s">
        <v>226</v>
      </c>
      <c r="DQ33" s="145" t="s">
        <v>226</v>
      </c>
      <c r="DR33" s="145" t="s">
        <v>226</v>
      </c>
      <c r="DS33" s="145" t="s">
        <v>226</v>
      </c>
      <c r="DT33" s="145" t="s">
        <v>226</v>
      </c>
      <c r="DU33" s="145" t="s">
        <v>226</v>
      </c>
      <c r="DV33" s="145" t="s">
        <v>226</v>
      </c>
      <c r="DW33" s="145" t="s">
        <v>226</v>
      </c>
      <c r="DX33" s="145" t="s">
        <v>226</v>
      </c>
      <c r="DY33" s="145" t="s">
        <v>226</v>
      </c>
      <c r="DZ33" s="145" t="s">
        <v>226</v>
      </c>
      <c r="EA33" s="145" t="s">
        <v>226</v>
      </c>
      <c r="EB33" s="145" t="s">
        <v>226</v>
      </c>
      <c r="EC33" s="145" t="s">
        <v>226</v>
      </c>
      <c r="ED33" s="145" t="s">
        <v>226</v>
      </c>
      <c r="EE33" s="145" t="s">
        <v>226</v>
      </c>
      <c r="EF33" s="145" t="s">
        <v>226</v>
      </c>
      <c r="EG33" s="145" t="s">
        <v>226</v>
      </c>
      <c r="EH33" s="145" t="s">
        <v>226</v>
      </c>
      <c r="EI33" s="145" t="s">
        <v>226</v>
      </c>
      <c r="EJ33" s="145" t="s">
        <v>226</v>
      </c>
      <c r="EK33" s="145" t="s">
        <v>226</v>
      </c>
      <c r="EL33" s="145" t="s">
        <v>226</v>
      </c>
      <c r="EM33" s="145" t="s">
        <v>226</v>
      </c>
      <c r="EN33" s="145" t="s">
        <v>226</v>
      </c>
      <c r="EO33" s="145" t="s">
        <v>226</v>
      </c>
      <c r="EP33" s="145" t="s">
        <v>226</v>
      </c>
      <c r="EQ33" s="145" t="s">
        <v>226</v>
      </c>
      <c r="ER33" s="145" t="s">
        <v>226</v>
      </c>
      <c r="ES33" s="145" t="s">
        <v>226</v>
      </c>
      <c r="ET33" s="145" t="s">
        <v>226</v>
      </c>
      <c r="EU33" s="145" t="s">
        <v>226</v>
      </c>
      <c r="EV33" s="145" t="s">
        <v>226</v>
      </c>
      <c r="EW33" s="145" t="s">
        <v>226</v>
      </c>
      <c r="EX33" s="145" t="s">
        <v>226</v>
      </c>
      <c r="EY33" s="106" t="s">
        <v>226</v>
      </c>
      <c r="EZ33" s="145" t="s">
        <v>226</v>
      </c>
      <c r="FA33" s="145" t="s">
        <v>226</v>
      </c>
      <c r="FB33" s="106" t="s">
        <v>226</v>
      </c>
      <c r="FC33" s="145" t="s">
        <v>226</v>
      </c>
      <c r="FD33" s="145" t="s">
        <v>226</v>
      </c>
      <c r="FE33" s="155" t="s">
        <v>226</v>
      </c>
      <c r="FF33" s="155" t="s">
        <v>226</v>
      </c>
      <c r="FG33" s="155" t="s">
        <v>226</v>
      </c>
      <c r="FH33" s="155" t="s">
        <v>226</v>
      </c>
      <c r="FI33" s="155" t="s">
        <v>226</v>
      </c>
      <c r="FJ33" s="155" t="s">
        <v>226</v>
      </c>
      <c r="FK33" s="155" t="s">
        <v>226</v>
      </c>
      <c r="FL33" s="155" t="s">
        <v>226</v>
      </c>
      <c r="FM33" s="155" t="s">
        <v>226</v>
      </c>
      <c r="FN33" s="155" t="s">
        <v>226</v>
      </c>
      <c r="FO33" s="155" t="s">
        <v>226</v>
      </c>
      <c r="FP33" s="155" t="s">
        <v>226</v>
      </c>
      <c r="FQ33" s="155" t="s">
        <v>226</v>
      </c>
      <c r="FR33" s="155" t="s">
        <v>226</v>
      </c>
      <c r="FS33" s="155" t="s">
        <v>226</v>
      </c>
      <c r="FT33" s="155" t="s">
        <v>226</v>
      </c>
      <c r="FU33" s="155" t="s">
        <v>226</v>
      </c>
      <c r="FV33" s="155" t="s">
        <v>226</v>
      </c>
      <c r="FW33" s="155" t="s">
        <v>226</v>
      </c>
      <c r="FX33" s="155" t="s">
        <v>226</v>
      </c>
      <c r="FY33" s="155" t="s">
        <v>226</v>
      </c>
      <c r="FZ33" s="155" t="s">
        <v>226</v>
      </c>
      <c r="GA33" s="155" t="s">
        <v>226</v>
      </c>
      <c r="GB33" s="155" t="s">
        <v>226</v>
      </c>
      <c r="GC33" s="155" t="s">
        <v>226</v>
      </c>
      <c r="GD33" s="155" t="s">
        <v>226</v>
      </c>
      <c r="GE33" s="155" t="s">
        <v>226</v>
      </c>
      <c r="GF33" s="150" t="s">
        <v>256</v>
      </c>
      <c r="GG33" s="70" t="s">
        <v>226</v>
      </c>
      <c r="GH33" s="93" t="s">
        <v>226</v>
      </c>
      <c r="GI33" s="145" t="s">
        <v>226</v>
      </c>
      <c r="GJ33" s="70">
        <v>45957</v>
      </c>
      <c r="GK33" s="70">
        <v>45957</v>
      </c>
      <c r="GL33" s="70" t="s">
        <v>226</v>
      </c>
      <c r="GM33" s="159" t="str">
        <f t="shared" si="1"/>
        <v>N/A</v>
      </c>
      <c r="GN33" s="159" t="str">
        <f t="shared" si="2"/>
        <v>N/A</v>
      </c>
      <c r="GO33" s="159">
        <f t="shared" si="3"/>
        <v>2.7</v>
      </c>
      <c r="GP33" s="159" t="str">
        <f t="shared" si="4"/>
        <v>N/A</v>
      </c>
      <c r="GQ33" s="159" t="str">
        <f t="shared" si="5"/>
        <v>N/A</v>
      </c>
      <c r="GR33" s="159" t="str">
        <f t="shared" si="6"/>
        <v>N/A</v>
      </c>
      <c r="GS33" s="159" t="str">
        <f t="shared" si="7"/>
        <v>N/A</v>
      </c>
      <c r="GT33" s="159" t="str">
        <f t="shared" si="8"/>
        <v>N/A</v>
      </c>
      <c r="GU33" s="159" t="str">
        <f t="shared" si="9"/>
        <v>N/A</v>
      </c>
      <c r="GV33" s="159" t="str">
        <f t="shared" si="10"/>
        <v>N/A</v>
      </c>
      <c r="GW33" s="159" t="str">
        <f t="shared" si="11"/>
        <v>N/A</v>
      </c>
      <c r="GX33" s="159" t="str">
        <f t="shared" si="12"/>
        <v>N/A</v>
      </c>
      <c r="GY33" s="159" t="str">
        <f t="shared" si="13"/>
        <v>N/A</v>
      </c>
      <c r="GZ33" s="159" t="str">
        <f t="shared" si="14"/>
        <v>N/A</v>
      </c>
      <c r="HA33" s="159" t="str">
        <f t="shared" si="15"/>
        <v>N/A</v>
      </c>
      <c r="HB33" s="159" t="str">
        <f t="shared" si="16"/>
        <v>N/A</v>
      </c>
      <c r="HC33" s="159" t="str">
        <f t="shared" si="17"/>
        <v>N/A</v>
      </c>
      <c r="HD33" s="159">
        <f t="shared" si="18"/>
        <v>52.166666666666664</v>
      </c>
      <c r="HE33" s="159">
        <f t="shared" si="19"/>
        <v>52.166666666666664</v>
      </c>
      <c r="HF33" s="160">
        <f t="shared" si="20"/>
        <v>52.166666666666664</v>
      </c>
      <c r="HG33" s="160" cm="1">
        <f t="array" ref="HG33">INDEX($HB33:$HD33,MATCH(TRUE,INDEX(ISNUMBER($HB33:$HD33),0),0))</f>
        <v>52.166666666666664</v>
      </c>
      <c r="HH33" s="161">
        <f t="shared" si="21"/>
        <v>0</v>
      </c>
      <c r="HI33" s="108">
        <f t="shared" si="22"/>
        <v>0</v>
      </c>
      <c r="HJ33" s="91">
        <f t="shared" si="23"/>
        <v>0</v>
      </c>
      <c r="HK33" s="205" t="str">
        <f t="shared" si="24"/>
        <v>0</v>
      </c>
    </row>
    <row r="34" spans="1:219" ht="15" customHeight="1" x14ac:dyDescent="0.3">
      <c r="A34" s="146">
        <v>4148131860</v>
      </c>
      <c r="B34" s="93" t="s">
        <v>221</v>
      </c>
      <c r="C34" s="93" t="s">
        <v>222</v>
      </c>
      <c r="D34" s="93" t="s">
        <v>221</v>
      </c>
      <c r="E34" s="145" t="s">
        <v>382</v>
      </c>
      <c r="F34" s="145" t="s">
        <v>350</v>
      </c>
      <c r="G34" s="145" t="s">
        <v>332</v>
      </c>
      <c r="H34" s="70">
        <v>44484</v>
      </c>
      <c r="I34" s="147" t="s">
        <v>383</v>
      </c>
      <c r="J34" s="147" t="s">
        <v>384</v>
      </c>
      <c r="K34" s="145" t="s">
        <v>226</v>
      </c>
      <c r="L34" s="145" t="s">
        <v>226</v>
      </c>
      <c r="M34" s="145" t="s">
        <v>226</v>
      </c>
      <c r="N34" s="145" t="s">
        <v>226</v>
      </c>
      <c r="O34" s="145" t="s">
        <v>226</v>
      </c>
      <c r="P34" s="70" t="s">
        <v>226</v>
      </c>
      <c r="Q34" s="93" t="s">
        <v>226</v>
      </c>
      <c r="R34" s="97" t="s">
        <v>226</v>
      </c>
      <c r="S34" s="97" t="s">
        <v>226</v>
      </c>
      <c r="T34" s="97" t="s">
        <v>226</v>
      </c>
      <c r="U34" s="97" t="s">
        <v>226</v>
      </c>
      <c r="V34" s="93" t="s">
        <v>226</v>
      </c>
      <c r="W34" s="97" t="s">
        <v>226</v>
      </c>
      <c r="X34" s="97" t="s">
        <v>226</v>
      </c>
      <c r="Y34" s="97" t="s">
        <v>226</v>
      </c>
      <c r="Z34" s="97" t="s">
        <v>226</v>
      </c>
      <c r="AA34" s="93" t="s">
        <v>226</v>
      </c>
      <c r="AB34" s="97" t="s">
        <v>226</v>
      </c>
      <c r="AC34" s="97" t="s">
        <v>226</v>
      </c>
      <c r="AD34" s="97" t="s">
        <v>226</v>
      </c>
      <c r="AE34" s="97" t="s">
        <v>226</v>
      </c>
      <c r="AF34" s="93" t="s">
        <v>226</v>
      </c>
      <c r="AG34" s="97" t="s">
        <v>226</v>
      </c>
      <c r="AH34" s="97" t="s">
        <v>226</v>
      </c>
      <c r="AI34" s="97" t="s">
        <v>226</v>
      </c>
      <c r="AJ34" s="97" t="s">
        <v>226</v>
      </c>
      <c r="AK34" s="93" t="s">
        <v>226</v>
      </c>
      <c r="AL34" s="97" t="s">
        <v>226</v>
      </c>
      <c r="AM34" s="97" t="s">
        <v>226</v>
      </c>
      <c r="AN34" s="97" t="s">
        <v>226</v>
      </c>
      <c r="AO34" s="97" t="s">
        <v>226</v>
      </c>
      <c r="AP34" s="93" t="s">
        <v>226</v>
      </c>
      <c r="AQ34" s="106" t="s">
        <v>227</v>
      </c>
      <c r="AR34" s="69">
        <v>24245</v>
      </c>
      <c r="AS34" s="70">
        <v>44445</v>
      </c>
      <c r="AT34" s="149">
        <f t="shared" si="0"/>
        <v>55</v>
      </c>
      <c r="AU34" s="147" t="s">
        <v>252</v>
      </c>
      <c r="AV34" s="93" t="s">
        <v>229</v>
      </c>
      <c r="AW34" s="93" t="s">
        <v>230</v>
      </c>
      <c r="AX34" s="146" t="s">
        <v>385</v>
      </c>
      <c r="AY34" s="150">
        <v>0</v>
      </c>
      <c r="AZ34" s="150" t="s">
        <v>232</v>
      </c>
      <c r="BA34" s="150">
        <v>0</v>
      </c>
      <c r="BB34" s="93" t="s">
        <v>386</v>
      </c>
      <c r="BC34" s="152">
        <v>2</v>
      </c>
      <c r="BD34" s="153" t="s">
        <v>234</v>
      </c>
      <c r="BE34" s="93" t="s">
        <v>387</v>
      </c>
      <c r="BF34" s="153" t="s">
        <v>221</v>
      </c>
      <c r="BG34" s="154" t="s">
        <v>226</v>
      </c>
      <c r="BH34" s="155" t="s">
        <v>226</v>
      </c>
      <c r="BI34" s="155" t="s">
        <v>226</v>
      </c>
      <c r="BJ34" s="155" t="s">
        <v>226</v>
      </c>
      <c r="BK34" s="155" t="s">
        <v>226</v>
      </c>
      <c r="BL34" s="155" t="s">
        <v>226</v>
      </c>
      <c r="BM34" s="155" t="s">
        <v>226</v>
      </c>
      <c r="BN34" s="155" t="s">
        <v>226</v>
      </c>
      <c r="BO34" s="155" t="s">
        <v>226</v>
      </c>
      <c r="BP34" s="155" t="s">
        <v>226</v>
      </c>
      <c r="BQ34" s="155" t="s">
        <v>226</v>
      </c>
      <c r="BR34" s="155" t="s">
        <v>226</v>
      </c>
      <c r="BS34" s="155" t="s">
        <v>226</v>
      </c>
      <c r="BT34" s="155" t="s">
        <v>226</v>
      </c>
      <c r="BU34" s="155" t="s">
        <v>226</v>
      </c>
      <c r="BV34" s="155" t="s">
        <v>226</v>
      </c>
      <c r="BW34" s="155" t="s">
        <v>226</v>
      </c>
      <c r="BX34" s="155" t="s">
        <v>226</v>
      </c>
      <c r="BY34" s="155" t="s">
        <v>226</v>
      </c>
      <c r="BZ34" s="155" t="s">
        <v>226</v>
      </c>
      <c r="CA34" s="155" t="s">
        <v>226</v>
      </c>
      <c r="CB34" s="155" t="s">
        <v>226</v>
      </c>
      <c r="CC34" s="155" t="s">
        <v>226</v>
      </c>
      <c r="CD34" s="155" t="s">
        <v>226</v>
      </c>
      <c r="CE34" s="155" t="s">
        <v>226</v>
      </c>
      <c r="CF34" s="155" t="s">
        <v>226</v>
      </c>
      <c r="CG34" s="155" t="s">
        <v>226</v>
      </c>
      <c r="CH34" s="155" t="s">
        <v>226</v>
      </c>
      <c r="CI34" s="155" t="s">
        <v>226</v>
      </c>
      <c r="CJ34" s="155" t="s">
        <v>226</v>
      </c>
      <c r="CK34" s="155" t="s">
        <v>226</v>
      </c>
      <c r="CL34" s="155" t="s">
        <v>226</v>
      </c>
      <c r="CM34" s="155" t="s">
        <v>226</v>
      </c>
      <c r="CN34" s="106" t="s">
        <v>274</v>
      </c>
      <c r="CO34" s="145" t="s">
        <v>388</v>
      </c>
      <c r="CP34" s="70">
        <v>44540</v>
      </c>
      <c r="CQ34" s="70">
        <v>44624</v>
      </c>
      <c r="CR34" s="145" t="s">
        <v>226</v>
      </c>
      <c r="CS34" s="106" t="s">
        <v>247</v>
      </c>
      <c r="CT34" s="145" t="s">
        <v>389</v>
      </c>
      <c r="CU34" s="145" t="s">
        <v>226</v>
      </c>
      <c r="CV34" s="145" t="s">
        <v>226</v>
      </c>
      <c r="CW34" s="145" t="s">
        <v>226</v>
      </c>
      <c r="CX34" s="145" t="s">
        <v>226</v>
      </c>
      <c r="CY34" s="155" t="s">
        <v>226</v>
      </c>
      <c r="CZ34" s="155" t="s">
        <v>226</v>
      </c>
      <c r="DA34" s="155" t="s">
        <v>226</v>
      </c>
      <c r="DB34" s="155" t="s">
        <v>226</v>
      </c>
      <c r="DC34" s="155" t="s">
        <v>226</v>
      </c>
      <c r="DD34" s="155" t="s">
        <v>226</v>
      </c>
      <c r="DE34" s="155" t="s">
        <v>226</v>
      </c>
      <c r="DF34" s="155" t="s">
        <v>226</v>
      </c>
      <c r="DG34" s="155" t="s">
        <v>226</v>
      </c>
      <c r="DH34" s="155" t="s">
        <v>226</v>
      </c>
      <c r="DI34" s="155" t="s">
        <v>226</v>
      </c>
      <c r="DJ34" s="155" t="s">
        <v>226</v>
      </c>
      <c r="DK34" s="155" t="s">
        <v>226</v>
      </c>
      <c r="DL34" s="155" t="s">
        <v>226</v>
      </c>
      <c r="DM34" s="155" t="s">
        <v>226</v>
      </c>
      <c r="DN34" s="155" t="s">
        <v>226</v>
      </c>
      <c r="DO34" s="155" t="s">
        <v>226</v>
      </c>
      <c r="DP34" s="155" t="s">
        <v>226</v>
      </c>
      <c r="DQ34" s="155" t="s">
        <v>226</v>
      </c>
      <c r="DR34" s="155" t="s">
        <v>226</v>
      </c>
      <c r="DS34" s="155" t="s">
        <v>226</v>
      </c>
      <c r="DT34" s="155" t="s">
        <v>226</v>
      </c>
      <c r="DU34" s="155" t="s">
        <v>226</v>
      </c>
      <c r="DV34" s="155" t="s">
        <v>226</v>
      </c>
      <c r="DW34" s="155" t="s">
        <v>226</v>
      </c>
      <c r="DX34" s="155" t="s">
        <v>226</v>
      </c>
      <c r="DY34" s="155" t="s">
        <v>226</v>
      </c>
      <c r="DZ34" s="155" t="s">
        <v>226</v>
      </c>
      <c r="EA34" s="155" t="s">
        <v>226</v>
      </c>
      <c r="EB34" s="155" t="s">
        <v>226</v>
      </c>
      <c r="EC34" s="155" t="s">
        <v>226</v>
      </c>
      <c r="ED34" s="155" t="s">
        <v>226</v>
      </c>
      <c r="EE34" s="155" t="s">
        <v>226</v>
      </c>
      <c r="EF34" s="155" t="s">
        <v>226</v>
      </c>
      <c r="EG34" s="155" t="s">
        <v>226</v>
      </c>
      <c r="EH34" s="155" t="s">
        <v>226</v>
      </c>
      <c r="EI34" s="70">
        <v>45540</v>
      </c>
      <c r="EJ34" s="145" t="s">
        <v>390</v>
      </c>
      <c r="EK34" s="106" t="s">
        <v>226</v>
      </c>
      <c r="EL34" s="145" t="s">
        <v>226</v>
      </c>
      <c r="EM34" s="145" t="s">
        <v>226</v>
      </c>
      <c r="EN34" s="145" t="s">
        <v>226</v>
      </c>
      <c r="EO34" s="145" t="s">
        <v>226</v>
      </c>
      <c r="EP34" s="145" t="s">
        <v>226</v>
      </c>
      <c r="EQ34" s="145" t="s">
        <v>226</v>
      </c>
      <c r="ER34" s="145" t="s">
        <v>226</v>
      </c>
      <c r="ES34" s="145" t="s">
        <v>226</v>
      </c>
      <c r="ET34" s="145" t="s">
        <v>226</v>
      </c>
      <c r="EU34" s="145" t="s">
        <v>226</v>
      </c>
      <c r="EV34" s="145" t="s">
        <v>226</v>
      </c>
      <c r="EW34" s="145" t="s">
        <v>226</v>
      </c>
      <c r="EX34" s="145" t="s">
        <v>226</v>
      </c>
      <c r="EY34" s="106" t="s">
        <v>226</v>
      </c>
      <c r="EZ34" s="145" t="s">
        <v>226</v>
      </c>
      <c r="FA34" s="145" t="s">
        <v>226</v>
      </c>
      <c r="FB34" s="106" t="s">
        <v>226</v>
      </c>
      <c r="FC34" s="145" t="s">
        <v>226</v>
      </c>
      <c r="FD34" s="145" t="s">
        <v>226</v>
      </c>
      <c r="FE34" s="155" t="s">
        <v>226</v>
      </c>
      <c r="FF34" s="155" t="s">
        <v>226</v>
      </c>
      <c r="FG34" s="155" t="s">
        <v>226</v>
      </c>
      <c r="FH34" s="155" t="s">
        <v>226</v>
      </c>
      <c r="FI34" s="155" t="s">
        <v>226</v>
      </c>
      <c r="FJ34" s="155" t="s">
        <v>226</v>
      </c>
      <c r="FK34" s="155" t="s">
        <v>226</v>
      </c>
      <c r="FL34" s="155" t="s">
        <v>226</v>
      </c>
      <c r="FM34" s="155" t="s">
        <v>226</v>
      </c>
      <c r="FN34" s="155" t="s">
        <v>226</v>
      </c>
      <c r="FO34" s="155" t="s">
        <v>226</v>
      </c>
      <c r="FP34" s="155" t="s">
        <v>226</v>
      </c>
      <c r="FQ34" s="155" t="s">
        <v>226</v>
      </c>
      <c r="FR34" s="155" t="s">
        <v>226</v>
      </c>
      <c r="FS34" s="155" t="s">
        <v>226</v>
      </c>
      <c r="FT34" s="155" t="s">
        <v>226</v>
      </c>
      <c r="FU34" s="155" t="s">
        <v>226</v>
      </c>
      <c r="FV34" s="155" t="s">
        <v>226</v>
      </c>
      <c r="FW34" s="155" t="s">
        <v>226</v>
      </c>
      <c r="FX34" s="155" t="s">
        <v>226</v>
      </c>
      <c r="FY34" s="155" t="s">
        <v>226</v>
      </c>
      <c r="FZ34" s="155" t="s">
        <v>226</v>
      </c>
      <c r="GA34" s="155" t="s">
        <v>226</v>
      </c>
      <c r="GB34" s="155" t="s">
        <v>226</v>
      </c>
      <c r="GC34" s="155" t="s">
        <v>226</v>
      </c>
      <c r="GD34" s="155" t="s">
        <v>226</v>
      </c>
      <c r="GE34" s="155" t="s">
        <v>226</v>
      </c>
      <c r="GF34" s="150" t="s">
        <v>237</v>
      </c>
      <c r="GG34" s="70">
        <v>45549</v>
      </c>
      <c r="GH34" s="93" t="s">
        <v>230</v>
      </c>
      <c r="GI34" s="145" t="s">
        <v>312</v>
      </c>
      <c r="GJ34" s="70">
        <v>45547</v>
      </c>
      <c r="GK34" s="70" t="s">
        <v>226</v>
      </c>
      <c r="GL34" s="70" t="s">
        <v>226</v>
      </c>
      <c r="GM34" s="159" t="str">
        <f t="shared" si="1"/>
        <v>N/A</v>
      </c>
      <c r="GN34" s="159" t="str">
        <f t="shared" si="2"/>
        <v>N/A</v>
      </c>
      <c r="GO34" s="159">
        <f t="shared" si="3"/>
        <v>1.3</v>
      </c>
      <c r="GP34" s="159" t="str">
        <f t="shared" si="4"/>
        <v>N/A</v>
      </c>
      <c r="GQ34" s="159" t="str">
        <f t="shared" si="5"/>
        <v>N/A</v>
      </c>
      <c r="GR34" s="159" t="str">
        <f t="shared" si="6"/>
        <v>N/A</v>
      </c>
      <c r="GS34" s="159" t="str">
        <f t="shared" si="7"/>
        <v>N/A</v>
      </c>
      <c r="GT34" s="159" t="str">
        <f t="shared" si="8"/>
        <v>N/A</v>
      </c>
      <c r="GU34" s="159" t="str">
        <f t="shared" si="9"/>
        <v>N/A</v>
      </c>
      <c r="GV34" s="159" t="str">
        <f t="shared" si="10"/>
        <v>N/A</v>
      </c>
      <c r="GW34" s="159">
        <f t="shared" si="11"/>
        <v>3.1666666666666665</v>
      </c>
      <c r="GX34" s="159">
        <f t="shared" si="12"/>
        <v>5.9666666666666668</v>
      </c>
      <c r="GY34" s="159">
        <f t="shared" si="13"/>
        <v>36.5</v>
      </c>
      <c r="GZ34" s="159" t="str">
        <f t="shared" si="14"/>
        <v>N/A</v>
      </c>
      <c r="HA34" s="159" t="str">
        <f t="shared" si="15"/>
        <v>N/A</v>
      </c>
      <c r="HB34" s="159">
        <f t="shared" si="16"/>
        <v>36.5</v>
      </c>
      <c r="HC34" s="159">
        <f t="shared" si="17"/>
        <v>36.799999999999997</v>
      </c>
      <c r="HD34" s="159">
        <f t="shared" si="18"/>
        <v>36.733333333333334</v>
      </c>
      <c r="HE34" s="159" t="str">
        <f t="shared" si="19"/>
        <v>N/A</v>
      </c>
      <c r="HF34" s="160">
        <f t="shared" si="20"/>
        <v>36.799999999999997</v>
      </c>
      <c r="HG34" s="160" cm="1">
        <f t="array" ref="HG34">INDEX($HB34:$HD34,MATCH(TRUE,INDEX(ISNUMBER($HB34:$HD34),0),0))</f>
        <v>36.5</v>
      </c>
      <c r="HH34" s="161">
        <f t="shared" si="21"/>
        <v>1</v>
      </c>
      <c r="HI34" s="108">
        <f t="shared" si="22"/>
        <v>1</v>
      </c>
      <c r="HJ34" s="91">
        <f t="shared" si="23"/>
        <v>1</v>
      </c>
      <c r="HK34" s="205" t="str">
        <f t="shared" si="24"/>
        <v>1</v>
      </c>
    </row>
    <row r="35" spans="1:219" ht="15" customHeight="1" x14ac:dyDescent="0.3">
      <c r="A35" s="146">
        <v>4505214214</v>
      </c>
      <c r="B35" s="93" t="s">
        <v>221</v>
      </c>
      <c r="C35" s="93" t="s">
        <v>222</v>
      </c>
      <c r="D35" s="93" t="s">
        <v>221</v>
      </c>
      <c r="E35" s="145" t="s">
        <v>391</v>
      </c>
      <c r="F35" s="145" t="s">
        <v>269</v>
      </c>
      <c r="G35" s="145" t="s">
        <v>392</v>
      </c>
      <c r="H35" s="70">
        <v>44596</v>
      </c>
      <c r="I35" s="147" t="s">
        <v>393</v>
      </c>
      <c r="J35" s="148" t="s">
        <v>225</v>
      </c>
      <c r="K35" s="145" t="s">
        <v>226</v>
      </c>
      <c r="L35" s="145" t="s">
        <v>226</v>
      </c>
      <c r="M35" s="145" t="s">
        <v>226</v>
      </c>
      <c r="N35" s="145" t="s">
        <v>226</v>
      </c>
      <c r="O35" s="145" t="s">
        <v>226</v>
      </c>
      <c r="P35" s="70" t="s">
        <v>226</v>
      </c>
      <c r="Q35" s="93" t="s">
        <v>226</v>
      </c>
      <c r="R35" s="97" t="s">
        <v>226</v>
      </c>
      <c r="S35" s="97" t="s">
        <v>226</v>
      </c>
      <c r="T35" s="97" t="s">
        <v>226</v>
      </c>
      <c r="U35" s="97" t="s">
        <v>226</v>
      </c>
      <c r="V35" s="93" t="s">
        <v>226</v>
      </c>
      <c r="W35" s="97" t="s">
        <v>226</v>
      </c>
      <c r="X35" s="97" t="s">
        <v>226</v>
      </c>
      <c r="Y35" s="97" t="s">
        <v>226</v>
      </c>
      <c r="Z35" s="97" t="s">
        <v>226</v>
      </c>
      <c r="AA35" s="93" t="s">
        <v>226</v>
      </c>
      <c r="AB35" s="97" t="s">
        <v>226</v>
      </c>
      <c r="AC35" s="97" t="s">
        <v>226</v>
      </c>
      <c r="AD35" s="97" t="s">
        <v>226</v>
      </c>
      <c r="AE35" s="97" t="s">
        <v>226</v>
      </c>
      <c r="AF35" s="93" t="s">
        <v>226</v>
      </c>
      <c r="AG35" s="97" t="s">
        <v>226</v>
      </c>
      <c r="AH35" s="97" t="s">
        <v>226</v>
      </c>
      <c r="AI35" s="97" t="s">
        <v>226</v>
      </c>
      <c r="AJ35" s="97" t="s">
        <v>226</v>
      </c>
      <c r="AK35" s="93" t="s">
        <v>226</v>
      </c>
      <c r="AL35" s="97" t="s">
        <v>226</v>
      </c>
      <c r="AM35" s="97" t="s">
        <v>226</v>
      </c>
      <c r="AN35" s="97" t="s">
        <v>226</v>
      </c>
      <c r="AO35" s="97" t="s">
        <v>226</v>
      </c>
      <c r="AP35" s="93" t="s">
        <v>226</v>
      </c>
      <c r="AQ35" s="106" t="s">
        <v>227</v>
      </c>
      <c r="AR35" s="69">
        <v>20798</v>
      </c>
      <c r="AS35" s="70">
        <v>44503</v>
      </c>
      <c r="AT35" s="149">
        <f t="shared" si="0"/>
        <v>64</v>
      </c>
      <c r="AU35" s="147" t="s">
        <v>228</v>
      </c>
      <c r="AV35" s="93" t="s">
        <v>229</v>
      </c>
      <c r="AW35" s="93" t="s">
        <v>230</v>
      </c>
      <c r="AX35" s="150" t="s">
        <v>231</v>
      </c>
      <c r="AY35" s="151" t="s">
        <v>232</v>
      </c>
      <c r="AZ35" s="150" t="s">
        <v>232</v>
      </c>
      <c r="BA35" s="150">
        <v>0</v>
      </c>
      <c r="BB35" s="93" t="s">
        <v>233</v>
      </c>
      <c r="BC35" s="152">
        <v>2</v>
      </c>
      <c r="BD35" s="153" t="s">
        <v>234</v>
      </c>
      <c r="BE35" s="93" t="s">
        <v>235</v>
      </c>
      <c r="BF35" s="153" t="s">
        <v>221</v>
      </c>
      <c r="BG35" s="154" t="s">
        <v>226</v>
      </c>
      <c r="BH35" s="155" t="s">
        <v>226</v>
      </c>
      <c r="BI35" s="155" t="s">
        <v>226</v>
      </c>
      <c r="BJ35" s="155" t="s">
        <v>226</v>
      </c>
      <c r="BK35" s="155" t="s">
        <v>226</v>
      </c>
      <c r="BL35" s="155" t="s">
        <v>226</v>
      </c>
      <c r="BM35" s="155" t="s">
        <v>226</v>
      </c>
      <c r="BN35" s="155" t="s">
        <v>226</v>
      </c>
      <c r="BO35" s="155" t="s">
        <v>226</v>
      </c>
      <c r="BP35" s="155" t="s">
        <v>226</v>
      </c>
      <c r="BQ35" s="155" t="s">
        <v>226</v>
      </c>
      <c r="BR35" s="155" t="s">
        <v>226</v>
      </c>
      <c r="BS35" s="155" t="s">
        <v>226</v>
      </c>
      <c r="BT35" s="155" t="s">
        <v>226</v>
      </c>
      <c r="BU35" s="155" t="s">
        <v>226</v>
      </c>
      <c r="BV35" s="155" t="s">
        <v>226</v>
      </c>
      <c r="BW35" s="155" t="s">
        <v>226</v>
      </c>
      <c r="BX35" s="155" t="s">
        <v>226</v>
      </c>
      <c r="BY35" s="155" t="s">
        <v>226</v>
      </c>
      <c r="BZ35" s="155" t="s">
        <v>226</v>
      </c>
      <c r="CA35" s="155" t="s">
        <v>226</v>
      </c>
      <c r="CB35" s="155" t="s">
        <v>226</v>
      </c>
      <c r="CC35" s="155" t="s">
        <v>226</v>
      </c>
      <c r="CD35" s="155" t="s">
        <v>226</v>
      </c>
      <c r="CE35" s="155" t="s">
        <v>226</v>
      </c>
      <c r="CF35" s="155" t="s">
        <v>226</v>
      </c>
      <c r="CG35" s="155" t="s">
        <v>226</v>
      </c>
      <c r="CH35" s="155" t="s">
        <v>226</v>
      </c>
      <c r="CI35" s="155" t="s">
        <v>226</v>
      </c>
      <c r="CJ35" s="155" t="s">
        <v>226</v>
      </c>
      <c r="CK35" s="155" t="s">
        <v>226</v>
      </c>
      <c r="CL35" s="155" t="s">
        <v>226</v>
      </c>
      <c r="CM35" s="155" t="s">
        <v>226</v>
      </c>
      <c r="CN35" s="106" t="s">
        <v>247</v>
      </c>
      <c r="CO35" s="145" t="s">
        <v>321</v>
      </c>
      <c r="CP35" s="70">
        <v>44650</v>
      </c>
      <c r="CQ35" s="70">
        <v>44657</v>
      </c>
      <c r="CR35" s="145" t="s">
        <v>226</v>
      </c>
      <c r="CS35" s="106" t="s">
        <v>226</v>
      </c>
      <c r="CT35" s="145" t="s">
        <v>226</v>
      </c>
      <c r="CU35" s="145" t="s">
        <v>226</v>
      </c>
      <c r="CV35" s="106" t="s">
        <v>226</v>
      </c>
      <c r="CW35" s="145" t="s">
        <v>226</v>
      </c>
      <c r="CX35" s="145" t="s">
        <v>226</v>
      </c>
      <c r="CY35" s="155" t="s">
        <v>226</v>
      </c>
      <c r="CZ35" s="155" t="s">
        <v>226</v>
      </c>
      <c r="DA35" s="155" t="s">
        <v>226</v>
      </c>
      <c r="DB35" s="155" t="s">
        <v>226</v>
      </c>
      <c r="DC35" s="155" t="s">
        <v>226</v>
      </c>
      <c r="DD35" s="155" t="s">
        <v>226</v>
      </c>
      <c r="DE35" s="155" t="s">
        <v>226</v>
      </c>
      <c r="DF35" s="155" t="s">
        <v>226</v>
      </c>
      <c r="DG35" s="155" t="s">
        <v>226</v>
      </c>
      <c r="DH35" s="155" t="s">
        <v>226</v>
      </c>
      <c r="DI35" s="155" t="s">
        <v>226</v>
      </c>
      <c r="DJ35" s="155" t="s">
        <v>226</v>
      </c>
      <c r="DK35" s="155" t="s">
        <v>226</v>
      </c>
      <c r="DL35" s="155" t="s">
        <v>226</v>
      </c>
      <c r="DM35" s="155" t="s">
        <v>226</v>
      </c>
      <c r="DN35" s="155" t="s">
        <v>226</v>
      </c>
      <c r="DO35" s="155" t="s">
        <v>226</v>
      </c>
      <c r="DP35" s="155" t="s">
        <v>226</v>
      </c>
      <c r="DQ35" s="155" t="s">
        <v>226</v>
      </c>
      <c r="DR35" s="155" t="s">
        <v>226</v>
      </c>
      <c r="DS35" s="155" t="s">
        <v>226</v>
      </c>
      <c r="DT35" s="155" t="s">
        <v>226</v>
      </c>
      <c r="DU35" s="155" t="s">
        <v>226</v>
      </c>
      <c r="DV35" s="155" t="s">
        <v>226</v>
      </c>
      <c r="DW35" s="155" t="s">
        <v>226</v>
      </c>
      <c r="DX35" s="155" t="s">
        <v>226</v>
      </c>
      <c r="DY35" s="155" t="s">
        <v>226</v>
      </c>
      <c r="DZ35" s="155" t="s">
        <v>226</v>
      </c>
      <c r="EA35" s="155" t="s">
        <v>226</v>
      </c>
      <c r="EB35" s="155" t="s">
        <v>226</v>
      </c>
      <c r="EC35" s="155" t="s">
        <v>226</v>
      </c>
      <c r="ED35" s="155" t="s">
        <v>226</v>
      </c>
      <c r="EE35" s="155" t="s">
        <v>226</v>
      </c>
      <c r="EF35" s="155" t="s">
        <v>226</v>
      </c>
      <c r="EG35" s="155" t="s">
        <v>226</v>
      </c>
      <c r="EH35" s="155" t="s">
        <v>226</v>
      </c>
      <c r="EI35" s="70">
        <v>45859</v>
      </c>
      <c r="EJ35" s="145" t="s">
        <v>309</v>
      </c>
      <c r="EK35" s="106" t="s">
        <v>247</v>
      </c>
      <c r="EL35" s="145" t="s">
        <v>394</v>
      </c>
      <c r="EM35" s="70">
        <v>45898</v>
      </c>
      <c r="EN35" s="70">
        <v>45951</v>
      </c>
      <c r="EO35" s="145" t="s">
        <v>226</v>
      </c>
      <c r="EP35" s="106" t="s">
        <v>274</v>
      </c>
      <c r="EQ35" s="145" t="s">
        <v>395</v>
      </c>
      <c r="ER35" s="145" t="s">
        <v>226</v>
      </c>
      <c r="ES35" s="106" t="s">
        <v>226</v>
      </c>
      <c r="ET35" s="145" t="s">
        <v>226</v>
      </c>
      <c r="EU35" s="145" t="s">
        <v>226</v>
      </c>
      <c r="EV35" s="106" t="s">
        <v>226</v>
      </c>
      <c r="EW35" s="145" t="s">
        <v>226</v>
      </c>
      <c r="EX35" s="145" t="s">
        <v>226</v>
      </c>
      <c r="EY35" s="106" t="s">
        <v>226</v>
      </c>
      <c r="EZ35" s="145" t="s">
        <v>226</v>
      </c>
      <c r="FA35" s="145" t="s">
        <v>226</v>
      </c>
      <c r="FB35" s="106" t="s">
        <v>226</v>
      </c>
      <c r="FC35" s="145" t="s">
        <v>226</v>
      </c>
      <c r="FD35" s="145" t="s">
        <v>226</v>
      </c>
      <c r="FE35" s="155" t="s">
        <v>226</v>
      </c>
      <c r="FF35" s="155" t="s">
        <v>226</v>
      </c>
      <c r="FG35" s="155" t="s">
        <v>226</v>
      </c>
      <c r="FH35" s="155" t="s">
        <v>226</v>
      </c>
      <c r="FI35" s="155" t="s">
        <v>226</v>
      </c>
      <c r="FJ35" s="155" t="s">
        <v>226</v>
      </c>
      <c r="FK35" s="155" t="s">
        <v>226</v>
      </c>
      <c r="FL35" s="155" t="s">
        <v>226</v>
      </c>
      <c r="FM35" s="155" t="s">
        <v>226</v>
      </c>
      <c r="FN35" s="155" t="s">
        <v>226</v>
      </c>
      <c r="FO35" s="155" t="s">
        <v>226</v>
      </c>
      <c r="FP35" s="155" t="s">
        <v>226</v>
      </c>
      <c r="FQ35" s="155" t="s">
        <v>226</v>
      </c>
      <c r="FR35" s="155" t="s">
        <v>226</v>
      </c>
      <c r="FS35" s="155" t="s">
        <v>226</v>
      </c>
      <c r="FT35" s="155" t="s">
        <v>226</v>
      </c>
      <c r="FU35" s="155" t="s">
        <v>226</v>
      </c>
      <c r="FV35" s="155" t="s">
        <v>226</v>
      </c>
      <c r="FW35" s="155" t="s">
        <v>226</v>
      </c>
      <c r="FX35" s="155" t="s">
        <v>226</v>
      </c>
      <c r="FY35" s="155" t="s">
        <v>226</v>
      </c>
      <c r="FZ35" s="155" t="s">
        <v>226</v>
      </c>
      <c r="GA35" s="155" t="s">
        <v>226</v>
      </c>
      <c r="GB35" s="155" t="s">
        <v>226</v>
      </c>
      <c r="GC35" s="155" t="s">
        <v>226</v>
      </c>
      <c r="GD35" s="155" t="s">
        <v>226</v>
      </c>
      <c r="GE35" s="155" t="s">
        <v>226</v>
      </c>
      <c r="GF35" s="150" t="s">
        <v>256</v>
      </c>
      <c r="GG35" s="70" t="s">
        <v>226</v>
      </c>
      <c r="GH35" s="93" t="s">
        <v>226</v>
      </c>
      <c r="GI35" s="145" t="s">
        <v>226</v>
      </c>
      <c r="GJ35" s="70">
        <v>45981</v>
      </c>
      <c r="GK35" s="70">
        <v>45981</v>
      </c>
      <c r="GL35" s="70" t="s">
        <v>226</v>
      </c>
      <c r="GM35" s="159" t="str">
        <f t="shared" si="1"/>
        <v>N/A</v>
      </c>
      <c r="GN35" s="159" t="str">
        <f t="shared" si="2"/>
        <v>N/A</v>
      </c>
      <c r="GO35" s="159">
        <f t="shared" si="3"/>
        <v>3.1</v>
      </c>
      <c r="GP35" s="159" t="str">
        <f t="shared" si="4"/>
        <v>N/A</v>
      </c>
      <c r="GQ35" s="159" t="str">
        <f t="shared" si="5"/>
        <v>N/A</v>
      </c>
      <c r="GR35" s="159" t="str">
        <f t="shared" si="6"/>
        <v>N/A</v>
      </c>
      <c r="GS35" s="159" t="str">
        <f t="shared" si="7"/>
        <v>N/A</v>
      </c>
      <c r="GT35" s="159" t="str">
        <f t="shared" si="8"/>
        <v>N/A</v>
      </c>
      <c r="GU35" s="159" t="str">
        <f t="shared" si="9"/>
        <v>N/A</v>
      </c>
      <c r="GV35" s="159" t="str">
        <f t="shared" si="10"/>
        <v>N/A</v>
      </c>
      <c r="GW35" s="159">
        <f t="shared" si="11"/>
        <v>4.9000000000000004</v>
      </c>
      <c r="GX35" s="159">
        <f t="shared" si="12"/>
        <v>5.1333333333333337</v>
      </c>
      <c r="GY35" s="159">
        <f t="shared" si="13"/>
        <v>45.2</v>
      </c>
      <c r="GZ35" s="159">
        <f t="shared" si="14"/>
        <v>46.5</v>
      </c>
      <c r="HA35" s="159">
        <f t="shared" si="15"/>
        <v>48.266666666666666</v>
      </c>
      <c r="HB35" s="159">
        <f t="shared" si="16"/>
        <v>45.2</v>
      </c>
      <c r="HC35" s="159" t="str">
        <f t="shared" si="17"/>
        <v>N/A</v>
      </c>
      <c r="HD35" s="159">
        <f t="shared" si="18"/>
        <v>49.266666666666666</v>
      </c>
      <c r="HE35" s="159">
        <f t="shared" si="19"/>
        <v>49.266666666666666</v>
      </c>
      <c r="HF35" s="160">
        <f t="shared" si="20"/>
        <v>49.266666666666666</v>
      </c>
      <c r="HG35" s="160" cm="1">
        <f t="array" ref="HG35">INDEX($HB35:$HD35,MATCH(TRUE,INDEX(ISNUMBER($HB35:$HD35),0),0))</f>
        <v>45.2</v>
      </c>
      <c r="HH35" s="161">
        <f t="shared" si="21"/>
        <v>1</v>
      </c>
      <c r="HI35" s="108">
        <f t="shared" si="22"/>
        <v>0</v>
      </c>
      <c r="HJ35" s="91">
        <f t="shared" si="23"/>
        <v>0</v>
      </c>
      <c r="HK35" s="205" t="str">
        <f t="shared" si="24"/>
        <v>1</v>
      </c>
    </row>
    <row r="36" spans="1:219" ht="15" customHeight="1" x14ac:dyDescent="0.3">
      <c r="A36" s="146">
        <v>4382309336</v>
      </c>
      <c r="B36" s="93" t="s">
        <v>221</v>
      </c>
      <c r="C36" s="93" t="s">
        <v>222</v>
      </c>
      <c r="D36" s="93" t="s">
        <v>221</v>
      </c>
      <c r="E36" s="145" t="s">
        <v>396</v>
      </c>
      <c r="F36" s="145" t="s">
        <v>240</v>
      </c>
      <c r="G36" s="145" t="s">
        <v>301</v>
      </c>
      <c r="H36" s="70">
        <v>44606</v>
      </c>
      <c r="I36" s="170" t="s">
        <v>320</v>
      </c>
      <c r="J36" s="148" t="s">
        <v>225</v>
      </c>
      <c r="K36" s="145" t="s">
        <v>226</v>
      </c>
      <c r="L36" s="145" t="s">
        <v>226</v>
      </c>
      <c r="M36" s="145" t="s">
        <v>226</v>
      </c>
      <c r="N36" s="145" t="s">
        <v>226</v>
      </c>
      <c r="O36" s="145" t="s">
        <v>226</v>
      </c>
      <c r="P36" s="70" t="s">
        <v>226</v>
      </c>
      <c r="Q36" s="93" t="s">
        <v>226</v>
      </c>
      <c r="R36" s="97" t="s">
        <v>226</v>
      </c>
      <c r="S36" s="97" t="s">
        <v>226</v>
      </c>
      <c r="T36" s="97" t="s">
        <v>226</v>
      </c>
      <c r="U36" s="97" t="s">
        <v>226</v>
      </c>
      <c r="V36" s="93" t="s">
        <v>226</v>
      </c>
      <c r="W36" s="97" t="s">
        <v>226</v>
      </c>
      <c r="X36" s="97" t="s">
        <v>226</v>
      </c>
      <c r="Y36" s="97" t="s">
        <v>226</v>
      </c>
      <c r="Z36" s="97" t="s">
        <v>226</v>
      </c>
      <c r="AA36" s="93" t="s">
        <v>226</v>
      </c>
      <c r="AB36" s="97" t="s">
        <v>226</v>
      </c>
      <c r="AC36" s="97" t="s">
        <v>226</v>
      </c>
      <c r="AD36" s="97" t="s">
        <v>226</v>
      </c>
      <c r="AE36" s="97" t="s">
        <v>226</v>
      </c>
      <c r="AF36" s="93" t="s">
        <v>226</v>
      </c>
      <c r="AG36" s="97" t="s">
        <v>226</v>
      </c>
      <c r="AH36" s="97" t="s">
        <v>226</v>
      </c>
      <c r="AI36" s="97" t="s">
        <v>226</v>
      </c>
      <c r="AJ36" s="97" t="s">
        <v>226</v>
      </c>
      <c r="AK36" s="93" t="s">
        <v>226</v>
      </c>
      <c r="AL36" s="97" t="s">
        <v>226</v>
      </c>
      <c r="AM36" s="97" t="s">
        <v>226</v>
      </c>
      <c r="AN36" s="97" t="s">
        <v>226</v>
      </c>
      <c r="AO36" s="97" t="s">
        <v>226</v>
      </c>
      <c r="AP36" s="93" t="s">
        <v>226</v>
      </c>
      <c r="AQ36" s="106" t="s">
        <v>227</v>
      </c>
      <c r="AR36" s="69">
        <v>16742</v>
      </c>
      <c r="AS36" s="70">
        <v>44552</v>
      </c>
      <c r="AT36" s="149">
        <f t="shared" si="0"/>
        <v>76</v>
      </c>
      <c r="AU36" s="147" t="s">
        <v>228</v>
      </c>
      <c r="AV36" s="93" t="s">
        <v>229</v>
      </c>
      <c r="AW36" s="93" t="s">
        <v>230</v>
      </c>
      <c r="AX36" s="150" t="s">
        <v>231</v>
      </c>
      <c r="AY36" s="151" t="s">
        <v>232</v>
      </c>
      <c r="AZ36" s="150" t="s">
        <v>232</v>
      </c>
      <c r="BA36" s="150">
        <v>0</v>
      </c>
      <c r="BB36" s="93" t="s">
        <v>233</v>
      </c>
      <c r="BC36" s="152">
        <v>1</v>
      </c>
      <c r="BD36" s="153" t="s">
        <v>234</v>
      </c>
      <c r="BE36" s="93" t="s">
        <v>235</v>
      </c>
      <c r="BF36" s="153" t="s">
        <v>221</v>
      </c>
      <c r="BG36" s="154" t="s">
        <v>226</v>
      </c>
      <c r="BH36" s="155" t="s">
        <v>226</v>
      </c>
      <c r="BI36" s="155" t="s">
        <v>226</v>
      </c>
      <c r="BJ36" s="155" t="s">
        <v>226</v>
      </c>
      <c r="BK36" s="155" t="s">
        <v>226</v>
      </c>
      <c r="BL36" s="155" t="s">
        <v>226</v>
      </c>
      <c r="BM36" s="155" t="s">
        <v>226</v>
      </c>
      <c r="BN36" s="155" t="s">
        <v>226</v>
      </c>
      <c r="BO36" s="155" t="s">
        <v>226</v>
      </c>
      <c r="BP36" s="155" t="s">
        <v>226</v>
      </c>
      <c r="BQ36" s="155" t="s">
        <v>226</v>
      </c>
      <c r="BR36" s="155" t="s">
        <v>226</v>
      </c>
      <c r="BS36" s="155" t="s">
        <v>226</v>
      </c>
      <c r="BT36" s="155" t="s">
        <v>226</v>
      </c>
      <c r="BU36" s="155" t="s">
        <v>226</v>
      </c>
      <c r="BV36" s="155" t="s">
        <v>226</v>
      </c>
      <c r="BW36" s="155" t="s">
        <v>226</v>
      </c>
      <c r="BX36" s="155" t="s">
        <v>226</v>
      </c>
      <c r="BY36" s="155" t="s">
        <v>226</v>
      </c>
      <c r="BZ36" s="155" t="s">
        <v>226</v>
      </c>
      <c r="CA36" s="155" t="s">
        <v>226</v>
      </c>
      <c r="CB36" s="155" t="s">
        <v>226</v>
      </c>
      <c r="CC36" s="155" t="s">
        <v>226</v>
      </c>
      <c r="CD36" s="155" t="s">
        <v>226</v>
      </c>
      <c r="CE36" s="155" t="s">
        <v>226</v>
      </c>
      <c r="CF36" s="155" t="s">
        <v>226</v>
      </c>
      <c r="CG36" s="155" t="s">
        <v>226</v>
      </c>
      <c r="CH36" s="155" t="s">
        <v>226</v>
      </c>
      <c r="CI36" s="155" t="s">
        <v>226</v>
      </c>
      <c r="CJ36" s="155" t="s">
        <v>226</v>
      </c>
      <c r="CK36" s="155" t="s">
        <v>226</v>
      </c>
      <c r="CL36" s="155" t="s">
        <v>226</v>
      </c>
      <c r="CM36" s="155" t="s">
        <v>226</v>
      </c>
      <c r="CN36" s="145" t="s">
        <v>226</v>
      </c>
      <c r="CO36" s="145" t="s">
        <v>226</v>
      </c>
      <c r="CP36" s="145" t="s">
        <v>226</v>
      </c>
      <c r="CQ36" s="145" t="s">
        <v>226</v>
      </c>
      <c r="CR36" s="145" t="s">
        <v>226</v>
      </c>
      <c r="CS36" s="145" t="s">
        <v>226</v>
      </c>
      <c r="CT36" s="145" t="s">
        <v>226</v>
      </c>
      <c r="CU36" s="145" t="s">
        <v>226</v>
      </c>
      <c r="CV36" s="145" t="s">
        <v>226</v>
      </c>
      <c r="CW36" s="145" t="s">
        <v>226</v>
      </c>
      <c r="CX36" s="145" t="s">
        <v>226</v>
      </c>
      <c r="CY36" s="145" t="s">
        <v>226</v>
      </c>
      <c r="CZ36" s="145" t="s">
        <v>226</v>
      </c>
      <c r="DA36" s="145" t="s">
        <v>226</v>
      </c>
      <c r="DB36" s="145" t="s">
        <v>226</v>
      </c>
      <c r="DC36" s="145" t="s">
        <v>226</v>
      </c>
      <c r="DD36" s="145" t="s">
        <v>226</v>
      </c>
      <c r="DE36" s="145" t="s">
        <v>226</v>
      </c>
      <c r="DF36" s="145" t="s">
        <v>226</v>
      </c>
      <c r="DG36" s="145" t="s">
        <v>226</v>
      </c>
      <c r="DH36" s="145" t="s">
        <v>226</v>
      </c>
      <c r="DI36" s="145" t="s">
        <v>226</v>
      </c>
      <c r="DJ36" s="145" t="s">
        <v>226</v>
      </c>
      <c r="DK36" s="145" t="s">
        <v>226</v>
      </c>
      <c r="DL36" s="145" t="s">
        <v>226</v>
      </c>
      <c r="DM36" s="145" t="s">
        <v>226</v>
      </c>
      <c r="DN36" s="145" t="s">
        <v>226</v>
      </c>
      <c r="DO36" s="145" t="s">
        <v>226</v>
      </c>
      <c r="DP36" s="145" t="s">
        <v>226</v>
      </c>
      <c r="DQ36" s="145" t="s">
        <v>226</v>
      </c>
      <c r="DR36" s="145" t="s">
        <v>226</v>
      </c>
      <c r="DS36" s="145" t="s">
        <v>226</v>
      </c>
      <c r="DT36" s="145" t="s">
        <v>226</v>
      </c>
      <c r="DU36" s="145" t="s">
        <v>226</v>
      </c>
      <c r="DV36" s="145" t="s">
        <v>226</v>
      </c>
      <c r="DW36" s="145" t="s">
        <v>226</v>
      </c>
      <c r="DX36" s="145" t="s">
        <v>226</v>
      </c>
      <c r="DY36" s="145" t="s">
        <v>226</v>
      </c>
      <c r="DZ36" s="145" t="s">
        <v>226</v>
      </c>
      <c r="EA36" s="145" t="s">
        <v>226</v>
      </c>
      <c r="EB36" s="145" t="s">
        <v>226</v>
      </c>
      <c r="EC36" s="145" t="s">
        <v>226</v>
      </c>
      <c r="ED36" s="145" t="s">
        <v>226</v>
      </c>
      <c r="EE36" s="145" t="s">
        <v>226</v>
      </c>
      <c r="EF36" s="145" t="s">
        <v>226</v>
      </c>
      <c r="EG36" s="145" t="s">
        <v>226</v>
      </c>
      <c r="EH36" s="145" t="s">
        <v>226</v>
      </c>
      <c r="EI36" s="145" t="s">
        <v>226</v>
      </c>
      <c r="EJ36" s="145" t="s">
        <v>226</v>
      </c>
      <c r="EK36" s="145" t="s">
        <v>226</v>
      </c>
      <c r="EL36" s="145" t="s">
        <v>226</v>
      </c>
      <c r="EM36" s="145" t="s">
        <v>226</v>
      </c>
      <c r="EN36" s="145" t="s">
        <v>226</v>
      </c>
      <c r="EO36" s="145" t="s">
        <v>226</v>
      </c>
      <c r="EP36" s="145" t="s">
        <v>226</v>
      </c>
      <c r="EQ36" s="145" t="s">
        <v>226</v>
      </c>
      <c r="ER36" s="145" t="s">
        <v>226</v>
      </c>
      <c r="ES36" s="145" t="s">
        <v>226</v>
      </c>
      <c r="ET36" s="145" t="s">
        <v>226</v>
      </c>
      <c r="EU36" s="145" t="s">
        <v>226</v>
      </c>
      <c r="EV36" s="145" t="s">
        <v>226</v>
      </c>
      <c r="EW36" s="145" t="s">
        <v>226</v>
      </c>
      <c r="EX36" s="145" t="s">
        <v>226</v>
      </c>
      <c r="EY36" s="106" t="s">
        <v>226</v>
      </c>
      <c r="EZ36" s="145" t="s">
        <v>226</v>
      </c>
      <c r="FA36" s="145" t="s">
        <v>226</v>
      </c>
      <c r="FB36" s="106" t="s">
        <v>226</v>
      </c>
      <c r="FC36" s="145" t="s">
        <v>226</v>
      </c>
      <c r="FD36" s="145" t="s">
        <v>226</v>
      </c>
      <c r="FE36" s="155" t="s">
        <v>226</v>
      </c>
      <c r="FF36" s="155" t="s">
        <v>226</v>
      </c>
      <c r="FG36" s="155" t="s">
        <v>226</v>
      </c>
      <c r="FH36" s="155" t="s">
        <v>226</v>
      </c>
      <c r="FI36" s="155" t="s">
        <v>226</v>
      </c>
      <c r="FJ36" s="155" t="s">
        <v>226</v>
      </c>
      <c r="FK36" s="155" t="s">
        <v>226</v>
      </c>
      <c r="FL36" s="155" t="s">
        <v>226</v>
      </c>
      <c r="FM36" s="155" t="s">
        <v>226</v>
      </c>
      <c r="FN36" s="155" t="s">
        <v>226</v>
      </c>
      <c r="FO36" s="155" t="s">
        <v>226</v>
      </c>
      <c r="FP36" s="155" t="s">
        <v>226</v>
      </c>
      <c r="FQ36" s="155" t="s">
        <v>226</v>
      </c>
      <c r="FR36" s="155" t="s">
        <v>226</v>
      </c>
      <c r="FS36" s="155" t="s">
        <v>226</v>
      </c>
      <c r="FT36" s="155" t="s">
        <v>226</v>
      </c>
      <c r="FU36" s="155" t="s">
        <v>226</v>
      </c>
      <c r="FV36" s="155" t="s">
        <v>226</v>
      </c>
      <c r="FW36" s="155" t="s">
        <v>226</v>
      </c>
      <c r="FX36" s="155" t="s">
        <v>226</v>
      </c>
      <c r="FY36" s="155" t="s">
        <v>226</v>
      </c>
      <c r="FZ36" s="155" t="s">
        <v>226</v>
      </c>
      <c r="GA36" s="155" t="s">
        <v>226</v>
      </c>
      <c r="GB36" s="155" t="s">
        <v>226</v>
      </c>
      <c r="GC36" s="155" t="s">
        <v>226</v>
      </c>
      <c r="GD36" s="155" t="s">
        <v>226</v>
      </c>
      <c r="GE36" s="155" t="s">
        <v>226</v>
      </c>
      <c r="GF36" s="150" t="s">
        <v>256</v>
      </c>
      <c r="GG36" s="70" t="s">
        <v>226</v>
      </c>
      <c r="GH36" s="93" t="s">
        <v>226</v>
      </c>
      <c r="GI36" s="145" t="s">
        <v>226</v>
      </c>
      <c r="GJ36" s="70">
        <v>45741</v>
      </c>
      <c r="GK36" s="70">
        <v>45961</v>
      </c>
      <c r="GL36" s="70" t="s">
        <v>226</v>
      </c>
      <c r="GM36" s="159" t="str">
        <f t="shared" si="1"/>
        <v>N/A</v>
      </c>
      <c r="GN36" s="159" t="str">
        <f t="shared" si="2"/>
        <v>N/A</v>
      </c>
      <c r="GO36" s="159">
        <f t="shared" si="3"/>
        <v>1.8</v>
      </c>
      <c r="GP36" s="159" t="str">
        <f t="shared" si="4"/>
        <v>N/A</v>
      </c>
      <c r="GQ36" s="159" t="str">
        <f t="shared" si="5"/>
        <v>N/A</v>
      </c>
      <c r="GR36" s="159" t="str">
        <f t="shared" si="6"/>
        <v>N/A</v>
      </c>
      <c r="GS36" s="159" t="str">
        <f t="shared" si="7"/>
        <v>N/A</v>
      </c>
      <c r="GT36" s="159" t="str">
        <f t="shared" si="8"/>
        <v>N/A</v>
      </c>
      <c r="GU36" s="159" t="str">
        <f t="shared" si="9"/>
        <v>N/A</v>
      </c>
      <c r="GV36" s="159" t="str">
        <f t="shared" si="10"/>
        <v>N/A</v>
      </c>
      <c r="GW36" s="159" t="str">
        <f t="shared" si="11"/>
        <v>N/A</v>
      </c>
      <c r="GX36" s="159" t="str">
        <f t="shared" si="12"/>
        <v>N/A</v>
      </c>
      <c r="GY36" s="159" t="str">
        <f t="shared" si="13"/>
        <v>N/A</v>
      </c>
      <c r="GZ36" s="159" t="str">
        <f t="shared" si="14"/>
        <v>N/A</v>
      </c>
      <c r="HA36" s="159" t="str">
        <f t="shared" si="15"/>
        <v>N/A</v>
      </c>
      <c r="HB36" s="159" t="str">
        <f t="shared" si="16"/>
        <v>N/A</v>
      </c>
      <c r="HC36" s="159" t="str">
        <f t="shared" si="17"/>
        <v>N/A</v>
      </c>
      <c r="HD36" s="159">
        <f t="shared" si="18"/>
        <v>39.633333333333333</v>
      </c>
      <c r="HE36" s="159">
        <f t="shared" si="19"/>
        <v>46.966666666666669</v>
      </c>
      <c r="HF36" s="160">
        <f t="shared" si="20"/>
        <v>46.966666666666669</v>
      </c>
      <c r="HG36" s="160" cm="1">
        <f t="array" ref="HG36">INDEX($HB36:$HD36,MATCH(TRUE,INDEX(ISNUMBER($HB36:$HD36),0),0))</f>
        <v>39.633333333333333</v>
      </c>
      <c r="HH36" s="161">
        <f t="shared" si="21"/>
        <v>0</v>
      </c>
      <c r="HI36" s="108">
        <f t="shared" si="22"/>
        <v>0</v>
      </c>
      <c r="HJ36" s="91">
        <f t="shared" si="23"/>
        <v>0</v>
      </c>
      <c r="HK36" s="205" t="str">
        <f t="shared" si="24"/>
        <v>0</v>
      </c>
    </row>
    <row r="37" spans="1:219" ht="15" customHeight="1" x14ac:dyDescent="0.3">
      <c r="A37" s="146">
        <v>4086878011</v>
      </c>
      <c r="B37" s="93" t="s">
        <v>221</v>
      </c>
      <c r="C37" s="93" t="s">
        <v>222</v>
      </c>
      <c r="D37" s="93" t="s">
        <v>221</v>
      </c>
      <c r="E37" s="145" t="s">
        <v>397</v>
      </c>
      <c r="F37" s="145" t="s">
        <v>288</v>
      </c>
      <c r="G37" s="145" t="s">
        <v>262</v>
      </c>
      <c r="H37" s="70">
        <v>44642</v>
      </c>
      <c r="I37" s="147" t="s">
        <v>297</v>
      </c>
      <c r="J37" s="148" t="s">
        <v>225</v>
      </c>
      <c r="K37" s="145" t="s">
        <v>226</v>
      </c>
      <c r="L37" s="145" t="s">
        <v>226</v>
      </c>
      <c r="M37" s="145" t="s">
        <v>226</v>
      </c>
      <c r="N37" s="145" t="s">
        <v>226</v>
      </c>
      <c r="O37" s="145" t="s">
        <v>226</v>
      </c>
      <c r="P37" s="70" t="s">
        <v>226</v>
      </c>
      <c r="Q37" s="93" t="s">
        <v>226</v>
      </c>
      <c r="R37" s="97" t="s">
        <v>226</v>
      </c>
      <c r="S37" s="97" t="s">
        <v>226</v>
      </c>
      <c r="T37" s="97" t="s">
        <v>226</v>
      </c>
      <c r="U37" s="97" t="s">
        <v>226</v>
      </c>
      <c r="V37" s="93" t="s">
        <v>226</v>
      </c>
      <c r="W37" s="97" t="s">
        <v>226</v>
      </c>
      <c r="X37" s="97" t="s">
        <v>226</v>
      </c>
      <c r="Y37" s="97" t="s">
        <v>226</v>
      </c>
      <c r="Z37" s="97" t="s">
        <v>226</v>
      </c>
      <c r="AA37" s="93" t="s">
        <v>226</v>
      </c>
      <c r="AB37" s="97" t="s">
        <v>226</v>
      </c>
      <c r="AC37" s="97" t="s">
        <v>226</v>
      </c>
      <c r="AD37" s="97" t="s">
        <v>226</v>
      </c>
      <c r="AE37" s="97" t="s">
        <v>226</v>
      </c>
      <c r="AF37" s="93" t="s">
        <v>226</v>
      </c>
      <c r="AG37" s="97" t="s">
        <v>226</v>
      </c>
      <c r="AH37" s="97" t="s">
        <v>226</v>
      </c>
      <c r="AI37" s="97" t="s">
        <v>226</v>
      </c>
      <c r="AJ37" s="97" t="s">
        <v>226</v>
      </c>
      <c r="AK37" s="93" t="s">
        <v>226</v>
      </c>
      <c r="AL37" s="97" t="s">
        <v>226</v>
      </c>
      <c r="AM37" s="97" t="s">
        <v>226</v>
      </c>
      <c r="AN37" s="97" t="s">
        <v>226</v>
      </c>
      <c r="AO37" s="97" t="s">
        <v>226</v>
      </c>
      <c r="AP37" s="93" t="s">
        <v>226</v>
      </c>
      <c r="AQ37" s="106" t="s">
        <v>227</v>
      </c>
      <c r="AR37" s="69">
        <v>24778</v>
      </c>
      <c r="AS37" s="70">
        <v>44606</v>
      </c>
      <c r="AT37" s="149">
        <f t="shared" si="0"/>
        <v>54</v>
      </c>
      <c r="AU37" s="147" t="s">
        <v>228</v>
      </c>
      <c r="AV37" s="93" t="s">
        <v>229</v>
      </c>
      <c r="AW37" s="171" t="s">
        <v>230</v>
      </c>
      <c r="AX37" s="150" t="s">
        <v>265</v>
      </c>
      <c r="AY37" s="151" t="s">
        <v>232</v>
      </c>
      <c r="AZ37" s="150" t="s">
        <v>232</v>
      </c>
      <c r="BA37" s="150">
        <v>0</v>
      </c>
      <c r="BB37" s="93" t="s">
        <v>266</v>
      </c>
      <c r="BC37" s="152">
        <v>3</v>
      </c>
      <c r="BD37" s="153" t="s">
        <v>234</v>
      </c>
      <c r="BE37" s="93" t="s">
        <v>267</v>
      </c>
      <c r="BF37" s="153" t="s">
        <v>221</v>
      </c>
      <c r="BG37" s="154" t="s">
        <v>226</v>
      </c>
      <c r="BH37" s="155" t="s">
        <v>226</v>
      </c>
      <c r="BI37" s="155" t="s">
        <v>226</v>
      </c>
      <c r="BJ37" s="155" t="s">
        <v>226</v>
      </c>
      <c r="BK37" s="155" t="s">
        <v>226</v>
      </c>
      <c r="BL37" s="155" t="s">
        <v>226</v>
      </c>
      <c r="BM37" s="155" t="s">
        <v>226</v>
      </c>
      <c r="BN37" s="155" t="s">
        <v>226</v>
      </c>
      <c r="BO37" s="155" t="s">
        <v>226</v>
      </c>
      <c r="BP37" s="155" t="s">
        <v>226</v>
      </c>
      <c r="BQ37" s="155" t="s">
        <v>226</v>
      </c>
      <c r="BR37" s="155" t="s">
        <v>226</v>
      </c>
      <c r="BS37" s="155" t="s">
        <v>226</v>
      </c>
      <c r="BT37" s="155" t="s">
        <v>226</v>
      </c>
      <c r="BU37" s="155" t="s">
        <v>226</v>
      </c>
      <c r="BV37" s="155" t="s">
        <v>226</v>
      </c>
      <c r="BW37" s="155" t="s">
        <v>226</v>
      </c>
      <c r="BX37" s="155" t="s">
        <v>226</v>
      </c>
      <c r="BY37" s="155" t="s">
        <v>226</v>
      </c>
      <c r="BZ37" s="155" t="s">
        <v>226</v>
      </c>
      <c r="CA37" s="155" t="s">
        <v>226</v>
      </c>
      <c r="CB37" s="155" t="s">
        <v>226</v>
      </c>
      <c r="CC37" s="155" t="s">
        <v>226</v>
      </c>
      <c r="CD37" s="155" t="s">
        <v>226</v>
      </c>
      <c r="CE37" s="155" t="s">
        <v>226</v>
      </c>
      <c r="CF37" s="155" t="s">
        <v>226</v>
      </c>
      <c r="CG37" s="155" t="s">
        <v>226</v>
      </c>
      <c r="CH37" s="155" t="s">
        <v>226</v>
      </c>
      <c r="CI37" s="155" t="s">
        <v>226</v>
      </c>
      <c r="CJ37" s="155" t="s">
        <v>226</v>
      </c>
      <c r="CK37" s="155" t="s">
        <v>226</v>
      </c>
      <c r="CL37" s="155" t="s">
        <v>226</v>
      </c>
      <c r="CM37" s="155" t="s">
        <v>226</v>
      </c>
      <c r="CN37" s="106" t="s">
        <v>247</v>
      </c>
      <c r="CO37" s="145" t="s">
        <v>321</v>
      </c>
      <c r="CP37" s="70">
        <v>44727</v>
      </c>
      <c r="CQ37" s="70">
        <v>44734</v>
      </c>
      <c r="CR37" s="145" t="s">
        <v>226</v>
      </c>
      <c r="CS37" s="106" t="s">
        <v>226</v>
      </c>
      <c r="CT37" s="145" t="s">
        <v>226</v>
      </c>
      <c r="CU37" s="145" t="s">
        <v>226</v>
      </c>
      <c r="CV37" s="106" t="s">
        <v>226</v>
      </c>
      <c r="CW37" s="145" t="s">
        <v>226</v>
      </c>
      <c r="CX37" s="145" t="s">
        <v>226</v>
      </c>
      <c r="CY37" s="155" t="s">
        <v>226</v>
      </c>
      <c r="CZ37" s="155" t="s">
        <v>226</v>
      </c>
      <c r="DA37" s="155" t="s">
        <v>226</v>
      </c>
      <c r="DB37" s="155" t="s">
        <v>226</v>
      </c>
      <c r="DC37" s="155" t="s">
        <v>226</v>
      </c>
      <c r="DD37" s="155" t="s">
        <v>226</v>
      </c>
      <c r="DE37" s="155" t="s">
        <v>226</v>
      </c>
      <c r="DF37" s="155" t="s">
        <v>226</v>
      </c>
      <c r="DG37" s="155" t="s">
        <v>226</v>
      </c>
      <c r="DH37" s="155" t="s">
        <v>226</v>
      </c>
      <c r="DI37" s="155" t="s">
        <v>226</v>
      </c>
      <c r="DJ37" s="155" t="s">
        <v>226</v>
      </c>
      <c r="DK37" s="155" t="s">
        <v>226</v>
      </c>
      <c r="DL37" s="155" t="s">
        <v>226</v>
      </c>
      <c r="DM37" s="155" t="s">
        <v>226</v>
      </c>
      <c r="DN37" s="155" t="s">
        <v>226</v>
      </c>
      <c r="DO37" s="155" t="s">
        <v>226</v>
      </c>
      <c r="DP37" s="155" t="s">
        <v>226</v>
      </c>
      <c r="DQ37" s="155" t="s">
        <v>226</v>
      </c>
      <c r="DR37" s="155" t="s">
        <v>226</v>
      </c>
      <c r="DS37" s="155" t="s">
        <v>226</v>
      </c>
      <c r="DT37" s="155" t="s">
        <v>226</v>
      </c>
      <c r="DU37" s="155" t="s">
        <v>226</v>
      </c>
      <c r="DV37" s="155" t="s">
        <v>226</v>
      </c>
      <c r="DW37" s="155" t="s">
        <v>226</v>
      </c>
      <c r="DX37" s="155" t="s">
        <v>226</v>
      </c>
      <c r="DY37" s="155" t="s">
        <v>226</v>
      </c>
      <c r="DZ37" s="155" t="s">
        <v>226</v>
      </c>
      <c r="EA37" s="155" t="s">
        <v>226</v>
      </c>
      <c r="EB37" s="155" t="s">
        <v>226</v>
      </c>
      <c r="EC37" s="155" t="s">
        <v>226</v>
      </c>
      <c r="ED37" s="155" t="s">
        <v>226</v>
      </c>
      <c r="EE37" s="155" t="s">
        <v>226</v>
      </c>
      <c r="EF37" s="155" t="s">
        <v>226</v>
      </c>
      <c r="EG37" s="155" t="s">
        <v>226</v>
      </c>
      <c r="EH37" s="155" t="s">
        <v>226</v>
      </c>
      <c r="EI37" s="145" t="s">
        <v>226</v>
      </c>
      <c r="EJ37" s="145" t="s">
        <v>226</v>
      </c>
      <c r="EK37" s="145" t="s">
        <v>226</v>
      </c>
      <c r="EL37" s="145" t="s">
        <v>226</v>
      </c>
      <c r="EM37" s="145" t="s">
        <v>226</v>
      </c>
      <c r="EN37" s="145" t="s">
        <v>226</v>
      </c>
      <c r="EO37" s="145" t="s">
        <v>226</v>
      </c>
      <c r="EP37" s="145" t="s">
        <v>226</v>
      </c>
      <c r="EQ37" s="145" t="s">
        <v>226</v>
      </c>
      <c r="ER37" s="145" t="s">
        <v>226</v>
      </c>
      <c r="ES37" s="145" t="s">
        <v>226</v>
      </c>
      <c r="ET37" s="145" t="s">
        <v>226</v>
      </c>
      <c r="EU37" s="145" t="s">
        <v>226</v>
      </c>
      <c r="EV37" s="145" t="s">
        <v>226</v>
      </c>
      <c r="EW37" s="145" t="s">
        <v>226</v>
      </c>
      <c r="EX37" s="145" t="s">
        <v>226</v>
      </c>
      <c r="EY37" s="106" t="s">
        <v>226</v>
      </c>
      <c r="EZ37" s="145" t="s">
        <v>226</v>
      </c>
      <c r="FA37" s="145" t="s">
        <v>226</v>
      </c>
      <c r="FB37" s="106" t="s">
        <v>226</v>
      </c>
      <c r="FC37" s="145" t="s">
        <v>226</v>
      </c>
      <c r="FD37" s="145" t="s">
        <v>226</v>
      </c>
      <c r="FE37" s="155" t="s">
        <v>226</v>
      </c>
      <c r="FF37" s="155" t="s">
        <v>226</v>
      </c>
      <c r="FG37" s="155" t="s">
        <v>226</v>
      </c>
      <c r="FH37" s="155" t="s">
        <v>226</v>
      </c>
      <c r="FI37" s="155" t="s">
        <v>226</v>
      </c>
      <c r="FJ37" s="155" t="s">
        <v>226</v>
      </c>
      <c r="FK37" s="155" t="s">
        <v>226</v>
      </c>
      <c r="FL37" s="155" t="s">
        <v>226</v>
      </c>
      <c r="FM37" s="155" t="s">
        <v>226</v>
      </c>
      <c r="FN37" s="155" t="s">
        <v>226</v>
      </c>
      <c r="FO37" s="155" t="s">
        <v>226</v>
      </c>
      <c r="FP37" s="155" t="s">
        <v>226</v>
      </c>
      <c r="FQ37" s="155" t="s">
        <v>226</v>
      </c>
      <c r="FR37" s="155" t="s">
        <v>226</v>
      </c>
      <c r="FS37" s="155" t="s">
        <v>226</v>
      </c>
      <c r="FT37" s="155" t="s">
        <v>226</v>
      </c>
      <c r="FU37" s="155" t="s">
        <v>226</v>
      </c>
      <c r="FV37" s="155" t="s">
        <v>226</v>
      </c>
      <c r="FW37" s="155" t="s">
        <v>226</v>
      </c>
      <c r="FX37" s="155" t="s">
        <v>226</v>
      </c>
      <c r="FY37" s="155" t="s">
        <v>226</v>
      </c>
      <c r="FZ37" s="155" t="s">
        <v>226</v>
      </c>
      <c r="GA37" s="155" t="s">
        <v>226</v>
      </c>
      <c r="GB37" s="155" t="s">
        <v>226</v>
      </c>
      <c r="GC37" s="155" t="s">
        <v>226</v>
      </c>
      <c r="GD37" s="155" t="s">
        <v>226</v>
      </c>
      <c r="GE37" s="155" t="s">
        <v>226</v>
      </c>
      <c r="GF37" s="150" t="s">
        <v>256</v>
      </c>
      <c r="GG37" s="70" t="s">
        <v>226</v>
      </c>
      <c r="GH37" s="93" t="s">
        <v>226</v>
      </c>
      <c r="GI37" s="145" t="s">
        <v>226</v>
      </c>
      <c r="GJ37" s="70">
        <v>45954</v>
      </c>
      <c r="GK37" s="70">
        <v>45954</v>
      </c>
      <c r="GL37" s="70" t="s">
        <v>226</v>
      </c>
      <c r="GM37" s="159" t="str">
        <f t="shared" si="1"/>
        <v>N/A</v>
      </c>
      <c r="GN37" s="159" t="str">
        <f t="shared" si="2"/>
        <v>N/A</v>
      </c>
      <c r="GO37" s="159">
        <f t="shared" si="3"/>
        <v>1.2</v>
      </c>
      <c r="GP37" s="159" t="str">
        <f t="shared" si="4"/>
        <v>N/A</v>
      </c>
      <c r="GQ37" s="159" t="str">
        <f t="shared" si="5"/>
        <v>N/A</v>
      </c>
      <c r="GR37" s="159" t="str">
        <f t="shared" si="6"/>
        <v>N/A</v>
      </c>
      <c r="GS37" s="159" t="str">
        <f t="shared" si="7"/>
        <v>N/A</v>
      </c>
      <c r="GT37" s="159" t="str">
        <f t="shared" si="8"/>
        <v>N/A</v>
      </c>
      <c r="GU37" s="159" t="str">
        <f t="shared" si="9"/>
        <v>N/A</v>
      </c>
      <c r="GV37" s="159" t="str">
        <f t="shared" si="10"/>
        <v>N/A</v>
      </c>
      <c r="GW37" s="159">
        <f t="shared" si="11"/>
        <v>4.0333333333333332</v>
      </c>
      <c r="GX37" s="159">
        <f t="shared" si="12"/>
        <v>4.2666666666666666</v>
      </c>
      <c r="GY37" s="159" t="str">
        <f t="shared" si="13"/>
        <v>N/A</v>
      </c>
      <c r="GZ37" s="159" t="str">
        <f t="shared" si="14"/>
        <v>N/A</v>
      </c>
      <c r="HA37" s="159" t="str">
        <f t="shared" si="15"/>
        <v>N/A</v>
      </c>
      <c r="HB37" s="159" t="str">
        <f t="shared" si="16"/>
        <v>N/A</v>
      </c>
      <c r="HC37" s="159" t="str">
        <f t="shared" si="17"/>
        <v>N/A</v>
      </c>
      <c r="HD37" s="159">
        <f t="shared" si="18"/>
        <v>44.93333333333333</v>
      </c>
      <c r="HE37" s="159">
        <f t="shared" si="19"/>
        <v>44.93333333333333</v>
      </c>
      <c r="HF37" s="160">
        <f t="shared" si="20"/>
        <v>44.93333333333333</v>
      </c>
      <c r="HG37" s="160" cm="1">
        <f t="array" ref="HG37">INDEX($HB37:$HD37,MATCH(TRUE,INDEX(ISNUMBER($HB37:$HD37),0),0))</f>
        <v>44.93333333333333</v>
      </c>
      <c r="HH37" s="161">
        <f t="shared" si="21"/>
        <v>0</v>
      </c>
      <c r="HI37" s="108">
        <f t="shared" si="22"/>
        <v>0</v>
      </c>
      <c r="HJ37" s="91">
        <f t="shared" si="23"/>
        <v>0</v>
      </c>
      <c r="HK37" s="205" t="str">
        <f t="shared" si="24"/>
        <v>0</v>
      </c>
    </row>
    <row r="38" spans="1:219" ht="15" customHeight="1" x14ac:dyDescent="0.3">
      <c r="A38" s="146">
        <v>4423225735</v>
      </c>
      <c r="B38" s="93" t="s">
        <v>221</v>
      </c>
      <c r="C38" s="93" t="s">
        <v>222</v>
      </c>
      <c r="D38" s="93" t="s">
        <v>221</v>
      </c>
      <c r="E38" s="145" t="s">
        <v>398</v>
      </c>
      <c r="F38" s="145" t="s">
        <v>300</v>
      </c>
      <c r="G38" s="145" t="s">
        <v>226</v>
      </c>
      <c r="H38" s="70">
        <v>44656</v>
      </c>
      <c r="I38" s="170" t="s">
        <v>399</v>
      </c>
      <c r="J38" s="148" t="s">
        <v>225</v>
      </c>
      <c r="K38" s="145" t="s">
        <v>226</v>
      </c>
      <c r="L38" s="145" t="s">
        <v>226</v>
      </c>
      <c r="M38" s="145" t="s">
        <v>398</v>
      </c>
      <c r="N38" s="175" t="s">
        <v>400</v>
      </c>
      <c r="O38" s="147" t="s">
        <v>401</v>
      </c>
      <c r="P38" s="70">
        <v>44656</v>
      </c>
      <c r="Q38" s="93" t="s">
        <v>222</v>
      </c>
      <c r="R38" s="97" t="s">
        <v>226</v>
      </c>
      <c r="S38" s="97" t="s">
        <v>226</v>
      </c>
      <c r="T38" s="97" t="s">
        <v>226</v>
      </c>
      <c r="U38" s="97" t="s">
        <v>226</v>
      </c>
      <c r="V38" s="93" t="s">
        <v>226</v>
      </c>
      <c r="W38" s="97" t="s">
        <v>226</v>
      </c>
      <c r="X38" s="97" t="s">
        <v>226</v>
      </c>
      <c r="Y38" s="97" t="s">
        <v>226</v>
      </c>
      <c r="Z38" s="97" t="s">
        <v>226</v>
      </c>
      <c r="AA38" s="93" t="s">
        <v>226</v>
      </c>
      <c r="AB38" s="97" t="s">
        <v>226</v>
      </c>
      <c r="AC38" s="97" t="s">
        <v>226</v>
      </c>
      <c r="AD38" s="97" t="s">
        <v>226</v>
      </c>
      <c r="AE38" s="97" t="s">
        <v>226</v>
      </c>
      <c r="AF38" s="93" t="s">
        <v>226</v>
      </c>
      <c r="AG38" s="97" t="s">
        <v>226</v>
      </c>
      <c r="AH38" s="97" t="s">
        <v>226</v>
      </c>
      <c r="AI38" s="97" t="s">
        <v>226</v>
      </c>
      <c r="AJ38" s="97" t="s">
        <v>226</v>
      </c>
      <c r="AK38" s="93" t="s">
        <v>226</v>
      </c>
      <c r="AL38" s="97" t="s">
        <v>226</v>
      </c>
      <c r="AM38" s="97" t="s">
        <v>226</v>
      </c>
      <c r="AN38" s="97" t="s">
        <v>226</v>
      </c>
      <c r="AO38" s="97" t="s">
        <v>226</v>
      </c>
      <c r="AP38" s="93" t="s">
        <v>226</v>
      </c>
      <c r="AQ38" s="106" t="s">
        <v>227</v>
      </c>
      <c r="AR38" s="69">
        <v>18725</v>
      </c>
      <c r="AS38" s="70">
        <v>44595</v>
      </c>
      <c r="AT38" s="149">
        <f t="shared" si="0"/>
        <v>70</v>
      </c>
      <c r="AU38" s="147" t="s">
        <v>228</v>
      </c>
      <c r="AV38" s="93" t="s">
        <v>229</v>
      </c>
      <c r="AW38" s="93" t="s">
        <v>230</v>
      </c>
      <c r="AX38" s="150" t="s">
        <v>232</v>
      </c>
      <c r="AY38" s="150" t="s">
        <v>232</v>
      </c>
      <c r="AZ38" s="151" t="s">
        <v>402</v>
      </c>
      <c r="BA38" s="150">
        <v>1</v>
      </c>
      <c r="BB38" s="93" t="s">
        <v>226</v>
      </c>
      <c r="BC38" s="152">
        <v>1</v>
      </c>
      <c r="BD38" s="153" t="s">
        <v>234</v>
      </c>
      <c r="BE38" s="93" t="s">
        <v>273</v>
      </c>
      <c r="BF38" s="153" t="s">
        <v>221</v>
      </c>
      <c r="BG38" s="154" t="s">
        <v>226</v>
      </c>
      <c r="BH38" s="155" t="s">
        <v>226</v>
      </c>
      <c r="BI38" s="155" t="s">
        <v>226</v>
      </c>
      <c r="BJ38" s="155" t="s">
        <v>226</v>
      </c>
      <c r="BK38" s="155" t="s">
        <v>226</v>
      </c>
      <c r="BL38" s="155" t="s">
        <v>226</v>
      </c>
      <c r="BM38" s="155" t="s">
        <v>226</v>
      </c>
      <c r="BN38" s="155" t="s">
        <v>226</v>
      </c>
      <c r="BO38" s="155" t="s">
        <v>226</v>
      </c>
      <c r="BP38" s="155" t="s">
        <v>226</v>
      </c>
      <c r="BQ38" s="155" t="s">
        <v>226</v>
      </c>
      <c r="BR38" s="155" t="s">
        <v>226</v>
      </c>
      <c r="BS38" s="155" t="s">
        <v>226</v>
      </c>
      <c r="BT38" s="155" t="s">
        <v>226</v>
      </c>
      <c r="BU38" s="155" t="s">
        <v>226</v>
      </c>
      <c r="BV38" s="155" t="s">
        <v>226</v>
      </c>
      <c r="BW38" s="155" t="s">
        <v>226</v>
      </c>
      <c r="BX38" s="155" t="s">
        <v>226</v>
      </c>
      <c r="BY38" s="155" t="s">
        <v>226</v>
      </c>
      <c r="BZ38" s="155" t="s">
        <v>226</v>
      </c>
      <c r="CA38" s="155" t="s">
        <v>226</v>
      </c>
      <c r="CB38" s="155" t="s">
        <v>226</v>
      </c>
      <c r="CC38" s="155" t="s">
        <v>226</v>
      </c>
      <c r="CD38" s="155" t="s">
        <v>226</v>
      </c>
      <c r="CE38" s="155" t="s">
        <v>226</v>
      </c>
      <c r="CF38" s="155" t="s">
        <v>226</v>
      </c>
      <c r="CG38" s="155" t="s">
        <v>226</v>
      </c>
      <c r="CH38" s="155" t="s">
        <v>226</v>
      </c>
      <c r="CI38" s="155" t="s">
        <v>226</v>
      </c>
      <c r="CJ38" s="155" t="s">
        <v>226</v>
      </c>
      <c r="CK38" s="155" t="s">
        <v>226</v>
      </c>
      <c r="CL38" s="155" t="s">
        <v>226</v>
      </c>
      <c r="CM38" s="155" t="s">
        <v>226</v>
      </c>
      <c r="CN38" s="106" t="s">
        <v>277</v>
      </c>
      <c r="CO38" s="145" t="s">
        <v>403</v>
      </c>
      <c r="CP38" s="70">
        <v>44690</v>
      </c>
      <c r="CQ38" s="70">
        <v>44984</v>
      </c>
      <c r="CR38" s="145" t="s">
        <v>226</v>
      </c>
      <c r="CS38" s="106" t="s">
        <v>226</v>
      </c>
      <c r="CT38" s="145" t="s">
        <v>226</v>
      </c>
      <c r="CU38" s="145" t="s">
        <v>226</v>
      </c>
      <c r="CV38" s="106" t="s">
        <v>226</v>
      </c>
      <c r="CW38" s="145" t="s">
        <v>226</v>
      </c>
      <c r="CX38" s="145" t="s">
        <v>226</v>
      </c>
      <c r="CY38" s="155" t="s">
        <v>226</v>
      </c>
      <c r="CZ38" s="155" t="s">
        <v>226</v>
      </c>
      <c r="DA38" s="155" t="s">
        <v>226</v>
      </c>
      <c r="DB38" s="155" t="s">
        <v>226</v>
      </c>
      <c r="DC38" s="155" t="s">
        <v>226</v>
      </c>
      <c r="DD38" s="155" t="s">
        <v>226</v>
      </c>
      <c r="DE38" s="155" t="s">
        <v>226</v>
      </c>
      <c r="DF38" s="155" t="s">
        <v>226</v>
      </c>
      <c r="DG38" s="155" t="s">
        <v>226</v>
      </c>
      <c r="DH38" s="155" t="s">
        <v>226</v>
      </c>
      <c r="DI38" s="155" t="s">
        <v>226</v>
      </c>
      <c r="DJ38" s="155" t="s">
        <v>226</v>
      </c>
      <c r="DK38" s="155" t="s">
        <v>226</v>
      </c>
      <c r="DL38" s="155" t="s">
        <v>226</v>
      </c>
      <c r="DM38" s="155" t="s">
        <v>226</v>
      </c>
      <c r="DN38" s="155" t="s">
        <v>226</v>
      </c>
      <c r="DO38" s="155" t="s">
        <v>226</v>
      </c>
      <c r="DP38" s="155" t="s">
        <v>226</v>
      </c>
      <c r="DQ38" s="155" t="s">
        <v>226</v>
      </c>
      <c r="DR38" s="155" t="s">
        <v>226</v>
      </c>
      <c r="DS38" s="155" t="s">
        <v>226</v>
      </c>
      <c r="DT38" s="155" t="s">
        <v>226</v>
      </c>
      <c r="DU38" s="155" t="s">
        <v>226</v>
      </c>
      <c r="DV38" s="155" t="s">
        <v>226</v>
      </c>
      <c r="DW38" s="155" t="s">
        <v>226</v>
      </c>
      <c r="DX38" s="155" t="s">
        <v>226</v>
      </c>
      <c r="DY38" s="155" t="s">
        <v>226</v>
      </c>
      <c r="DZ38" s="155" t="s">
        <v>226</v>
      </c>
      <c r="EA38" s="155" t="s">
        <v>226</v>
      </c>
      <c r="EB38" s="155" t="s">
        <v>226</v>
      </c>
      <c r="EC38" s="155" t="s">
        <v>226</v>
      </c>
      <c r="ED38" s="155" t="s">
        <v>226</v>
      </c>
      <c r="EE38" s="155" t="s">
        <v>226</v>
      </c>
      <c r="EF38" s="155" t="s">
        <v>226</v>
      </c>
      <c r="EG38" s="155" t="s">
        <v>226</v>
      </c>
      <c r="EH38" s="155" t="s">
        <v>226</v>
      </c>
      <c r="EI38" s="145" t="s">
        <v>226</v>
      </c>
      <c r="EJ38" s="145" t="s">
        <v>226</v>
      </c>
      <c r="EK38" s="145" t="s">
        <v>226</v>
      </c>
      <c r="EL38" s="145" t="s">
        <v>226</v>
      </c>
      <c r="EM38" s="145" t="s">
        <v>226</v>
      </c>
      <c r="EN38" s="145" t="s">
        <v>226</v>
      </c>
      <c r="EO38" s="145" t="s">
        <v>226</v>
      </c>
      <c r="EP38" s="145" t="s">
        <v>226</v>
      </c>
      <c r="EQ38" s="145" t="s">
        <v>226</v>
      </c>
      <c r="ER38" s="145" t="s">
        <v>226</v>
      </c>
      <c r="ES38" s="145" t="s">
        <v>226</v>
      </c>
      <c r="ET38" s="145" t="s">
        <v>226</v>
      </c>
      <c r="EU38" s="145" t="s">
        <v>226</v>
      </c>
      <c r="EV38" s="145" t="s">
        <v>226</v>
      </c>
      <c r="EW38" s="145" t="s">
        <v>226</v>
      </c>
      <c r="EX38" s="145" t="s">
        <v>226</v>
      </c>
      <c r="EY38" s="106" t="s">
        <v>226</v>
      </c>
      <c r="EZ38" s="145" t="s">
        <v>226</v>
      </c>
      <c r="FA38" s="145" t="s">
        <v>226</v>
      </c>
      <c r="FB38" s="106" t="s">
        <v>226</v>
      </c>
      <c r="FC38" s="145" t="s">
        <v>226</v>
      </c>
      <c r="FD38" s="145" t="s">
        <v>226</v>
      </c>
      <c r="FE38" s="155" t="s">
        <v>226</v>
      </c>
      <c r="FF38" s="155" t="s">
        <v>226</v>
      </c>
      <c r="FG38" s="155" t="s">
        <v>226</v>
      </c>
      <c r="FH38" s="155" t="s">
        <v>226</v>
      </c>
      <c r="FI38" s="155" t="s">
        <v>226</v>
      </c>
      <c r="FJ38" s="155" t="s">
        <v>226</v>
      </c>
      <c r="FK38" s="155" t="s">
        <v>226</v>
      </c>
      <c r="FL38" s="155" t="s">
        <v>226</v>
      </c>
      <c r="FM38" s="155" t="s">
        <v>226</v>
      </c>
      <c r="FN38" s="155" t="s">
        <v>226</v>
      </c>
      <c r="FO38" s="155" t="s">
        <v>226</v>
      </c>
      <c r="FP38" s="155" t="s">
        <v>226</v>
      </c>
      <c r="FQ38" s="155" t="s">
        <v>226</v>
      </c>
      <c r="FR38" s="155" t="s">
        <v>226</v>
      </c>
      <c r="FS38" s="155" t="s">
        <v>226</v>
      </c>
      <c r="FT38" s="155" t="s">
        <v>226</v>
      </c>
      <c r="FU38" s="155" t="s">
        <v>226</v>
      </c>
      <c r="FV38" s="155" t="s">
        <v>226</v>
      </c>
      <c r="FW38" s="155" t="s">
        <v>226</v>
      </c>
      <c r="FX38" s="155" t="s">
        <v>226</v>
      </c>
      <c r="FY38" s="155" t="s">
        <v>226</v>
      </c>
      <c r="FZ38" s="155" t="s">
        <v>226</v>
      </c>
      <c r="GA38" s="155" t="s">
        <v>226</v>
      </c>
      <c r="GB38" s="155" t="s">
        <v>226</v>
      </c>
      <c r="GC38" s="155" t="s">
        <v>226</v>
      </c>
      <c r="GD38" s="155" t="s">
        <v>226</v>
      </c>
      <c r="GE38" s="155" t="s">
        <v>226</v>
      </c>
      <c r="GF38" s="150" t="s">
        <v>256</v>
      </c>
      <c r="GG38" s="70" t="s">
        <v>226</v>
      </c>
      <c r="GH38" s="93" t="s">
        <v>226</v>
      </c>
      <c r="GI38" s="145" t="s">
        <v>226</v>
      </c>
      <c r="GJ38" s="70">
        <v>45985</v>
      </c>
      <c r="GK38" s="70">
        <v>45985</v>
      </c>
      <c r="GL38" s="70" t="s">
        <v>226</v>
      </c>
      <c r="GM38" s="159" t="str">
        <f t="shared" si="1"/>
        <v>N/A</v>
      </c>
      <c r="GN38" s="159" t="str">
        <f t="shared" si="2"/>
        <v>N/A</v>
      </c>
      <c r="GO38" s="159">
        <f t="shared" si="3"/>
        <v>2.0333333333333332</v>
      </c>
      <c r="GP38" s="159" t="str">
        <f t="shared" si="4"/>
        <v>N/A</v>
      </c>
      <c r="GQ38" s="159">
        <f t="shared" si="5"/>
        <v>2.0333333333333332</v>
      </c>
      <c r="GR38" s="159" t="str">
        <f t="shared" si="6"/>
        <v>N/A</v>
      </c>
      <c r="GS38" s="159" t="str">
        <f t="shared" si="7"/>
        <v>N/A</v>
      </c>
      <c r="GT38" s="159" t="str">
        <f t="shared" si="8"/>
        <v>N/A</v>
      </c>
      <c r="GU38" s="159" t="str">
        <f t="shared" si="9"/>
        <v>N/A</v>
      </c>
      <c r="GV38" s="159" t="str">
        <f t="shared" si="10"/>
        <v>N/A</v>
      </c>
      <c r="GW38" s="159">
        <f t="shared" si="11"/>
        <v>3.1666666666666665</v>
      </c>
      <c r="GX38" s="159">
        <f t="shared" si="12"/>
        <v>12.966666666666667</v>
      </c>
      <c r="GY38" s="159" t="str">
        <f t="shared" si="13"/>
        <v>N/A</v>
      </c>
      <c r="GZ38" s="159" t="str">
        <f t="shared" si="14"/>
        <v>N/A</v>
      </c>
      <c r="HA38" s="159" t="str">
        <f t="shared" si="15"/>
        <v>N/A</v>
      </c>
      <c r="HB38" s="159" t="str">
        <f t="shared" si="16"/>
        <v>N/A</v>
      </c>
      <c r="HC38" s="159" t="str">
        <f t="shared" si="17"/>
        <v>N/A</v>
      </c>
      <c r="HD38" s="159">
        <f t="shared" si="18"/>
        <v>46.333333333333336</v>
      </c>
      <c r="HE38" s="159">
        <f t="shared" si="19"/>
        <v>46.333333333333336</v>
      </c>
      <c r="HF38" s="160">
        <f t="shared" si="20"/>
        <v>46.333333333333336</v>
      </c>
      <c r="HG38" s="160" cm="1">
        <f t="array" ref="HG38">INDEX($HB38:$HD38,MATCH(TRUE,INDEX(ISNUMBER($HB38:$HD38),0),0))</f>
        <v>46.333333333333336</v>
      </c>
      <c r="HH38" s="161">
        <f t="shared" si="21"/>
        <v>0</v>
      </c>
      <c r="HI38" s="108">
        <f t="shared" si="22"/>
        <v>0</v>
      </c>
      <c r="HJ38" s="91">
        <f t="shared" si="23"/>
        <v>0</v>
      </c>
      <c r="HK38" s="205" t="str">
        <f t="shared" si="24"/>
        <v>0</v>
      </c>
    </row>
    <row r="39" spans="1:219" ht="15" customHeight="1" x14ac:dyDescent="0.3">
      <c r="A39" s="146">
        <v>6047820638</v>
      </c>
      <c r="B39" s="93" t="s">
        <v>221</v>
      </c>
      <c r="C39" s="93" t="s">
        <v>222</v>
      </c>
      <c r="D39" s="93" t="s">
        <v>221</v>
      </c>
      <c r="E39" s="145" t="s">
        <v>404</v>
      </c>
      <c r="F39" s="145" t="s">
        <v>269</v>
      </c>
      <c r="G39" s="145" t="s">
        <v>319</v>
      </c>
      <c r="H39" s="70">
        <v>44663</v>
      </c>
      <c r="I39" s="170" t="s">
        <v>320</v>
      </c>
      <c r="J39" s="148" t="s">
        <v>225</v>
      </c>
      <c r="K39" s="145" t="s">
        <v>226</v>
      </c>
      <c r="L39" s="145" t="s">
        <v>226</v>
      </c>
      <c r="M39" s="145" t="s">
        <v>226</v>
      </c>
      <c r="N39" s="145" t="s">
        <v>226</v>
      </c>
      <c r="O39" s="145" t="s">
        <v>226</v>
      </c>
      <c r="P39" s="70" t="s">
        <v>226</v>
      </c>
      <c r="Q39" s="93" t="s">
        <v>222</v>
      </c>
      <c r="R39" s="97" t="s">
        <v>226</v>
      </c>
      <c r="S39" s="97" t="s">
        <v>226</v>
      </c>
      <c r="T39" s="97" t="s">
        <v>226</v>
      </c>
      <c r="U39" s="97" t="s">
        <v>226</v>
      </c>
      <c r="V39" s="93" t="s">
        <v>226</v>
      </c>
      <c r="W39" s="97" t="s">
        <v>226</v>
      </c>
      <c r="X39" s="97" t="s">
        <v>226</v>
      </c>
      <c r="Y39" s="97" t="s">
        <v>226</v>
      </c>
      <c r="Z39" s="97" t="s">
        <v>226</v>
      </c>
      <c r="AA39" s="93" t="s">
        <v>226</v>
      </c>
      <c r="AB39" s="97" t="s">
        <v>226</v>
      </c>
      <c r="AC39" s="97" t="s">
        <v>226</v>
      </c>
      <c r="AD39" s="97" t="s">
        <v>226</v>
      </c>
      <c r="AE39" s="97" t="s">
        <v>226</v>
      </c>
      <c r="AF39" s="93" t="s">
        <v>226</v>
      </c>
      <c r="AG39" s="97" t="s">
        <v>226</v>
      </c>
      <c r="AH39" s="97" t="s">
        <v>226</v>
      </c>
      <c r="AI39" s="97" t="s">
        <v>226</v>
      </c>
      <c r="AJ39" s="97" t="s">
        <v>226</v>
      </c>
      <c r="AK39" s="93" t="s">
        <v>226</v>
      </c>
      <c r="AL39" s="97" t="s">
        <v>226</v>
      </c>
      <c r="AM39" s="97" t="s">
        <v>226</v>
      </c>
      <c r="AN39" s="97" t="s">
        <v>226</v>
      </c>
      <c r="AO39" s="97" t="s">
        <v>226</v>
      </c>
      <c r="AP39" s="93" t="s">
        <v>226</v>
      </c>
      <c r="AQ39" s="106" t="s">
        <v>227</v>
      </c>
      <c r="AR39" s="69">
        <v>17675</v>
      </c>
      <c r="AS39" s="70">
        <v>44609</v>
      </c>
      <c r="AT39" s="149">
        <f t="shared" si="0"/>
        <v>73</v>
      </c>
      <c r="AU39" s="147" t="s">
        <v>228</v>
      </c>
      <c r="AV39" s="93" t="s">
        <v>229</v>
      </c>
      <c r="AW39" s="93" t="s">
        <v>221</v>
      </c>
      <c r="AX39" s="150" t="s">
        <v>231</v>
      </c>
      <c r="AY39" s="151" t="s">
        <v>232</v>
      </c>
      <c r="AZ39" s="150" t="s">
        <v>232</v>
      </c>
      <c r="BA39" s="150">
        <v>0</v>
      </c>
      <c r="BB39" s="93" t="s">
        <v>233</v>
      </c>
      <c r="BC39" s="152">
        <v>2</v>
      </c>
      <c r="BD39" s="153" t="s">
        <v>234</v>
      </c>
      <c r="BE39" s="93" t="s">
        <v>235</v>
      </c>
      <c r="BF39" s="153" t="s">
        <v>221</v>
      </c>
      <c r="BG39" s="154" t="s">
        <v>226</v>
      </c>
      <c r="BH39" s="155" t="s">
        <v>226</v>
      </c>
      <c r="BI39" s="155" t="s">
        <v>226</v>
      </c>
      <c r="BJ39" s="155" t="s">
        <v>226</v>
      </c>
      <c r="BK39" s="155" t="s">
        <v>226</v>
      </c>
      <c r="BL39" s="155" t="s">
        <v>226</v>
      </c>
      <c r="BM39" s="155" t="s">
        <v>226</v>
      </c>
      <c r="BN39" s="155" t="s">
        <v>226</v>
      </c>
      <c r="BO39" s="155" t="s">
        <v>226</v>
      </c>
      <c r="BP39" s="155" t="s">
        <v>226</v>
      </c>
      <c r="BQ39" s="155" t="s">
        <v>226</v>
      </c>
      <c r="BR39" s="155" t="s">
        <v>226</v>
      </c>
      <c r="BS39" s="155" t="s">
        <v>226</v>
      </c>
      <c r="BT39" s="155" t="s">
        <v>226</v>
      </c>
      <c r="BU39" s="155" t="s">
        <v>226</v>
      </c>
      <c r="BV39" s="155" t="s">
        <v>226</v>
      </c>
      <c r="BW39" s="155" t="s">
        <v>226</v>
      </c>
      <c r="BX39" s="155" t="s">
        <v>226</v>
      </c>
      <c r="BY39" s="155" t="s">
        <v>226</v>
      </c>
      <c r="BZ39" s="155" t="s">
        <v>226</v>
      </c>
      <c r="CA39" s="155" t="s">
        <v>226</v>
      </c>
      <c r="CB39" s="155" t="s">
        <v>226</v>
      </c>
      <c r="CC39" s="155" t="s">
        <v>226</v>
      </c>
      <c r="CD39" s="155" t="s">
        <v>226</v>
      </c>
      <c r="CE39" s="155" t="s">
        <v>226</v>
      </c>
      <c r="CF39" s="155" t="s">
        <v>226</v>
      </c>
      <c r="CG39" s="155" t="s">
        <v>226</v>
      </c>
      <c r="CH39" s="155" t="s">
        <v>226</v>
      </c>
      <c r="CI39" s="155" t="s">
        <v>226</v>
      </c>
      <c r="CJ39" s="155" t="s">
        <v>226</v>
      </c>
      <c r="CK39" s="155" t="s">
        <v>226</v>
      </c>
      <c r="CL39" s="155" t="s">
        <v>226</v>
      </c>
      <c r="CM39" s="155" t="s">
        <v>226</v>
      </c>
      <c r="CN39" s="106" t="s">
        <v>226</v>
      </c>
      <c r="CO39" s="145" t="s">
        <v>226</v>
      </c>
      <c r="CP39" s="145" t="s">
        <v>226</v>
      </c>
      <c r="CQ39" s="145" t="s">
        <v>226</v>
      </c>
      <c r="CR39" s="145" t="s">
        <v>226</v>
      </c>
      <c r="CS39" s="145" t="s">
        <v>226</v>
      </c>
      <c r="CT39" s="145" t="s">
        <v>226</v>
      </c>
      <c r="CU39" s="145" t="s">
        <v>226</v>
      </c>
      <c r="CV39" s="145" t="s">
        <v>226</v>
      </c>
      <c r="CW39" s="145" t="s">
        <v>226</v>
      </c>
      <c r="CX39" s="145" t="s">
        <v>226</v>
      </c>
      <c r="CY39" s="155" t="s">
        <v>226</v>
      </c>
      <c r="CZ39" s="155" t="s">
        <v>226</v>
      </c>
      <c r="DA39" s="155" t="s">
        <v>226</v>
      </c>
      <c r="DB39" s="155" t="s">
        <v>226</v>
      </c>
      <c r="DC39" s="155" t="s">
        <v>226</v>
      </c>
      <c r="DD39" s="155" t="s">
        <v>226</v>
      </c>
      <c r="DE39" s="155" t="s">
        <v>226</v>
      </c>
      <c r="DF39" s="155" t="s">
        <v>226</v>
      </c>
      <c r="DG39" s="155" t="s">
        <v>226</v>
      </c>
      <c r="DH39" s="155" t="s">
        <v>226</v>
      </c>
      <c r="DI39" s="155" t="s">
        <v>226</v>
      </c>
      <c r="DJ39" s="155" t="s">
        <v>226</v>
      </c>
      <c r="DK39" s="155" t="s">
        <v>226</v>
      </c>
      <c r="DL39" s="155" t="s">
        <v>226</v>
      </c>
      <c r="DM39" s="155" t="s">
        <v>226</v>
      </c>
      <c r="DN39" s="155" t="s">
        <v>226</v>
      </c>
      <c r="DO39" s="155" t="s">
        <v>226</v>
      </c>
      <c r="DP39" s="155" t="s">
        <v>226</v>
      </c>
      <c r="DQ39" s="155" t="s">
        <v>226</v>
      </c>
      <c r="DR39" s="155" t="s">
        <v>226</v>
      </c>
      <c r="DS39" s="155" t="s">
        <v>226</v>
      </c>
      <c r="DT39" s="155" t="s">
        <v>226</v>
      </c>
      <c r="DU39" s="155" t="s">
        <v>226</v>
      </c>
      <c r="DV39" s="155" t="s">
        <v>226</v>
      </c>
      <c r="DW39" s="155" t="s">
        <v>226</v>
      </c>
      <c r="DX39" s="155" t="s">
        <v>226</v>
      </c>
      <c r="DY39" s="155" t="s">
        <v>226</v>
      </c>
      <c r="DZ39" s="155" t="s">
        <v>226</v>
      </c>
      <c r="EA39" s="155" t="s">
        <v>226</v>
      </c>
      <c r="EB39" s="155" t="s">
        <v>226</v>
      </c>
      <c r="EC39" s="155" t="s">
        <v>226</v>
      </c>
      <c r="ED39" s="155" t="s">
        <v>226</v>
      </c>
      <c r="EE39" s="155" t="s">
        <v>226</v>
      </c>
      <c r="EF39" s="155" t="s">
        <v>226</v>
      </c>
      <c r="EG39" s="155" t="s">
        <v>226</v>
      </c>
      <c r="EH39" s="155" t="s">
        <v>226</v>
      </c>
      <c r="EI39" s="70">
        <v>44788</v>
      </c>
      <c r="EJ39" s="145" t="s">
        <v>309</v>
      </c>
      <c r="EK39" s="106" t="s">
        <v>247</v>
      </c>
      <c r="EL39" s="145" t="s">
        <v>405</v>
      </c>
      <c r="EM39" s="70">
        <v>44853</v>
      </c>
      <c r="EN39" s="70">
        <v>44901</v>
      </c>
      <c r="EO39" s="145" t="s">
        <v>294</v>
      </c>
      <c r="EP39" s="106" t="s">
        <v>247</v>
      </c>
      <c r="EQ39" s="145" t="s">
        <v>406</v>
      </c>
      <c r="ER39" s="145" t="s">
        <v>294</v>
      </c>
      <c r="ES39" s="106" t="s">
        <v>277</v>
      </c>
      <c r="ET39" s="145" t="s">
        <v>407</v>
      </c>
      <c r="EU39" s="145" t="s">
        <v>369</v>
      </c>
      <c r="EV39" s="106" t="s">
        <v>226</v>
      </c>
      <c r="EW39" s="145" t="s">
        <v>226</v>
      </c>
      <c r="EX39" s="145" t="s">
        <v>226</v>
      </c>
      <c r="EY39" s="106" t="s">
        <v>226</v>
      </c>
      <c r="EZ39" s="145" t="s">
        <v>226</v>
      </c>
      <c r="FA39" s="145" t="s">
        <v>226</v>
      </c>
      <c r="FB39" s="106" t="s">
        <v>226</v>
      </c>
      <c r="FC39" s="145" t="s">
        <v>226</v>
      </c>
      <c r="FD39" s="145" t="s">
        <v>226</v>
      </c>
      <c r="FE39" s="155" t="s">
        <v>226</v>
      </c>
      <c r="FF39" s="155" t="s">
        <v>226</v>
      </c>
      <c r="FG39" s="155" t="s">
        <v>226</v>
      </c>
      <c r="FH39" s="155" t="s">
        <v>226</v>
      </c>
      <c r="FI39" s="155" t="s">
        <v>226</v>
      </c>
      <c r="FJ39" s="155" t="s">
        <v>226</v>
      </c>
      <c r="FK39" s="155" t="s">
        <v>226</v>
      </c>
      <c r="FL39" s="155" t="s">
        <v>226</v>
      </c>
      <c r="FM39" s="155" t="s">
        <v>226</v>
      </c>
      <c r="FN39" s="155" t="s">
        <v>226</v>
      </c>
      <c r="FO39" s="155" t="s">
        <v>226</v>
      </c>
      <c r="FP39" s="155" t="s">
        <v>226</v>
      </c>
      <c r="FQ39" s="155" t="s">
        <v>226</v>
      </c>
      <c r="FR39" s="155" t="s">
        <v>226</v>
      </c>
      <c r="FS39" s="155" t="s">
        <v>226</v>
      </c>
      <c r="FT39" s="155" t="s">
        <v>226</v>
      </c>
      <c r="FU39" s="155" t="s">
        <v>226</v>
      </c>
      <c r="FV39" s="155" t="s">
        <v>226</v>
      </c>
      <c r="FW39" s="155" t="s">
        <v>226</v>
      </c>
      <c r="FX39" s="155" t="s">
        <v>226</v>
      </c>
      <c r="FY39" s="155" t="s">
        <v>226</v>
      </c>
      <c r="FZ39" s="155" t="s">
        <v>226</v>
      </c>
      <c r="GA39" s="155" t="s">
        <v>226</v>
      </c>
      <c r="GB39" s="155" t="s">
        <v>226</v>
      </c>
      <c r="GC39" s="155" t="s">
        <v>226</v>
      </c>
      <c r="GD39" s="155" t="s">
        <v>226</v>
      </c>
      <c r="GE39" s="155" t="s">
        <v>226</v>
      </c>
      <c r="GF39" s="150" t="s">
        <v>256</v>
      </c>
      <c r="GG39" s="70" t="s">
        <v>226</v>
      </c>
      <c r="GH39" s="93" t="s">
        <v>226</v>
      </c>
      <c r="GI39" s="145" t="s">
        <v>226</v>
      </c>
      <c r="GJ39" s="70">
        <v>45904</v>
      </c>
      <c r="GK39" s="70">
        <v>45975</v>
      </c>
      <c r="GL39" s="70" t="s">
        <v>226</v>
      </c>
      <c r="GM39" s="159" t="str">
        <f t="shared" si="1"/>
        <v>N/A</v>
      </c>
      <c r="GN39" s="159" t="str">
        <f t="shared" si="2"/>
        <v>N/A</v>
      </c>
      <c r="GO39" s="159">
        <f t="shared" si="3"/>
        <v>1.8</v>
      </c>
      <c r="GP39" s="159" t="str">
        <f t="shared" si="4"/>
        <v>N/A</v>
      </c>
      <c r="GQ39" s="159" t="str">
        <f t="shared" si="5"/>
        <v>N/A</v>
      </c>
      <c r="GR39" s="159" t="str">
        <f t="shared" si="6"/>
        <v>N/A</v>
      </c>
      <c r="GS39" s="159" t="str">
        <f t="shared" si="7"/>
        <v>N/A</v>
      </c>
      <c r="GT39" s="159" t="str">
        <f t="shared" si="8"/>
        <v>N/A</v>
      </c>
      <c r="GU39" s="159" t="str">
        <f t="shared" si="9"/>
        <v>N/A</v>
      </c>
      <c r="GV39" s="159" t="str">
        <f t="shared" si="10"/>
        <v>N/A</v>
      </c>
      <c r="GW39" s="159" t="str">
        <f t="shared" si="11"/>
        <v>N/A</v>
      </c>
      <c r="GX39" s="159" t="str">
        <f t="shared" si="12"/>
        <v>N/A</v>
      </c>
      <c r="GY39" s="159">
        <f t="shared" si="13"/>
        <v>5.9666666666666668</v>
      </c>
      <c r="GZ39" s="159">
        <f t="shared" si="14"/>
        <v>8.1333333333333329</v>
      </c>
      <c r="HA39" s="159">
        <f t="shared" si="15"/>
        <v>9.7333333333333325</v>
      </c>
      <c r="HB39" s="159">
        <f t="shared" si="16"/>
        <v>5.9666666666666668</v>
      </c>
      <c r="HC39" s="159" t="str">
        <f t="shared" si="17"/>
        <v>N/A</v>
      </c>
      <c r="HD39" s="159">
        <f t="shared" si="18"/>
        <v>43.166666666666664</v>
      </c>
      <c r="HE39" s="159">
        <f t="shared" si="19"/>
        <v>45.533333333333331</v>
      </c>
      <c r="HF39" s="160">
        <f t="shared" si="20"/>
        <v>45.533333333333331</v>
      </c>
      <c r="HG39" s="160" cm="1">
        <f t="array" ref="HG39">INDEX($HB39:$HD39,MATCH(TRUE,INDEX(ISNUMBER($HB39:$HD39),0),0))</f>
        <v>5.9666666666666668</v>
      </c>
      <c r="HH39" s="161">
        <f t="shared" si="21"/>
        <v>1</v>
      </c>
      <c r="HI39" s="108">
        <f t="shared" si="22"/>
        <v>0</v>
      </c>
      <c r="HJ39" s="91">
        <f t="shared" si="23"/>
        <v>0</v>
      </c>
      <c r="HK39" s="205" t="str">
        <f t="shared" si="24"/>
        <v>1</v>
      </c>
    </row>
    <row r="40" spans="1:219" ht="15" customHeight="1" x14ac:dyDescent="0.3">
      <c r="A40" s="146">
        <v>4382148243</v>
      </c>
      <c r="B40" s="93" t="s">
        <v>221</v>
      </c>
      <c r="C40" s="93" t="s">
        <v>222</v>
      </c>
      <c r="D40" s="93" t="s">
        <v>221</v>
      </c>
      <c r="E40" s="145" t="s">
        <v>408</v>
      </c>
      <c r="F40" s="145" t="s">
        <v>240</v>
      </c>
      <c r="G40" s="145" t="s">
        <v>226</v>
      </c>
      <c r="H40" s="70">
        <v>44726</v>
      </c>
      <c r="I40" s="170" t="s">
        <v>320</v>
      </c>
      <c r="J40" s="148" t="s">
        <v>225</v>
      </c>
      <c r="K40" s="145" t="s">
        <v>226</v>
      </c>
      <c r="L40" s="145" t="s">
        <v>226</v>
      </c>
      <c r="M40" s="145" t="s">
        <v>226</v>
      </c>
      <c r="N40" s="145" t="s">
        <v>226</v>
      </c>
      <c r="O40" s="145" t="s">
        <v>226</v>
      </c>
      <c r="P40" s="70" t="s">
        <v>226</v>
      </c>
      <c r="Q40" s="93" t="s">
        <v>222</v>
      </c>
      <c r="R40" s="97" t="s">
        <v>226</v>
      </c>
      <c r="S40" s="97" t="s">
        <v>226</v>
      </c>
      <c r="T40" s="97" t="s">
        <v>226</v>
      </c>
      <c r="U40" s="97" t="s">
        <v>226</v>
      </c>
      <c r="V40" s="93" t="s">
        <v>226</v>
      </c>
      <c r="W40" s="97" t="s">
        <v>226</v>
      </c>
      <c r="X40" s="97" t="s">
        <v>226</v>
      </c>
      <c r="Y40" s="97" t="s">
        <v>226</v>
      </c>
      <c r="Z40" s="97" t="s">
        <v>226</v>
      </c>
      <c r="AA40" s="93" t="s">
        <v>226</v>
      </c>
      <c r="AB40" s="97" t="s">
        <v>226</v>
      </c>
      <c r="AC40" s="97" t="s">
        <v>226</v>
      </c>
      <c r="AD40" s="97" t="s">
        <v>226</v>
      </c>
      <c r="AE40" s="97" t="s">
        <v>226</v>
      </c>
      <c r="AF40" s="93" t="s">
        <v>226</v>
      </c>
      <c r="AG40" s="97" t="s">
        <v>226</v>
      </c>
      <c r="AH40" s="97" t="s">
        <v>226</v>
      </c>
      <c r="AI40" s="97" t="s">
        <v>226</v>
      </c>
      <c r="AJ40" s="97" t="s">
        <v>226</v>
      </c>
      <c r="AK40" s="93" t="s">
        <v>226</v>
      </c>
      <c r="AL40" s="97" t="s">
        <v>226</v>
      </c>
      <c r="AM40" s="97" t="s">
        <v>226</v>
      </c>
      <c r="AN40" s="97" t="s">
        <v>226</v>
      </c>
      <c r="AO40" s="97" t="s">
        <v>226</v>
      </c>
      <c r="AP40" s="93" t="s">
        <v>226</v>
      </c>
      <c r="AQ40" s="106" t="s">
        <v>227</v>
      </c>
      <c r="AR40" s="69">
        <v>17259</v>
      </c>
      <c r="AS40" s="70">
        <v>44726</v>
      </c>
      <c r="AT40" s="149">
        <f t="shared" si="0"/>
        <v>75</v>
      </c>
      <c r="AU40" s="147" t="s">
        <v>228</v>
      </c>
      <c r="AV40" s="93" t="s">
        <v>229</v>
      </c>
      <c r="AW40" s="93" t="s">
        <v>230</v>
      </c>
      <c r="AX40" s="150">
        <v>2</v>
      </c>
      <c r="AY40" s="151" t="s">
        <v>232</v>
      </c>
      <c r="AZ40" s="150" t="s">
        <v>232</v>
      </c>
      <c r="BA40" s="150">
        <v>0</v>
      </c>
      <c r="BB40" s="93" t="s">
        <v>253</v>
      </c>
      <c r="BC40" s="152">
        <v>1</v>
      </c>
      <c r="BD40" s="153" t="s">
        <v>234</v>
      </c>
      <c r="BE40" s="93" t="s">
        <v>254</v>
      </c>
      <c r="BF40" s="153" t="s">
        <v>221</v>
      </c>
      <c r="BG40" s="154" t="s">
        <v>226</v>
      </c>
      <c r="BH40" s="155" t="s">
        <v>226</v>
      </c>
      <c r="BI40" s="155" t="s">
        <v>226</v>
      </c>
      <c r="BJ40" s="155" t="s">
        <v>226</v>
      </c>
      <c r="BK40" s="155" t="s">
        <v>226</v>
      </c>
      <c r="BL40" s="155" t="s">
        <v>226</v>
      </c>
      <c r="BM40" s="155" t="s">
        <v>226</v>
      </c>
      <c r="BN40" s="155" t="s">
        <v>226</v>
      </c>
      <c r="BO40" s="155" t="s">
        <v>226</v>
      </c>
      <c r="BP40" s="155" t="s">
        <v>226</v>
      </c>
      <c r="BQ40" s="155" t="s">
        <v>226</v>
      </c>
      <c r="BR40" s="155" t="s">
        <v>226</v>
      </c>
      <c r="BS40" s="155" t="s">
        <v>226</v>
      </c>
      <c r="BT40" s="155" t="s">
        <v>226</v>
      </c>
      <c r="BU40" s="155" t="s">
        <v>226</v>
      </c>
      <c r="BV40" s="155" t="s">
        <v>226</v>
      </c>
      <c r="BW40" s="155" t="s">
        <v>226</v>
      </c>
      <c r="BX40" s="155" t="s">
        <v>226</v>
      </c>
      <c r="BY40" s="155" t="s">
        <v>226</v>
      </c>
      <c r="BZ40" s="155" t="s">
        <v>226</v>
      </c>
      <c r="CA40" s="155" t="s">
        <v>226</v>
      </c>
      <c r="CB40" s="155" t="s">
        <v>226</v>
      </c>
      <c r="CC40" s="155" t="s">
        <v>226</v>
      </c>
      <c r="CD40" s="155" t="s">
        <v>226</v>
      </c>
      <c r="CE40" s="155" t="s">
        <v>226</v>
      </c>
      <c r="CF40" s="155" t="s">
        <v>226</v>
      </c>
      <c r="CG40" s="155" t="s">
        <v>226</v>
      </c>
      <c r="CH40" s="155" t="s">
        <v>226</v>
      </c>
      <c r="CI40" s="155" t="s">
        <v>226</v>
      </c>
      <c r="CJ40" s="155" t="s">
        <v>226</v>
      </c>
      <c r="CK40" s="155" t="s">
        <v>226</v>
      </c>
      <c r="CL40" s="155" t="s">
        <v>226</v>
      </c>
      <c r="CM40" s="155" t="s">
        <v>226</v>
      </c>
      <c r="CN40" s="106" t="s">
        <v>247</v>
      </c>
      <c r="CO40" s="145" t="s">
        <v>321</v>
      </c>
      <c r="CP40" s="70">
        <v>44788</v>
      </c>
      <c r="CQ40" s="70">
        <v>44795</v>
      </c>
      <c r="CR40" s="145" t="s">
        <v>226</v>
      </c>
      <c r="CS40" s="106" t="s">
        <v>226</v>
      </c>
      <c r="CT40" s="145" t="s">
        <v>226</v>
      </c>
      <c r="CU40" s="145" t="s">
        <v>226</v>
      </c>
      <c r="CV40" s="106" t="s">
        <v>226</v>
      </c>
      <c r="CW40" s="145" t="s">
        <v>226</v>
      </c>
      <c r="CX40" s="145" t="s">
        <v>226</v>
      </c>
      <c r="CY40" s="155" t="s">
        <v>226</v>
      </c>
      <c r="CZ40" s="155" t="s">
        <v>226</v>
      </c>
      <c r="DA40" s="155" t="s">
        <v>226</v>
      </c>
      <c r="DB40" s="155" t="s">
        <v>226</v>
      </c>
      <c r="DC40" s="155" t="s">
        <v>226</v>
      </c>
      <c r="DD40" s="155" t="s">
        <v>226</v>
      </c>
      <c r="DE40" s="155" t="s">
        <v>226</v>
      </c>
      <c r="DF40" s="155" t="s">
        <v>226</v>
      </c>
      <c r="DG40" s="155" t="s">
        <v>226</v>
      </c>
      <c r="DH40" s="155" t="s">
        <v>226</v>
      </c>
      <c r="DI40" s="155" t="s">
        <v>226</v>
      </c>
      <c r="DJ40" s="155" t="s">
        <v>226</v>
      </c>
      <c r="DK40" s="155" t="s">
        <v>226</v>
      </c>
      <c r="DL40" s="155" t="s">
        <v>226</v>
      </c>
      <c r="DM40" s="155" t="s">
        <v>226</v>
      </c>
      <c r="DN40" s="155" t="s">
        <v>226</v>
      </c>
      <c r="DO40" s="155" t="s">
        <v>226</v>
      </c>
      <c r="DP40" s="155" t="s">
        <v>226</v>
      </c>
      <c r="DQ40" s="155" t="s">
        <v>226</v>
      </c>
      <c r="DR40" s="155" t="s">
        <v>226</v>
      </c>
      <c r="DS40" s="155" t="s">
        <v>226</v>
      </c>
      <c r="DT40" s="155" t="s">
        <v>226</v>
      </c>
      <c r="DU40" s="155" t="s">
        <v>226</v>
      </c>
      <c r="DV40" s="155" t="s">
        <v>226</v>
      </c>
      <c r="DW40" s="155" t="s">
        <v>226</v>
      </c>
      <c r="DX40" s="155" t="s">
        <v>226</v>
      </c>
      <c r="DY40" s="155" t="s">
        <v>226</v>
      </c>
      <c r="DZ40" s="155" t="s">
        <v>226</v>
      </c>
      <c r="EA40" s="155" t="s">
        <v>226</v>
      </c>
      <c r="EB40" s="155" t="s">
        <v>226</v>
      </c>
      <c r="EC40" s="155" t="s">
        <v>226</v>
      </c>
      <c r="ED40" s="155" t="s">
        <v>226</v>
      </c>
      <c r="EE40" s="155" t="s">
        <v>226</v>
      </c>
      <c r="EF40" s="155" t="s">
        <v>226</v>
      </c>
      <c r="EG40" s="155" t="s">
        <v>226</v>
      </c>
      <c r="EH40" s="155" t="s">
        <v>226</v>
      </c>
      <c r="EI40" s="70">
        <v>45586</v>
      </c>
      <c r="EJ40" s="145" t="s">
        <v>309</v>
      </c>
      <c r="EK40" s="106" t="s">
        <v>277</v>
      </c>
      <c r="EL40" s="145" t="s">
        <v>409</v>
      </c>
      <c r="EM40" s="70">
        <v>45635</v>
      </c>
      <c r="EN40" s="70">
        <v>45719</v>
      </c>
      <c r="EO40" s="145" t="s">
        <v>279</v>
      </c>
      <c r="EP40" s="106" t="s">
        <v>247</v>
      </c>
      <c r="EQ40" s="145" t="s">
        <v>342</v>
      </c>
      <c r="ER40" s="145" t="s">
        <v>279</v>
      </c>
      <c r="ES40" s="106" t="s">
        <v>277</v>
      </c>
      <c r="ET40" s="145" t="s">
        <v>410</v>
      </c>
      <c r="EU40" s="145" t="s">
        <v>279</v>
      </c>
      <c r="EV40" s="106" t="s">
        <v>226</v>
      </c>
      <c r="EW40" s="145" t="s">
        <v>226</v>
      </c>
      <c r="EX40" s="145" t="s">
        <v>226</v>
      </c>
      <c r="EY40" s="106" t="s">
        <v>226</v>
      </c>
      <c r="EZ40" s="145" t="s">
        <v>226</v>
      </c>
      <c r="FA40" s="145" t="s">
        <v>226</v>
      </c>
      <c r="FB40" s="106" t="s">
        <v>226</v>
      </c>
      <c r="FC40" s="145" t="s">
        <v>226</v>
      </c>
      <c r="FD40" s="145" t="s">
        <v>226</v>
      </c>
      <c r="FE40" s="155" t="s">
        <v>226</v>
      </c>
      <c r="FF40" s="155" t="s">
        <v>226</v>
      </c>
      <c r="FG40" s="155" t="s">
        <v>226</v>
      </c>
      <c r="FH40" s="155" t="s">
        <v>226</v>
      </c>
      <c r="FI40" s="155" t="s">
        <v>226</v>
      </c>
      <c r="FJ40" s="155" t="s">
        <v>226</v>
      </c>
      <c r="FK40" s="155" t="s">
        <v>226</v>
      </c>
      <c r="FL40" s="155" t="s">
        <v>226</v>
      </c>
      <c r="FM40" s="155" t="s">
        <v>226</v>
      </c>
      <c r="FN40" s="155" t="s">
        <v>226</v>
      </c>
      <c r="FO40" s="155" t="s">
        <v>226</v>
      </c>
      <c r="FP40" s="155" t="s">
        <v>226</v>
      </c>
      <c r="FQ40" s="155" t="s">
        <v>226</v>
      </c>
      <c r="FR40" s="155" t="s">
        <v>226</v>
      </c>
      <c r="FS40" s="155" t="s">
        <v>226</v>
      </c>
      <c r="FT40" s="155" t="s">
        <v>226</v>
      </c>
      <c r="FU40" s="155" t="s">
        <v>226</v>
      </c>
      <c r="FV40" s="155" t="s">
        <v>226</v>
      </c>
      <c r="FW40" s="155" t="s">
        <v>226</v>
      </c>
      <c r="FX40" s="155" t="s">
        <v>226</v>
      </c>
      <c r="FY40" s="155" t="s">
        <v>226</v>
      </c>
      <c r="FZ40" s="155" t="s">
        <v>226</v>
      </c>
      <c r="GA40" s="155" t="s">
        <v>226</v>
      </c>
      <c r="GB40" s="155" t="s">
        <v>226</v>
      </c>
      <c r="GC40" s="155" t="s">
        <v>226</v>
      </c>
      <c r="GD40" s="155" t="s">
        <v>226</v>
      </c>
      <c r="GE40" s="155" t="s">
        <v>226</v>
      </c>
      <c r="GF40" s="150" t="s">
        <v>237</v>
      </c>
      <c r="GG40" s="70">
        <v>45917</v>
      </c>
      <c r="GH40" s="93" t="s">
        <v>230</v>
      </c>
      <c r="GI40" s="145" t="s">
        <v>312</v>
      </c>
      <c r="GJ40" s="70">
        <v>45903</v>
      </c>
      <c r="GK40" s="70" t="s">
        <v>226</v>
      </c>
      <c r="GL40" s="70" t="s">
        <v>226</v>
      </c>
      <c r="GM40" s="159" t="str">
        <f t="shared" si="1"/>
        <v>N/A</v>
      </c>
      <c r="GN40" s="159" t="str">
        <f t="shared" si="2"/>
        <v>N/A</v>
      </c>
      <c r="GO40" s="159">
        <f t="shared" si="3"/>
        <v>0</v>
      </c>
      <c r="GP40" s="159" t="str">
        <f t="shared" si="4"/>
        <v>N/A</v>
      </c>
      <c r="GQ40" s="159" t="str">
        <f t="shared" si="5"/>
        <v>N/A</v>
      </c>
      <c r="GR40" s="159" t="str">
        <f t="shared" si="6"/>
        <v>N/A</v>
      </c>
      <c r="GS40" s="159" t="str">
        <f t="shared" si="7"/>
        <v>N/A</v>
      </c>
      <c r="GT40" s="159" t="str">
        <f t="shared" si="8"/>
        <v>N/A</v>
      </c>
      <c r="GU40" s="159" t="str">
        <f t="shared" si="9"/>
        <v>N/A</v>
      </c>
      <c r="GV40" s="159" t="str">
        <f t="shared" si="10"/>
        <v>N/A</v>
      </c>
      <c r="GW40" s="159">
        <f t="shared" si="11"/>
        <v>2.0666666666666669</v>
      </c>
      <c r="GX40" s="159">
        <f t="shared" si="12"/>
        <v>2.2999999999999998</v>
      </c>
      <c r="GY40" s="159">
        <f t="shared" si="13"/>
        <v>28.666666666666668</v>
      </c>
      <c r="GZ40" s="159">
        <f t="shared" si="14"/>
        <v>30.3</v>
      </c>
      <c r="HA40" s="159">
        <f t="shared" si="15"/>
        <v>33.1</v>
      </c>
      <c r="HB40" s="159">
        <f t="shared" si="16"/>
        <v>28.666666666666668</v>
      </c>
      <c r="HC40" s="159">
        <f t="shared" si="17"/>
        <v>39.700000000000003</v>
      </c>
      <c r="HD40" s="159">
        <f t="shared" si="18"/>
        <v>39.233333333333334</v>
      </c>
      <c r="HE40" s="159" t="str">
        <f t="shared" si="19"/>
        <v>N/A</v>
      </c>
      <c r="HF40" s="160">
        <f t="shared" si="20"/>
        <v>39.700000000000003</v>
      </c>
      <c r="HG40" s="160" cm="1">
        <f t="array" ref="HG40">INDEX($HB40:$HD40,MATCH(TRUE,INDEX(ISNUMBER($HB40:$HD40),0),0))</f>
        <v>28.666666666666668</v>
      </c>
      <c r="HH40" s="161">
        <f t="shared" si="21"/>
        <v>1</v>
      </c>
      <c r="HI40" s="108">
        <f t="shared" si="22"/>
        <v>1</v>
      </c>
      <c r="HJ40" s="91">
        <f t="shared" si="23"/>
        <v>1</v>
      </c>
      <c r="HK40" s="205" t="str">
        <f t="shared" si="24"/>
        <v>1</v>
      </c>
    </row>
    <row r="41" spans="1:219" ht="15" customHeight="1" x14ac:dyDescent="0.3">
      <c r="A41" s="146">
        <v>4300610517</v>
      </c>
      <c r="B41" s="93" t="s">
        <v>221</v>
      </c>
      <c r="C41" s="93" t="s">
        <v>222</v>
      </c>
      <c r="D41" s="93" t="s">
        <v>221</v>
      </c>
      <c r="E41" s="145" t="s">
        <v>411</v>
      </c>
      <c r="F41" s="145" t="s">
        <v>412</v>
      </c>
      <c r="G41" s="145" t="s">
        <v>226</v>
      </c>
      <c r="H41" s="70">
        <v>44784</v>
      </c>
      <c r="I41" s="170" t="s">
        <v>320</v>
      </c>
      <c r="J41" s="148" t="s">
        <v>225</v>
      </c>
      <c r="K41" s="145" t="s">
        <v>226</v>
      </c>
      <c r="L41" s="145" t="s">
        <v>226</v>
      </c>
      <c r="M41" s="145" t="s">
        <v>226</v>
      </c>
      <c r="N41" s="145" t="s">
        <v>226</v>
      </c>
      <c r="O41" s="145" t="s">
        <v>226</v>
      </c>
      <c r="P41" s="70" t="s">
        <v>226</v>
      </c>
      <c r="Q41" s="93" t="s">
        <v>222</v>
      </c>
      <c r="R41" s="97" t="s">
        <v>226</v>
      </c>
      <c r="S41" s="97" t="s">
        <v>226</v>
      </c>
      <c r="T41" s="97" t="s">
        <v>226</v>
      </c>
      <c r="U41" s="97" t="s">
        <v>226</v>
      </c>
      <c r="V41" s="93" t="s">
        <v>226</v>
      </c>
      <c r="W41" s="97" t="s">
        <v>226</v>
      </c>
      <c r="X41" s="97" t="s">
        <v>226</v>
      </c>
      <c r="Y41" s="97" t="s">
        <v>226</v>
      </c>
      <c r="Z41" s="97" t="s">
        <v>226</v>
      </c>
      <c r="AA41" s="93" t="s">
        <v>226</v>
      </c>
      <c r="AB41" s="97" t="s">
        <v>226</v>
      </c>
      <c r="AC41" s="97" t="s">
        <v>226</v>
      </c>
      <c r="AD41" s="97" t="s">
        <v>226</v>
      </c>
      <c r="AE41" s="97" t="s">
        <v>226</v>
      </c>
      <c r="AF41" s="93" t="s">
        <v>226</v>
      </c>
      <c r="AG41" s="97" t="s">
        <v>226</v>
      </c>
      <c r="AH41" s="97" t="s">
        <v>226</v>
      </c>
      <c r="AI41" s="97" t="s">
        <v>226</v>
      </c>
      <c r="AJ41" s="97" t="s">
        <v>226</v>
      </c>
      <c r="AK41" s="93" t="s">
        <v>226</v>
      </c>
      <c r="AL41" s="97" t="s">
        <v>226</v>
      </c>
      <c r="AM41" s="97" t="s">
        <v>226</v>
      </c>
      <c r="AN41" s="97" t="s">
        <v>226</v>
      </c>
      <c r="AO41" s="97" t="s">
        <v>226</v>
      </c>
      <c r="AP41" s="93" t="s">
        <v>226</v>
      </c>
      <c r="AQ41" s="106" t="s">
        <v>227</v>
      </c>
      <c r="AR41" s="69">
        <v>14508</v>
      </c>
      <c r="AS41" s="70">
        <v>44697</v>
      </c>
      <c r="AT41" s="149">
        <f t="shared" si="0"/>
        <v>82</v>
      </c>
      <c r="AU41" s="147" t="s">
        <v>228</v>
      </c>
      <c r="AV41" s="93" t="s">
        <v>229</v>
      </c>
      <c r="AW41" s="93" t="s">
        <v>230</v>
      </c>
      <c r="AX41" s="150" t="s">
        <v>265</v>
      </c>
      <c r="AY41" s="151" t="s">
        <v>232</v>
      </c>
      <c r="AZ41" s="150" t="s">
        <v>232</v>
      </c>
      <c r="BA41" s="150">
        <v>0</v>
      </c>
      <c r="BB41" s="93" t="s">
        <v>266</v>
      </c>
      <c r="BC41" s="152">
        <v>1</v>
      </c>
      <c r="BD41" s="153" t="s">
        <v>234</v>
      </c>
      <c r="BE41" s="93" t="s">
        <v>267</v>
      </c>
      <c r="BF41" s="153" t="s">
        <v>221</v>
      </c>
      <c r="BG41" s="154" t="s">
        <v>226</v>
      </c>
      <c r="BH41" s="155" t="s">
        <v>226</v>
      </c>
      <c r="BI41" s="155" t="s">
        <v>226</v>
      </c>
      <c r="BJ41" s="155" t="s">
        <v>226</v>
      </c>
      <c r="BK41" s="155" t="s">
        <v>226</v>
      </c>
      <c r="BL41" s="155" t="s">
        <v>226</v>
      </c>
      <c r="BM41" s="155" t="s">
        <v>226</v>
      </c>
      <c r="BN41" s="155" t="s">
        <v>226</v>
      </c>
      <c r="BO41" s="155" t="s">
        <v>226</v>
      </c>
      <c r="BP41" s="155" t="s">
        <v>226</v>
      </c>
      <c r="BQ41" s="155" t="s">
        <v>226</v>
      </c>
      <c r="BR41" s="155" t="s">
        <v>226</v>
      </c>
      <c r="BS41" s="155" t="s">
        <v>226</v>
      </c>
      <c r="BT41" s="155" t="s">
        <v>226</v>
      </c>
      <c r="BU41" s="155" t="s">
        <v>226</v>
      </c>
      <c r="BV41" s="155" t="s">
        <v>226</v>
      </c>
      <c r="BW41" s="155" t="s">
        <v>226</v>
      </c>
      <c r="BX41" s="155" t="s">
        <v>226</v>
      </c>
      <c r="BY41" s="155" t="s">
        <v>226</v>
      </c>
      <c r="BZ41" s="155" t="s">
        <v>226</v>
      </c>
      <c r="CA41" s="155" t="s">
        <v>226</v>
      </c>
      <c r="CB41" s="155" t="s">
        <v>226</v>
      </c>
      <c r="CC41" s="155" t="s">
        <v>226</v>
      </c>
      <c r="CD41" s="155" t="s">
        <v>226</v>
      </c>
      <c r="CE41" s="155" t="s">
        <v>226</v>
      </c>
      <c r="CF41" s="155" t="s">
        <v>226</v>
      </c>
      <c r="CG41" s="155" t="s">
        <v>226</v>
      </c>
      <c r="CH41" s="155" t="s">
        <v>226</v>
      </c>
      <c r="CI41" s="155" t="s">
        <v>226</v>
      </c>
      <c r="CJ41" s="155" t="s">
        <v>226</v>
      </c>
      <c r="CK41" s="155" t="s">
        <v>226</v>
      </c>
      <c r="CL41" s="155" t="s">
        <v>226</v>
      </c>
      <c r="CM41" s="155" t="s">
        <v>226</v>
      </c>
      <c r="CN41" s="106" t="s">
        <v>226</v>
      </c>
      <c r="CO41" s="145" t="s">
        <v>226</v>
      </c>
      <c r="CP41" s="145" t="s">
        <v>226</v>
      </c>
      <c r="CQ41" s="145" t="s">
        <v>226</v>
      </c>
      <c r="CR41" s="145" t="s">
        <v>226</v>
      </c>
      <c r="CS41" s="145" t="s">
        <v>226</v>
      </c>
      <c r="CT41" s="145" t="s">
        <v>226</v>
      </c>
      <c r="CU41" s="145" t="s">
        <v>226</v>
      </c>
      <c r="CV41" s="145" t="s">
        <v>226</v>
      </c>
      <c r="CW41" s="145" t="s">
        <v>226</v>
      </c>
      <c r="CX41" s="145" t="s">
        <v>226</v>
      </c>
      <c r="CY41" s="155" t="s">
        <v>226</v>
      </c>
      <c r="CZ41" s="155" t="s">
        <v>226</v>
      </c>
      <c r="DA41" s="155" t="s">
        <v>226</v>
      </c>
      <c r="DB41" s="155" t="s">
        <v>226</v>
      </c>
      <c r="DC41" s="155" t="s">
        <v>226</v>
      </c>
      <c r="DD41" s="155" t="s">
        <v>226</v>
      </c>
      <c r="DE41" s="155" t="s">
        <v>226</v>
      </c>
      <c r="DF41" s="155" t="s">
        <v>226</v>
      </c>
      <c r="DG41" s="155" t="s">
        <v>226</v>
      </c>
      <c r="DH41" s="155" t="s">
        <v>226</v>
      </c>
      <c r="DI41" s="155" t="s">
        <v>226</v>
      </c>
      <c r="DJ41" s="155" t="s">
        <v>226</v>
      </c>
      <c r="DK41" s="155" t="s">
        <v>226</v>
      </c>
      <c r="DL41" s="155" t="s">
        <v>226</v>
      </c>
      <c r="DM41" s="155" t="s">
        <v>226</v>
      </c>
      <c r="DN41" s="155" t="s">
        <v>226</v>
      </c>
      <c r="DO41" s="155" t="s">
        <v>226</v>
      </c>
      <c r="DP41" s="155" t="s">
        <v>226</v>
      </c>
      <c r="DQ41" s="155" t="s">
        <v>226</v>
      </c>
      <c r="DR41" s="155" t="s">
        <v>226</v>
      </c>
      <c r="DS41" s="155" t="s">
        <v>226</v>
      </c>
      <c r="DT41" s="155" t="s">
        <v>226</v>
      </c>
      <c r="DU41" s="155" t="s">
        <v>226</v>
      </c>
      <c r="DV41" s="155" t="s">
        <v>226</v>
      </c>
      <c r="DW41" s="155" t="s">
        <v>226</v>
      </c>
      <c r="DX41" s="155" t="s">
        <v>226</v>
      </c>
      <c r="DY41" s="155" t="s">
        <v>226</v>
      </c>
      <c r="DZ41" s="155" t="s">
        <v>226</v>
      </c>
      <c r="EA41" s="155" t="s">
        <v>226</v>
      </c>
      <c r="EB41" s="155" t="s">
        <v>226</v>
      </c>
      <c r="EC41" s="155" t="s">
        <v>226</v>
      </c>
      <c r="ED41" s="155" t="s">
        <v>226</v>
      </c>
      <c r="EE41" s="155" t="s">
        <v>226</v>
      </c>
      <c r="EF41" s="155" t="s">
        <v>226</v>
      </c>
      <c r="EG41" s="155" t="s">
        <v>226</v>
      </c>
      <c r="EH41" s="155" t="s">
        <v>226</v>
      </c>
      <c r="EI41" s="70">
        <v>45303</v>
      </c>
      <c r="EJ41" s="145" t="s">
        <v>309</v>
      </c>
      <c r="EK41" s="106" t="s">
        <v>247</v>
      </c>
      <c r="EL41" s="145" t="s">
        <v>413</v>
      </c>
      <c r="EM41" s="70">
        <v>45357</v>
      </c>
      <c r="EN41" s="70">
        <v>45407</v>
      </c>
      <c r="EO41" s="145" t="s">
        <v>276</v>
      </c>
      <c r="EP41" s="106" t="s">
        <v>277</v>
      </c>
      <c r="EQ41" s="145" t="s">
        <v>414</v>
      </c>
      <c r="ER41" s="192" t="s">
        <v>279</v>
      </c>
      <c r="ES41" s="106" t="s">
        <v>226</v>
      </c>
      <c r="ET41" s="145" t="s">
        <v>226</v>
      </c>
      <c r="EU41" s="145" t="s">
        <v>226</v>
      </c>
      <c r="EV41" s="106" t="s">
        <v>226</v>
      </c>
      <c r="EW41" s="145" t="s">
        <v>226</v>
      </c>
      <c r="EX41" s="145" t="s">
        <v>226</v>
      </c>
      <c r="EY41" s="106" t="s">
        <v>226</v>
      </c>
      <c r="EZ41" s="145" t="s">
        <v>226</v>
      </c>
      <c r="FA41" s="145" t="s">
        <v>226</v>
      </c>
      <c r="FB41" s="106" t="s">
        <v>226</v>
      </c>
      <c r="FC41" s="145" t="s">
        <v>226</v>
      </c>
      <c r="FD41" s="145" t="s">
        <v>226</v>
      </c>
      <c r="FE41" s="155" t="s">
        <v>226</v>
      </c>
      <c r="FF41" s="155" t="s">
        <v>226</v>
      </c>
      <c r="FG41" s="155" t="s">
        <v>226</v>
      </c>
      <c r="FH41" s="155" t="s">
        <v>226</v>
      </c>
      <c r="FI41" s="155" t="s">
        <v>226</v>
      </c>
      <c r="FJ41" s="155" t="s">
        <v>226</v>
      </c>
      <c r="FK41" s="155" t="s">
        <v>226</v>
      </c>
      <c r="FL41" s="155" t="s">
        <v>226</v>
      </c>
      <c r="FM41" s="155" t="s">
        <v>226</v>
      </c>
      <c r="FN41" s="155" t="s">
        <v>226</v>
      </c>
      <c r="FO41" s="155" t="s">
        <v>226</v>
      </c>
      <c r="FP41" s="155" t="s">
        <v>226</v>
      </c>
      <c r="FQ41" s="155" t="s">
        <v>226</v>
      </c>
      <c r="FR41" s="155" t="s">
        <v>226</v>
      </c>
      <c r="FS41" s="155" t="s">
        <v>226</v>
      </c>
      <c r="FT41" s="155" t="s">
        <v>226</v>
      </c>
      <c r="FU41" s="155" t="s">
        <v>226</v>
      </c>
      <c r="FV41" s="155" t="s">
        <v>226</v>
      </c>
      <c r="FW41" s="155" t="s">
        <v>226</v>
      </c>
      <c r="FX41" s="155" t="s">
        <v>226</v>
      </c>
      <c r="FY41" s="155" t="s">
        <v>226</v>
      </c>
      <c r="FZ41" s="155" t="s">
        <v>226</v>
      </c>
      <c r="GA41" s="155" t="s">
        <v>226</v>
      </c>
      <c r="GB41" s="155" t="s">
        <v>226</v>
      </c>
      <c r="GC41" s="155" t="s">
        <v>226</v>
      </c>
      <c r="GD41" s="155" t="s">
        <v>226</v>
      </c>
      <c r="GE41" s="155" t="s">
        <v>226</v>
      </c>
      <c r="GF41" s="150" t="s">
        <v>256</v>
      </c>
      <c r="GG41" s="70" t="s">
        <v>226</v>
      </c>
      <c r="GH41" s="93" t="s">
        <v>226</v>
      </c>
      <c r="GI41" s="145" t="s">
        <v>226</v>
      </c>
      <c r="GJ41" s="70">
        <v>45958</v>
      </c>
      <c r="GK41" s="70">
        <v>46002</v>
      </c>
      <c r="GL41" s="70" t="s">
        <v>226</v>
      </c>
      <c r="GM41" s="159" t="str">
        <f t="shared" si="1"/>
        <v>N/A</v>
      </c>
      <c r="GN41" s="159" t="str">
        <f t="shared" si="2"/>
        <v>N/A</v>
      </c>
      <c r="GO41" s="159">
        <f t="shared" si="3"/>
        <v>2.9</v>
      </c>
      <c r="GP41" s="159" t="str">
        <f t="shared" si="4"/>
        <v>N/A</v>
      </c>
      <c r="GQ41" s="159" t="str">
        <f t="shared" si="5"/>
        <v>N/A</v>
      </c>
      <c r="GR41" s="159" t="str">
        <f t="shared" si="6"/>
        <v>N/A</v>
      </c>
      <c r="GS41" s="159" t="str">
        <f t="shared" si="7"/>
        <v>N/A</v>
      </c>
      <c r="GT41" s="159" t="str">
        <f t="shared" si="8"/>
        <v>N/A</v>
      </c>
      <c r="GU41" s="159" t="str">
        <f t="shared" si="9"/>
        <v>N/A</v>
      </c>
      <c r="GV41" s="159" t="str">
        <f t="shared" si="10"/>
        <v>N/A</v>
      </c>
      <c r="GW41" s="159" t="str">
        <f t="shared" si="11"/>
        <v>N/A</v>
      </c>
      <c r="GX41" s="159" t="str">
        <f t="shared" si="12"/>
        <v>N/A</v>
      </c>
      <c r="GY41" s="159">
        <f t="shared" si="13"/>
        <v>20.2</v>
      </c>
      <c r="GZ41" s="159">
        <f t="shared" si="14"/>
        <v>22</v>
      </c>
      <c r="HA41" s="159">
        <f t="shared" si="15"/>
        <v>23.666666666666668</v>
      </c>
      <c r="HB41" s="159">
        <f t="shared" si="16"/>
        <v>20.2</v>
      </c>
      <c r="HC41" s="159" t="str">
        <f t="shared" si="17"/>
        <v>N/A</v>
      </c>
      <c r="HD41" s="159">
        <f t="shared" si="18"/>
        <v>42.033333333333331</v>
      </c>
      <c r="HE41" s="159">
        <f t="shared" si="19"/>
        <v>43.5</v>
      </c>
      <c r="HF41" s="160">
        <f t="shared" si="20"/>
        <v>43.5</v>
      </c>
      <c r="HG41" s="160" cm="1">
        <f t="array" ref="HG41">INDEX($HB41:$HD41,MATCH(TRUE,INDEX(ISNUMBER($HB41:$HD41),0),0))</f>
        <v>20.2</v>
      </c>
      <c r="HH41" s="161">
        <f t="shared" si="21"/>
        <v>1</v>
      </c>
      <c r="HI41" s="108">
        <f t="shared" si="22"/>
        <v>0</v>
      </c>
      <c r="HJ41" s="91">
        <f t="shared" si="23"/>
        <v>0</v>
      </c>
      <c r="HK41" s="205" t="str">
        <f t="shared" si="24"/>
        <v>1</v>
      </c>
    </row>
    <row r="42" spans="1:219" ht="15" customHeight="1" x14ac:dyDescent="0.3">
      <c r="A42" s="146">
        <v>7132378651</v>
      </c>
      <c r="B42" s="93" t="s">
        <v>221</v>
      </c>
      <c r="C42" s="93" t="s">
        <v>222</v>
      </c>
      <c r="D42" s="93" t="s">
        <v>221</v>
      </c>
      <c r="E42" s="145" t="s">
        <v>415</v>
      </c>
      <c r="F42" s="145" t="s">
        <v>261</v>
      </c>
      <c r="G42" s="145" t="s">
        <v>314</v>
      </c>
      <c r="H42" s="70">
        <v>44806</v>
      </c>
      <c r="I42" s="147" t="s">
        <v>416</v>
      </c>
      <c r="J42" s="148" t="s">
        <v>225</v>
      </c>
      <c r="K42" s="145" t="s">
        <v>226</v>
      </c>
      <c r="L42" s="145" t="s">
        <v>226</v>
      </c>
      <c r="M42" s="145" t="s">
        <v>226</v>
      </c>
      <c r="N42" s="145" t="s">
        <v>226</v>
      </c>
      <c r="O42" s="145" t="s">
        <v>226</v>
      </c>
      <c r="P42" s="70" t="s">
        <v>226</v>
      </c>
      <c r="Q42" s="93" t="s">
        <v>222</v>
      </c>
      <c r="R42" s="97" t="s">
        <v>226</v>
      </c>
      <c r="S42" s="97" t="s">
        <v>226</v>
      </c>
      <c r="T42" s="97" t="s">
        <v>226</v>
      </c>
      <c r="U42" s="97" t="s">
        <v>226</v>
      </c>
      <c r="V42" s="93" t="s">
        <v>226</v>
      </c>
      <c r="W42" s="97" t="s">
        <v>226</v>
      </c>
      <c r="X42" s="97" t="s">
        <v>226</v>
      </c>
      <c r="Y42" s="97" t="s">
        <v>226</v>
      </c>
      <c r="Z42" s="97" t="s">
        <v>226</v>
      </c>
      <c r="AA42" s="93" t="s">
        <v>226</v>
      </c>
      <c r="AB42" s="97" t="s">
        <v>226</v>
      </c>
      <c r="AC42" s="97" t="s">
        <v>226</v>
      </c>
      <c r="AD42" s="97" t="s">
        <v>226</v>
      </c>
      <c r="AE42" s="97" t="s">
        <v>226</v>
      </c>
      <c r="AF42" s="93" t="s">
        <v>226</v>
      </c>
      <c r="AG42" s="97" t="s">
        <v>226</v>
      </c>
      <c r="AH42" s="97" t="s">
        <v>226</v>
      </c>
      <c r="AI42" s="97" t="s">
        <v>226</v>
      </c>
      <c r="AJ42" s="97" t="s">
        <v>226</v>
      </c>
      <c r="AK42" s="93" t="s">
        <v>226</v>
      </c>
      <c r="AL42" s="97" t="s">
        <v>226</v>
      </c>
      <c r="AM42" s="97" t="s">
        <v>226</v>
      </c>
      <c r="AN42" s="97" t="s">
        <v>226</v>
      </c>
      <c r="AO42" s="97" t="s">
        <v>226</v>
      </c>
      <c r="AP42" s="93" t="s">
        <v>226</v>
      </c>
      <c r="AQ42" s="106" t="s">
        <v>227</v>
      </c>
      <c r="AR42" s="69">
        <v>29091</v>
      </c>
      <c r="AS42" s="70">
        <v>44728</v>
      </c>
      <c r="AT42" s="149">
        <f t="shared" si="0"/>
        <v>42</v>
      </c>
      <c r="AU42" s="147" t="s">
        <v>252</v>
      </c>
      <c r="AV42" s="93" t="s">
        <v>229</v>
      </c>
      <c r="AW42" s="93" t="s">
        <v>230</v>
      </c>
      <c r="AX42" s="150" t="s">
        <v>265</v>
      </c>
      <c r="AY42" s="151" t="s">
        <v>232</v>
      </c>
      <c r="AZ42" s="150" t="s">
        <v>232</v>
      </c>
      <c r="BA42" s="150">
        <v>0</v>
      </c>
      <c r="BB42" s="93" t="s">
        <v>266</v>
      </c>
      <c r="BC42" s="152">
        <v>1</v>
      </c>
      <c r="BD42" s="153" t="s">
        <v>234</v>
      </c>
      <c r="BE42" s="93" t="s">
        <v>267</v>
      </c>
      <c r="BF42" s="153" t="s">
        <v>221</v>
      </c>
      <c r="BG42" s="154" t="s">
        <v>226</v>
      </c>
      <c r="BH42" s="155" t="s">
        <v>226</v>
      </c>
      <c r="BI42" s="155" t="s">
        <v>226</v>
      </c>
      <c r="BJ42" s="155" t="s">
        <v>226</v>
      </c>
      <c r="BK42" s="155" t="s">
        <v>226</v>
      </c>
      <c r="BL42" s="155" t="s">
        <v>226</v>
      </c>
      <c r="BM42" s="155" t="s">
        <v>226</v>
      </c>
      <c r="BN42" s="155" t="s">
        <v>226</v>
      </c>
      <c r="BO42" s="155" t="s">
        <v>226</v>
      </c>
      <c r="BP42" s="155" t="s">
        <v>226</v>
      </c>
      <c r="BQ42" s="155" t="s">
        <v>226</v>
      </c>
      <c r="BR42" s="155" t="s">
        <v>226</v>
      </c>
      <c r="BS42" s="155" t="s">
        <v>226</v>
      </c>
      <c r="BT42" s="155" t="s">
        <v>226</v>
      </c>
      <c r="BU42" s="155" t="s">
        <v>226</v>
      </c>
      <c r="BV42" s="155" t="s">
        <v>226</v>
      </c>
      <c r="BW42" s="155" t="s">
        <v>226</v>
      </c>
      <c r="BX42" s="155" t="s">
        <v>226</v>
      </c>
      <c r="BY42" s="155" t="s">
        <v>226</v>
      </c>
      <c r="BZ42" s="155" t="s">
        <v>226</v>
      </c>
      <c r="CA42" s="155" t="s">
        <v>226</v>
      </c>
      <c r="CB42" s="155" t="s">
        <v>226</v>
      </c>
      <c r="CC42" s="155" t="s">
        <v>226</v>
      </c>
      <c r="CD42" s="155" t="s">
        <v>226</v>
      </c>
      <c r="CE42" s="155" t="s">
        <v>226</v>
      </c>
      <c r="CF42" s="155" t="s">
        <v>226</v>
      </c>
      <c r="CG42" s="155" t="s">
        <v>226</v>
      </c>
      <c r="CH42" s="155" t="s">
        <v>226</v>
      </c>
      <c r="CI42" s="155" t="s">
        <v>226</v>
      </c>
      <c r="CJ42" s="155" t="s">
        <v>226</v>
      </c>
      <c r="CK42" s="155" t="s">
        <v>226</v>
      </c>
      <c r="CL42" s="155" t="s">
        <v>226</v>
      </c>
      <c r="CM42" s="155" t="s">
        <v>226</v>
      </c>
      <c r="CN42" s="145" t="s">
        <v>226</v>
      </c>
      <c r="CO42" s="145" t="s">
        <v>226</v>
      </c>
      <c r="CP42" s="145" t="s">
        <v>226</v>
      </c>
      <c r="CQ42" s="145" t="s">
        <v>226</v>
      </c>
      <c r="CR42" s="145" t="s">
        <v>226</v>
      </c>
      <c r="CS42" s="145" t="s">
        <v>226</v>
      </c>
      <c r="CT42" s="145" t="s">
        <v>226</v>
      </c>
      <c r="CU42" s="145" t="s">
        <v>226</v>
      </c>
      <c r="CV42" s="145" t="s">
        <v>226</v>
      </c>
      <c r="CW42" s="145" t="s">
        <v>226</v>
      </c>
      <c r="CX42" s="145" t="s">
        <v>226</v>
      </c>
      <c r="CY42" s="145" t="s">
        <v>226</v>
      </c>
      <c r="CZ42" s="145" t="s">
        <v>226</v>
      </c>
      <c r="DA42" s="145" t="s">
        <v>226</v>
      </c>
      <c r="DB42" s="145" t="s">
        <v>226</v>
      </c>
      <c r="DC42" s="145" t="s">
        <v>226</v>
      </c>
      <c r="DD42" s="145" t="s">
        <v>226</v>
      </c>
      <c r="DE42" s="145" t="s">
        <v>226</v>
      </c>
      <c r="DF42" s="145" t="s">
        <v>226</v>
      </c>
      <c r="DG42" s="145" t="s">
        <v>226</v>
      </c>
      <c r="DH42" s="145" t="s">
        <v>226</v>
      </c>
      <c r="DI42" s="145" t="s">
        <v>226</v>
      </c>
      <c r="DJ42" s="145" t="s">
        <v>226</v>
      </c>
      <c r="DK42" s="145" t="s">
        <v>226</v>
      </c>
      <c r="DL42" s="145" t="s">
        <v>226</v>
      </c>
      <c r="DM42" s="145" t="s">
        <v>226</v>
      </c>
      <c r="DN42" s="145" t="s">
        <v>226</v>
      </c>
      <c r="DO42" s="145" t="s">
        <v>226</v>
      </c>
      <c r="DP42" s="145" t="s">
        <v>226</v>
      </c>
      <c r="DQ42" s="145" t="s">
        <v>226</v>
      </c>
      <c r="DR42" s="145" t="s">
        <v>226</v>
      </c>
      <c r="DS42" s="145" t="s">
        <v>226</v>
      </c>
      <c r="DT42" s="145" t="s">
        <v>226</v>
      </c>
      <c r="DU42" s="145" t="s">
        <v>226</v>
      </c>
      <c r="DV42" s="145" t="s">
        <v>226</v>
      </c>
      <c r="DW42" s="145" t="s">
        <v>226</v>
      </c>
      <c r="DX42" s="145" t="s">
        <v>226</v>
      </c>
      <c r="DY42" s="145" t="s">
        <v>226</v>
      </c>
      <c r="DZ42" s="145" t="s">
        <v>226</v>
      </c>
      <c r="EA42" s="145" t="s">
        <v>226</v>
      </c>
      <c r="EB42" s="145" t="s">
        <v>226</v>
      </c>
      <c r="EC42" s="145" t="s">
        <v>226</v>
      </c>
      <c r="ED42" s="145" t="s">
        <v>226</v>
      </c>
      <c r="EE42" s="145" t="s">
        <v>226</v>
      </c>
      <c r="EF42" s="145" t="s">
        <v>226</v>
      </c>
      <c r="EG42" s="145" t="s">
        <v>226</v>
      </c>
      <c r="EH42" s="145" t="s">
        <v>226</v>
      </c>
      <c r="EI42" s="145" t="s">
        <v>226</v>
      </c>
      <c r="EJ42" s="145" t="s">
        <v>226</v>
      </c>
      <c r="EK42" s="145" t="s">
        <v>226</v>
      </c>
      <c r="EL42" s="145" t="s">
        <v>226</v>
      </c>
      <c r="EM42" s="145" t="s">
        <v>226</v>
      </c>
      <c r="EN42" s="145" t="s">
        <v>226</v>
      </c>
      <c r="EO42" s="145" t="s">
        <v>226</v>
      </c>
      <c r="EP42" s="145" t="s">
        <v>226</v>
      </c>
      <c r="EQ42" s="145" t="s">
        <v>226</v>
      </c>
      <c r="ER42" s="145" t="s">
        <v>226</v>
      </c>
      <c r="ES42" s="145" t="s">
        <v>226</v>
      </c>
      <c r="ET42" s="145" t="s">
        <v>226</v>
      </c>
      <c r="EU42" s="145" t="s">
        <v>226</v>
      </c>
      <c r="EV42" s="145" t="s">
        <v>226</v>
      </c>
      <c r="EW42" s="145" t="s">
        <v>226</v>
      </c>
      <c r="EX42" s="145" t="s">
        <v>226</v>
      </c>
      <c r="EY42" s="106" t="s">
        <v>226</v>
      </c>
      <c r="EZ42" s="145" t="s">
        <v>226</v>
      </c>
      <c r="FA42" s="145" t="s">
        <v>226</v>
      </c>
      <c r="FB42" s="106" t="s">
        <v>226</v>
      </c>
      <c r="FC42" s="145" t="s">
        <v>226</v>
      </c>
      <c r="FD42" s="145" t="s">
        <v>226</v>
      </c>
      <c r="FE42" s="155" t="s">
        <v>226</v>
      </c>
      <c r="FF42" s="155" t="s">
        <v>226</v>
      </c>
      <c r="FG42" s="155" t="s">
        <v>226</v>
      </c>
      <c r="FH42" s="155" t="s">
        <v>226</v>
      </c>
      <c r="FI42" s="155" t="s">
        <v>226</v>
      </c>
      <c r="FJ42" s="155" t="s">
        <v>226</v>
      </c>
      <c r="FK42" s="155" t="s">
        <v>226</v>
      </c>
      <c r="FL42" s="155" t="s">
        <v>226</v>
      </c>
      <c r="FM42" s="155" t="s">
        <v>226</v>
      </c>
      <c r="FN42" s="155" t="s">
        <v>226</v>
      </c>
      <c r="FO42" s="155" t="s">
        <v>226</v>
      </c>
      <c r="FP42" s="155" t="s">
        <v>226</v>
      </c>
      <c r="FQ42" s="155" t="s">
        <v>226</v>
      </c>
      <c r="FR42" s="155" t="s">
        <v>226</v>
      </c>
      <c r="FS42" s="155" t="s">
        <v>226</v>
      </c>
      <c r="FT42" s="155" t="s">
        <v>226</v>
      </c>
      <c r="FU42" s="155" t="s">
        <v>226</v>
      </c>
      <c r="FV42" s="155" t="s">
        <v>226</v>
      </c>
      <c r="FW42" s="155" t="s">
        <v>226</v>
      </c>
      <c r="FX42" s="155" t="s">
        <v>226</v>
      </c>
      <c r="FY42" s="155" t="s">
        <v>226</v>
      </c>
      <c r="FZ42" s="155" t="s">
        <v>226</v>
      </c>
      <c r="GA42" s="155" t="s">
        <v>226</v>
      </c>
      <c r="GB42" s="155" t="s">
        <v>226</v>
      </c>
      <c r="GC42" s="155" t="s">
        <v>226</v>
      </c>
      <c r="GD42" s="155" t="s">
        <v>226</v>
      </c>
      <c r="GE42" s="155" t="s">
        <v>226</v>
      </c>
      <c r="GF42" s="150" t="s">
        <v>256</v>
      </c>
      <c r="GG42" s="70" t="s">
        <v>226</v>
      </c>
      <c r="GH42" s="93" t="s">
        <v>226</v>
      </c>
      <c r="GI42" s="145" t="s">
        <v>226</v>
      </c>
      <c r="GJ42" s="70">
        <v>44923</v>
      </c>
      <c r="GK42" s="70">
        <v>45965</v>
      </c>
      <c r="GL42" s="70" t="s">
        <v>226</v>
      </c>
      <c r="GM42" s="159" t="str">
        <f t="shared" si="1"/>
        <v>N/A</v>
      </c>
      <c r="GN42" s="159" t="str">
        <f t="shared" si="2"/>
        <v>N/A</v>
      </c>
      <c r="GO42" s="159">
        <f t="shared" si="3"/>
        <v>2.6</v>
      </c>
      <c r="GP42" s="159" t="str">
        <f t="shared" si="4"/>
        <v>N/A</v>
      </c>
      <c r="GQ42" s="159" t="str">
        <f t="shared" si="5"/>
        <v>N/A</v>
      </c>
      <c r="GR42" s="159" t="str">
        <f t="shared" si="6"/>
        <v>N/A</v>
      </c>
      <c r="GS42" s="159" t="str">
        <f t="shared" si="7"/>
        <v>N/A</v>
      </c>
      <c r="GT42" s="159" t="str">
        <f t="shared" si="8"/>
        <v>N/A</v>
      </c>
      <c r="GU42" s="159" t="str">
        <f t="shared" si="9"/>
        <v>N/A</v>
      </c>
      <c r="GV42" s="159" t="str">
        <f t="shared" si="10"/>
        <v>N/A</v>
      </c>
      <c r="GW42" s="159" t="str">
        <f t="shared" si="11"/>
        <v>N/A</v>
      </c>
      <c r="GX42" s="159" t="str">
        <f t="shared" si="12"/>
        <v>N/A</v>
      </c>
      <c r="GY42" s="159" t="str">
        <f t="shared" si="13"/>
        <v>N/A</v>
      </c>
      <c r="GZ42" s="159" t="str">
        <f t="shared" si="14"/>
        <v>N/A</v>
      </c>
      <c r="HA42" s="159" t="str">
        <f t="shared" si="15"/>
        <v>N/A</v>
      </c>
      <c r="HB42" s="159" t="str">
        <f t="shared" si="16"/>
        <v>N/A</v>
      </c>
      <c r="HC42" s="159" t="str">
        <f t="shared" si="17"/>
        <v>N/A</v>
      </c>
      <c r="HD42" s="159">
        <f t="shared" si="18"/>
        <v>6.5</v>
      </c>
      <c r="HE42" s="159">
        <f t="shared" si="19"/>
        <v>41.233333333333334</v>
      </c>
      <c r="HF42" s="160">
        <f t="shared" si="20"/>
        <v>41.233333333333334</v>
      </c>
      <c r="HG42" s="160" cm="1">
        <f t="array" ref="HG42">INDEX($HB42:$HD42,MATCH(TRUE,INDEX(ISNUMBER($HB42:$HD42),0),0))</f>
        <v>6.5</v>
      </c>
      <c r="HH42" s="161">
        <f t="shared" si="21"/>
        <v>0</v>
      </c>
      <c r="HI42" s="108">
        <f t="shared" si="22"/>
        <v>0</v>
      </c>
      <c r="HJ42" s="91">
        <f t="shared" si="23"/>
        <v>0</v>
      </c>
      <c r="HK42" s="205" t="str">
        <f t="shared" si="24"/>
        <v>0</v>
      </c>
    </row>
    <row r="43" spans="1:219" ht="15" customHeight="1" x14ac:dyDescent="0.3">
      <c r="A43" s="146">
        <v>4087617025</v>
      </c>
      <c r="B43" s="93" t="s">
        <v>221</v>
      </c>
      <c r="C43" s="93" t="s">
        <v>222</v>
      </c>
      <c r="D43" s="93" t="s">
        <v>221</v>
      </c>
      <c r="E43" s="145" t="s">
        <v>417</v>
      </c>
      <c r="F43" s="145" t="s">
        <v>301</v>
      </c>
      <c r="G43" s="145" t="s">
        <v>269</v>
      </c>
      <c r="H43" s="70">
        <v>44868</v>
      </c>
      <c r="I43" s="147" t="s">
        <v>418</v>
      </c>
      <c r="J43" s="145" t="s">
        <v>419</v>
      </c>
      <c r="K43" s="145" t="s">
        <v>226</v>
      </c>
      <c r="L43" s="145" t="s">
        <v>226</v>
      </c>
      <c r="M43" s="145" t="s">
        <v>226</v>
      </c>
      <c r="N43" s="145" t="s">
        <v>226</v>
      </c>
      <c r="O43" s="145" t="s">
        <v>226</v>
      </c>
      <c r="P43" s="70" t="s">
        <v>226</v>
      </c>
      <c r="Q43" s="93" t="s">
        <v>222</v>
      </c>
      <c r="R43" s="97" t="s">
        <v>226</v>
      </c>
      <c r="S43" s="97" t="s">
        <v>226</v>
      </c>
      <c r="T43" s="97" t="s">
        <v>226</v>
      </c>
      <c r="U43" s="97" t="s">
        <v>226</v>
      </c>
      <c r="V43" s="93" t="s">
        <v>226</v>
      </c>
      <c r="W43" s="97" t="s">
        <v>226</v>
      </c>
      <c r="X43" s="97" t="s">
        <v>226</v>
      </c>
      <c r="Y43" s="97" t="s">
        <v>226</v>
      </c>
      <c r="Z43" s="97" t="s">
        <v>226</v>
      </c>
      <c r="AA43" s="93" t="s">
        <v>226</v>
      </c>
      <c r="AB43" s="97" t="s">
        <v>226</v>
      </c>
      <c r="AC43" s="97" t="s">
        <v>226</v>
      </c>
      <c r="AD43" s="97" t="s">
        <v>226</v>
      </c>
      <c r="AE43" s="97" t="s">
        <v>226</v>
      </c>
      <c r="AF43" s="93" t="s">
        <v>226</v>
      </c>
      <c r="AG43" s="97" t="s">
        <v>226</v>
      </c>
      <c r="AH43" s="97" t="s">
        <v>226</v>
      </c>
      <c r="AI43" s="97" t="s">
        <v>226</v>
      </c>
      <c r="AJ43" s="97" t="s">
        <v>226</v>
      </c>
      <c r="AK43" s="93" t="s">
        <v>226</v>
      </c>
      <c r="AL43" s="97" t="s">
        <v>226</v>
      </c>
      <c r="AM43" s="97" t="s">
        <v>226</v>
      </c>
      <c r="AN43" s="97" t="s">
        <v>226</v>
      </c>
      <c r="AO43" s="97" t="s">
        <v>226</v>
      </c>
      <c r="AP43" s="93" t="s">
        <v>226</v>
      </c>
      <c r="AQ43" s="106" t="s">
        <v>227</v>
      </c>
      <c r="AR43" s="69">
        <v>24174</v>
      </c>
      <c r="AS43" s="70">
        <v>44803</v>
      </c>
      <c r="AT43" s="149">
        <f t="shared" si="0"/>
        <v>56</v>
      </c>
      <c r="AU43" s="147" t="s">
        <v>228</v>
      </c>
      <c r="AV43" s="93" t="s">
        <v>229</v>
      </c>
      <c r="AW43" s="93" t="s">
        <v>221</v>
      </c>
      <c r="AX43" s="150">
        <v>2</v>
      </c>
      <c r="AY43" s="150">
        <v>0</v>
      </c>
      <c r="AZ43" s="150" t="s">
        <v>232</v>
      </c>
      <c r="BA43" s="150">
        <v>0</v>
      </c>
      <c r="BB43" s="93" t="s">
        <v>253</v>
      </c>
      <c r="BC43" s="152">
        <v>1</v>
      </c>
      <c r="BD43" s="153" t="s">
        <v>234</v>
      </c>
      <c r="BE43" s="93" t="s">
        <v>254</v>
      </c>
      <c r="BF43" s="153" t="s">
        <v>221</v>
      </c>
      <c r="BG43" s="154" t="s">
        <v>226</v>
      </c>
      <c r="BH43" s="155" t="s">
        <v>226</v>
      </c>
      <c r="BI43" s="155" t="s">
        <v>226</v>
      </c>
      <c r="BJ43" s="155" t="s">
        <v>226</v>
      </c>
      <c r="BK43" s="155" t="s">
        <v>226</v>
      </c>
      <c r="BL43" s="155" t="s">
        <v>226</v>
      </c>
      <c r="BM43" s="155" t="s">
        <v>226</v>
      </c>
      <c r="BN43" s="155" t="s">
        <v>226</v>
      </c>
      <c r="BO43" s="155" t="s">
        <v>226</v>
      </c>
      <c r="BP43" s="155" t="s">
        <v>226</v>
      </c>
      <c r="BQ43" s="155" t="s">
        <v>226</v>
      </c>
      <c r="BR43" s="155" t="s">
        <v>226</v>
      </c>
      <c r="BS43" s="155" t="s">
        <v>226</v>
      </c>
      <c r="BT43" s="155" t="s">
        <v>226</v>
      </c>
      <c r="BU43" s="155" t="s">
        <v>226</v>
      </c>
      <c r="BV43" s="155" t="s">
        <v>226</v>
      </c>
      <c r="BW43" s="155" t="s">
        <v>226</v>
      </c>
      <c r="BX43" s="155" t="s">
        <v>226</v>
      </c>
      <c r="BY43" s="155" t="s">
        <v>226</v>
      </c>
      <c r="BZ43" s="155" t="s">
        <v>226</v>
      </c>
      <c r="CA43" s="155" t="s">
        <v>226</v>
      </c>
      <c r="CB43" s="155" t="s">
        <v>226</v>
      </c>
      <c r="CC43" s="155" t="s">
        <v>226</v>
      </c>
      <c r="CD43" s="155" t="s">
        <v>226</v>
      </c>
      <c r="CE43" s="155" t="s">
        <v>226</v>
      </c>
      <c r="CF43" s="155" t="s">
        <v>226</v>
      </c>
      <c r="CG43" s="155" t="s">
        <v>226</v>
      </c>
      <c r="CH43" s="155" t="s">
        <v>226</v>
      </c>
      <c r="CI43" s="155" t="s">
        <v>226</v>
      </c>
      <c r="CJ43" s="155" t="s">
        <v>226</v>
      </c>
      <c r="CK43" s="155" t="s">
        <v>226</v>
      </c>
      <c r="CL43" s="155" t="s">
        <v>226</v>
      </c>
      <c r="CM43" s="155" t="s">
        <v>226</v>
      </c>
      <c r="CN43" s="106" t="s">
        <v>247</v>
      </c>
      <c r="CO43" s="145" t="s">
        <v>321</v>
      </c>
      <c r="CP43" s="70">
        <v>44930</v>
      </c>
      <c r="CQ43" s="70">
        <v>44937</v>
      </c>
      <c r="CR43" s="145" t="s">
        <v>226</v>
      </c>
      <c r="CS43" s="106" t="s">
        <v>226</v>
      </c>
      <c r="CT43" s="145" t="s">
        <v>226</v>
      </c>
      <c r="CU43" s="145" t="s">
        <v>226</v>
      </c>
      <c r="CV43" s="106" t="s">
        <v>226</v>
      </c>
      <c r="CW43" s="145" t="s">
        <v>226</v>
      </c>
      <c r="CX43" s="145" t="s">
        <v>226</v>
      </c>
      <c r="CY43" s="155" t="s">
        <v>226</v>
      </c>
      <c r="CZ43" s="155" t="s">
        <v>226</v>
      </c>
      <c r="DA43" s="155" t="s">
        <v>226</v>
      </c>
      <c r="DB43" s="155" t="s">
        <v>226</v>
      </c>
      <c r="DC43" s="155" t="s">
        <v>226</v>
      </c>
      <c r="DD43" s="155" t="s">
        <v>226</v>
      </c>
      <c r="DE43" s="155" t="s">
        <v>226</v>
      </c>
      <c r="DF43" s="155" t="s">
        <v>226</v>
      </c>
      <c r="DG43" s="155" t="s">
        <v>226</v>
      </c>
      <c r="DH43" s="155" t="s">
        <v>226</v>
      </c>
      <c r="DI43" s="155" t="s">
        <v>226</v>
      </c>
      <c r="DJ43" s="155" t="s">
        <v>226</v>
      </c>
      <c r="DK43" s="155" t="s">
        <v>226</v>
      </c>
      <c r="DL43" s="155" t="s">
        <v>226</v>
      </c>
      <c r="DM43" s="155" t="s">
        <v>226</v>
      </c>
      <c r="DN43" s="155" t="s">
        <v>226</v>
      </c>
      <c r="DO43" s="155" t="s">
        <v>226</v>
      </c>
      <c r="DP43" s="155" t="s">
        <v>226</v>
      </c>
      <c r="DQ43" s="155" t="s">
        <v>226</v>
      </c>
      <c r="DR43" s="155" t="s">
        <v>226</v>
      </c>
      <c r="DS43" s="155" t="s">
        <v>226</v>
      </c>
      <c r="DT43" s="155" t="s">
        <v>226</v>
      </c>
      <c r="DU43" s="155" t="s">
        <v>226</v>
      </c>
      <c r="DV43" s="155" t="s">
        <v>226</v>
      </c>
      <c r="DW43" s="155" t="s">
        <v>226</v>
      </c>
      <c r="DX43" s="155" t="s">
        <v>226</v>
      </c>
      <c r="DY43" s="155" t="s">
        <v>226</v>
      </c>
      <c r="DZ43" s="155" t="s">
        <v>226</v>
      </c>
      <c r="EA43" s="155" t="s">
        <v>226</v>
      </c>
      <c r="EB43" s="155" t="s">
        <v>226</v>
      </c>
      <c r="EC43" s="155" t="s">
        <v>226</v>
      </c>
      <c r="ED43" s="155" t="s">
        <v>226</v>
      </c>
      <c r="EE43" s="155" t="s">
        <v>226</v>
      </c>
      <c r="EF43" s="155" t="s">
        <v>226</v>
      </c>
      <c r="EG43" s="155" t="s">
        <v>226</v>
      </c>
      <c r="EH43" s="155" t="s">
        <v>226</v>
      </c>
      <c r="EI43" s="70" t="s">
        <v>226</v>
      </c>
      <c r="EJ43" s="145" t="s">
        <v>226</v>
      </c>
      <c r="EK43" s="106" t="s">
        <v>226</v>
      </c>
      <c r="EL43" s="145" t="s">
        <v>226</v>
      </c>
      <c r="EM43" s="70" t="s">
        <v>226</v>
      </c>
      <c r="EN43" s="70" t="s">
        <v>226</v>
      </c>
      <c r="EO43" s="145" t="s">
        <v>226</v>
      </c>
      <c r="EP43" s="106" t="s">
        <v>226</v>
      </c>
      <c r="EQ43" s="145" t="s">
        <v>226</v>
      </c>
      <c r="ER43" s="145" t="s">
        <v>226</v>
      </c>
      <c r="ES43" s="106" t="s">
        <v>226</v>
      </c>
      <c r="ET43" s="145" t="s">
        <v>226</v>
      </c>
      <c r="EU43" s="145" t="s">
        <v>226</v>
      </c>
      <c r="EV43" s="106" t="s">
        <v>226</v>
      </c>
      <c r="EW43" s="145" t="s">
        <v>226</v>
      </c>
      <c r="EX43" s="145" t="s">
        <v>226</v>
      </c>
      <c r="EY43" s="106" t="s">
        <v>226</v>
      </c>
      <c r="EZ43" s="145" t="s">
        <v>226</v>
      </c>
      <c r="FA43" s="145" t="s">
        <v>226</v>
      </c>
      <c r="FB43" s="106" t="s">
        <v>226</v>
      </c>
      <c r="FC43" s="145" t="s">
        <v>226</v>
      </c>
      <c r="FD43" s="145" t="s">
        <v>226</v>
      </c>
      <c r="FE43" s="155" t="s">
        <v>226</v>
      </c>
      <c r="FF43" s="155" t="s">
        <v>226</v>
      </c>
      <c r="FG43" s="155" t="s">
        <v>226</v>
      </c>
      <c r="FH43" s="155" t="s">
        <v>226</v>
      </c>
      <c r="FI43" s="155" t="s">
        <v>226</v>
      </c>
      <c r="FJ43" s="155" t="s">
        <v>226</v>
      </c>
      <c r="FK43" s="155" t="s">
        <v>226</v>
      </c>
      <c r="FL43" s="155" t="s">
        <v>226</v>
      </c>
      <c r="FM43" s="155" t="s">
        <v>226</v>
      </c>
      <c r="FN43" s="155" t="s">
        <v>226</v>
      </c>
      <c r="FO43" s="155" t="s">
        <v>226</v>
      </c>
      <c r="FP43" s="155" t="s">
        <v>226</v>
      </c>
      <c r="FQ43" s="155" t="s">
        <v>226</v>
      </c>
      <c r="FR43" s="155" t="s">
        <v>226</v>
      </c>
      <c r="FS43" s="155" t="s">
        <v>226</v>
      </c>
      <c r="FT43" s="155" t="s">
        <v>226</v>
      </c>
      <c r="FU43" s="155" t="s">
        <v>226</v>
      </c>
      <c r="FV43" s="155" t="s">
        <v>226</v>
      </c>
      <c r="FW43" s="155" t="s">
        <v>226</v>
      </c>
      <c r="FX43" s="155" t="s">
        <v>226</v>
      </c>
      <c r="FY43" s="155" t="s">
        <v>226</v>
      </c>
      <c r="FZ43" s="155" t="s">
        <v>226</v>
      </c>
      <c r="GA43" s="155" t="s">
        <v>226</v>
      </c>
      <c r="GB43" s="155" t="s">
        <v>226</v>
      </c>
      <c r="GC43" s="155" t="s">
        <v>226</v>
      </c>
      <c r="GD43" s="155" t="s">
        <v>226</v>
      </c>
      <c r="GE43" s="155" t="s">
        <v>226</v>
      </c>
      <c r="GF43" s="150" t="s">
        <v>256</v>
      </c>
      <c r="GG43" s="70" t="s">
        <v>226</v>
      </c>
      <c r="GH43" s="93" t="s">
        <v>226</v>
      </c>
      <c r="GI43" s="145" t="s">
        <v>226</v>
      </c>
      <c r="GJ43" s="70">
        <v>44938</v>
      </c>
      <c r="GK43" s="70">
        <v>45978</v>
      </c>
      <c r="GL43" s="70" t="s">
        <v>226</v>
      </c>
      <c r="GM43" s="159" t="str">
        <f t="shared" si="1"/>
        <v>N/A</v>
      </c>
      <c r="GN43" s="159" t="str">
        <f t="shared" si="2"/>
        <v>N/A</v>
      </c>
      <c r="GO43" s="159">
        <f t="shared" si="3"/>
        <v>2.1666666666666665</v>
      </c>
      <c r="GP43" s="159" t="str">
        <f t="shared" si="4"/>
        <v>N/A</v>
      </c>
      <c r="GQ43" s="159" t="str">
        <f t="shared" si="5"/>
        <v>N/A</v>
      </c>
      <c r="GR43" s="159" t="str">
        <f t="shared" si="6"/>
        <v>N/A</v>
      </c>
      <c r="GS43" s="159" t="str">
        <f t="shared" si="7"/>
        <v>N/A</v>
      </c>
      <c r="GT43" s="159" t="str">
        <f t="shared" si="8"/>
        <v>N/A</v>
      </c>
      <c r="GU43" s="159" t="str">
        <f t="shared" si="9"/>
        <v>N/A</v>
      </c>
      <c r="GV43" s="159" t="str">
        <f t="shared" si="10"/>
        <v>N/A</v>
      </c>
      <c r="GW43" s="159">
        <f t="shared" si="11"/>
        <v>4.2333333333333334</v>
      </c>
      <c r="GX43" s="159">
        <f t="shared" si="12"/>
        <v>4.4666666666666668</v>
      </c>
      <c r="GY43" s="159" t="str">
        <f t="shared" si="13"/>
        <v>N/A</v>
      </c>
      <c r="GZ43" s="159" t="str">
        <f t="shared" si="14"/>
        <v>N/A</v>
      </c>
      <c r="HA43" s="159" t="str">
        <f t="shared" si="15"/>
        <v>N/A</v>
      </c>
      <c r="HB43" s="159" t="str">
        <f t="shared" si="16"/>
        <v>N/A</v>
      </c>
      <c r="HC43" s="159" t="str">
        <f t="shared" si="17"/>
        <v>N/A</v>
      </c>
      <c r="HD43" s="159">
        <f t="shared" si="18"/>
        <v>4.5</v>
      </c>
      <c r="HE43" s="159">
        <f t="shared" si="19"/>
        <v>39.166666666666664</v>
      </c>
      <c r="HF43" s="160">
        <f t="shared" si="20"/>
        <v>39.166666666666664</v>
      </c>
      <c r="HG43" s="160" cm="1">
        <f t="array" ref="HG43">INDEX($HB43:$HD43,MATCH(TRUE,INDEX(ISNUMBER($HB43:$HD43),0),0))</f>
        <v>4.5</v>
      </c>
      <c r="HH43" s="161">
        <f t="shared" si="21"/>
        <v>0</v>
      </c>
      <c r="HI43" s="108">
        <f t="shared" si="22"/>
        <v>0</v>
      </c>
      <c r="HJ43" s="91">
        <f t="shared" si="23"/>
        <v>0</v>
      </c>
      <c r="HK43" s="205" t="str">
        <f t="shared" si="24"/>
        <v>0</v>
      </c>
    </row>
    <row r="44" spans="1:219" ht="15" customHeight="1" x14ac:dyDescent="0.3">
      <c r="A44" s="193">
        <v>4861701031</v>
      </c>
      <c r="B44" s="42" t="s">
        <v>221</v>
      </c>
      <c r="C44" s="42" t="s">
        <v>222</v>
      </c>
      <c r="D44" s="42" t="s">
        <v>221</v>
      </c>
      <c r="E44" s="194" t="s">
        <v>420</v>
      </c>
      <c r="F44" s="194" t="s">
        <v>301</v>
      </c>
      <c r="G44" s="194" t="s">
        <v>240</v>
      </c>
      <c r="H44" s="58">
        <v>44880</v>
      </c>
      <c r="I44" s="195" t="s">
        <v>421</v>
      </c>
      <c r="J44" s="196" t="s">
        <v>225</v>
      </c>
      <c r="K44" s="194" t="s">
        <v>226</v>
      </c>
      <c r="L44" s="194" t="s">
        <v>226</v>
      </c>
      <c r="M44" s="194" t="s">
        <v>226</v>
      </c>
      <c r="N44" s="194" t="s">
        <v>226</v>
      </c>
      <c r="O44" s="194" t="s">
        <v>226</v>
      </c>
      <c r="P44" s="58" t="s">
        <v>226</v>
      </c>
      <c r="Q44" s="42" t="s">
        <v>222</v>
      </c>
      <c r="R44" s="66" t="s">
        <v>226</v>
      </c>
      <c r="S44" s="66" t="s">
        <v>226</v>
      </c>
      <c r="T44" s="66" t="s">
        <v>226</v>
      </c>
      <c r="U44" s="66" t="s">
        <v>226</v>
      </c>
      <c r="V44" s="42" t="s">
        <v>226</v>
      </c>
      <c r="W44" s="66" t="s">
        <v>226</v>
      </c>
      <c r="X44" s="66" t="s">
        <v>226</v>
      </c>
      <c r="Y44" s="66" t="s">
        <v>226</v>
      </c>
      <c r="Z44" s="66" t="s">
        <v>226</v>
      </c>
      <c r="AA44" s="42" t="s">
        <v>226</v>
      </c>
      <c r="AB44" s="66" t="s">
        <v>226</v>
      </c>
      <c r="AC44" s="66" t="s">
        <v>226</v>
      </c>
      <c r="AD44" s="66" t="s">
        <v>226</v>
      </c>
      <c r="AE44" s="66" t="s">
        <v>226</v>
      </c>
      <c r="AF44" s="42" t="s">
        <v>226</v>
      </c>
      <c r="AG44" s="66" t="s">
        <v>226</v>
      </c>
      <c r="AH44" s="66" t="s">
        <v>226</v>
      </c>
      <c r="AI44" s="66" t="s">
        <v>226</v>
      </c>
      <c r="AJ44" s="66" t="s">
        <v>226</v>
      </c>
      <c r="AK44" s="42" t="s">
        <v>226</v>
      </c>
      <c r="AL44" s="66" t="s">
        <v>226</v>
      </c>
      <c r="AM44" s="66" t="s">
        <v>226</v>
      </c>
      <c r="AN44" s="66" t="s">
        <v>226</v>
      </c>
      <c r="AO44" s="66" t="s">
        <v>226</v>
      </c>
      <c r="AP44" s="42" t="s">
        <v>226</v>
      </c>
      <c r="AQ44" s="88" t="s">
        <v>227</v>
      </c>
      <c r="AR44" s="197">
        <v>22119</v>
      </c>
      <c r="AS44" s="58">
        <v>44797</v>
      </c>
      <c r="AT44" s="198">
        <f t="shared" si="0"/>
        <v>62</v>
      </c>
      <c r="AU44" s="195" t="s">
        <v>228</v>
      </c>
      <c r="AV44" s="42" t="s">
        <v>229</v>
      </c>
      <c r="AW44" s="42" t="s">
        <v>221</v>
      </c>
      <c r="AX44" s="194" t="s">
        <v>422</v>
      </c>
      <c r="AY44" s="194">
        <v>0</v>
      </c>
      <c r="AZ44" s="199" t="s">
        <v>232</v>
      </c>
      <c r="BA44" s="199">
        <v>0</v>
      </c>
      <c r="BB44" s="42" t="s">
        <v>423</v>
      </c>
      <c r="BC44" s="200">
        <v>2</v>
      </c>
      <c r="BD44" s="201" t="s">
        <v>234</v>
      </c>
      <c r="BE44" s="42" t="s">
        <v>424</v>
      </c>
      <c r="BF44" s="201" t="s">
        <v>221</v>
      </c>
      <c r="BG44" s="202" t="s">
        <v>226</v>
      </c>
      <c r="BH44" s="89" t="s">
        <v>226</v>
      </c>
      <c r="BI44" s="89" t="s">
        <v>226</v>
      </c>
      <c r="BJ44" s="89" t="s">
        <v>226</v>
      </c>
      <c r="BK44" s="89" t="s">
        <v>226</v>
      </c>
      <c r="BL44" s="89" t="s">
        <v>226</v>
      </c>
      <c r="BM44" s="89" t="s">
        <v>226</v>
      </c>
      <c r="BN44" s="89" t="s">
        <v>226</v>
      </c>
      <c r="BO44" s="89" t="s">
        <v>226</v>
      </c>
      <c r="BP44" s="89" t="s">
        <v>226</v>
      </c>
      <c r="BQ44" s="89" t="s">
        <v>226</v>
      </c>
      <c r="BR44" s="89" t="s">
        <v>226</v>
      </c>
      <c r="BS44" s="89" t="s">
        <v>226</v>
      </c>
      <c r="BT44" s="89" t="s">
        <v>226</v>
      </c>
      <c r="BU44" s="89" t="s">
        <v>226</v>
      </c>
      <c r="BV44" s="89" t="s">
        <v>226</v>
      </c>
      <c r="BW44" s="89" t="s">
        <v>226</v>
      </c>
      <c r="BX44" s="89" t="s">
        <v>226</v>
      </c>
      <c r="BY44" s="89" t="s">
        <v>226</v>
      </c>
      <c r="BZ44" s="89" t="s">
        <v>226</v>
      </c>
      <c r="CA44" s="89" t="s">
        <v>226</v>
      </c>
      <c r="CB44" s="89" t="s">
        <v>226</v>
      </c>
      <c r="CC44" s="89" t="s">
        <v>226</v>
      </c>
      <c r="CD44" s="89" t="s">
        <v>226</v>
      </c>
      <c r="CE44" s="89" t="s">
        <v>226</v>
      </c>
      <c r="CF44" s="89" t="s">
        <v>226</v>
      </c>
      <c r="CG44" s="89" t="s">
        <v>226</v>
      </c>
      <c r="CH44" s="89" t="s">
        <v>226</v>
      </c>
      <c r="CI44" s="89" t="s">
        <v>226</v>
      </c>
      <c r="CJ44" s="89" t="s">
        <v>226</v>
      </c>
      <c r="CK44" s="89" t="s">
        <v>226</v>
      </c>
      <c r="CL44" s="89" t="s">
        <v>226</v>
      </c>
      <c r="CM44" s="89" t="s">
        <v>226</v>
      </c>
      <c r="CN44" s="88" t="s">
        <v>274</v>
      </c>
      <c r="CO44" s="194" t="s">
        <v>275</v>
      </c>
      <c r="CP44" s="58">
        <v>44936</v>
      </c>
      <c r="CQ44" s="58">
        <v>45040</v>
      </c>
      <c r="CR44" s="194" t="s">
        <v>226</v>
      </c>
      <c r="CS44" s="88" t="s">
        <v>247</v>
      </c>
      <c r="CT44" s="194" t="s">
        <v>405</v>
      </c>
      <c r="CU44" s="194" t="s">
        <v>226</v>
      </c>
      <c r="CV44" s="88" t="s">
        <v>226</v>
      </c>
      <c r="CW44" s="194" t="s">
        <v>226</v>
      </c>
      <c r="CX44" s="194" t="s">
        <v>226</v>
      </c>
      <c r="CY44" s="89" t="s">
        <v>226</v>
      </c>
      <c r="CZ44" s="89" t="s">
        <v>226</v>
      </c>
      <c r="DA44" s="89" t="s">
        <v>226</v>
      </c>
      <c r="DB44" s="89" t="s">
        <v>226</v>
      </c>
      <c r="DC44" s="89" t="s">
        <v>226</v>
      </c>
      <c r="DD44" s="89" t="s">
        <v>226</v>
      </c>
      <c r="DE44" s="89" t="s">
        <v>226</v>
      </c>
      <c r="DF44" s="89" t="s">
        <v>226</v>
      </c>
      <c r="DG44" s="89" t="s">
        <v>226</v>
      </c>
      <c r="DH44" s="89" t="s">
        <v>226</v>
      </c>
      <c r="DI44" s="89" t="s">
        <v>226</v>
      </c>
      <c r="DJ44" s="89" t="s">
        <v>226</v>
      </c>
      <c r="DK44" s="89" t="s">
        <v>226</v>
      </c>
      <c r="DL44" s="89" t="s">
        <v>226</v>
      </c>
      <c r="DM44" s="89" t="s">
        <v>226</v>
      </c>
      <c r="DN44" s="89" t="s">
        <v>226</v>
      </c>
      <c r="DO44" s="89" t="s">
        <v>226</v>
      </c>
      <c r="DP44" s="89" t="s">
        <v>226</v>
      </c>
      <c r="DQ44" s="89" t="s">
        <v>226</v>
      </c>
      <c r="DR44" s="89" t="s">
        <v>226</v>
      </c>
      <c r="DS44" s="89" t="s">
        <v>226</v>
      </c>
      <c r="DT44" s="89" t="s">
        <v>226</v>
      </c>
      <c r="DU44" s="89" t="s">
        <v>226</v>
      </c>
      <c r="DV44" s="89" t="s">
        <v>226</v>
      </c>
      <c r="DW44" s="89" t="s">
        <v>226</v>
      </c>
      <c r="DX44" s="89" t="s">
        <v>226</v>
      </c>
      <c r="DY44" s="89" t="s">
        <v>226</v>
      </c>
      <c r="DZ44" s="89" t="s">
        <v>226</v>
      </c>
      <c r="EA44" s="89" t="s">
        <v>226</v>
      </c>
      <c r="EB44" s="89" t="s">
        <v>226</v>
      </c>
      <c r="EC44" s="89" t="s">
        <v>226</v>
      </c>
      <c r="ED44" s="89" t="s">
        <v>226</v>
      </c>
      <c r="EE44" s="89" t="s">
        <v>226</v>
      </c>
      <c r="EF44" s="89" t="s">
        <v>226</v>
      </c>
      <c r="EG44" s="89" t="s">
        <v>226</v>
      </c>
      <c r="EH44" s="89" t="s">
        <v>226</v>
      </c>
      <c r="EI44" s="194" t="s">
        <v>226</v>
      </c>
      <c r="EJ44" s="194" t="s">
        <v>226</v>
      </c>
      <c r="EK44" s="194" t="s">
        <v>226</v>
      </c>
      <c r="EL44" s="194" t="s">
        <v>226</v>
      </c>
      <c r="EM44" s="194" t="s">
        <v>226</v>
      </c>
      <c r="EN44" s="194" t="s">
        <v>226</v>
      </c>
      <c r="EO44" s="194" t="s">
        <v>226</v>
      </c>
      <c r="EP44" s="194" t="s">
        <v>226</v>
      </c>
      <c r="EQ44" s="194" t="s">
        <v>226</v>
      </c>
      <c r="ER44" s="194" t="s">
        <v>226</v>
      </c>
      <c r="ES44" s="194" t="s">
        <v>226</v>
      </c>
      <c r="ET44" s="194" t="s">
        <v>226</v>
      </c>
      <c r="EU44" s="194" t="s">
        <v>226</v>
      </c>
      <c r="EV44" s="194" t="s">
        <v>226</v>
      </c>
      <c r="EW44" s="194" t="s">
        <v>226</v>
      </c>
      <c r="EX44" s="194" t="s">
        <v>226</v>
      </c>
      <c r="EY44" s="88" t="s">
        <v>226</v>
      </c>
      <c r="EZ44" s="194" t="s">
        <v>226</v>
      </c>
      <c r="FA44" s="194" t="s">
        <v>226</v>
      </c>
      <c r="FB44" s="88" t="s">
        <v>226</v>
      </c>
      <c r="FC44" s="194" t="s">
        <v>226</v>
      </c>
      <c r="FD44" s="194" t="s">
        <v>226</v>
      </c>
      <c r="FE44" s="89" t="s">
        <v>226</v>
      </c>
      <c r="FF44" s="89" t="s">
        <v>226</v>
      </c>
      <c r="FG44" s="89" t="s">
        <v>226</v>
      </c>
      <c r="FH44" s="89" t="s">
        <v>226</v>
      </c>
      <c r="FI44" s="89" t="s">
        <v>226</v>
      </c>
      <c r="FJ44" s="89" t="s">
        <v>226</v>
      </c>
      <c r="FK44" s="89" t="s">
        <v>226</v>
      </c>
      <c r="FL44" s="89" t="s">
        <v>226</v>
      </c>
      <c r="FM44" s="89" t="s">
        <v>226</v>
      </c>
      <c r="FN44" s="89" t="s">
        <v>226</v>
      </c>
      <c r="FO44" s="89" t="s">
        <v>226</v>
      </c>
      <c r="FP44" s="89" t="s">
        <v>226</v>
      </c>
      <c r="FQ44" s="89" t="s">
        <v>226</v>
      </c>
      <c r="FR44" s="89" t="s">
        <v>226</v>
      </c>
      <c r="FS44" s="89" t="s">
        <v>226</v>
      </c>
      <c r="FT44" s="89" t="s">
        <v>226</v>
      </c>
      <c r="FU44" s="89" t="s">
        <v>226</v>
      </c>
      <c r="FV44" s="89" t="s">
        <v>226</v>
      </c>
      <c r="FW44" s="89" t="s">
        <v>226</v>
      </c>
      <c r="FX44" s="89" t="s">
        <v>226</v>
      </c>
      <c r="FY44" s="89" t="s">
        <v>226</v>
      </c>
      <c r="FZ44" s="89" t="s">
        <v>226</v>
      </c>
      <c r="GA44" s="89" t="s">
        <v>226</v>
      </c>
      <c r="GB44" s="89" t="s">
        <v>226</v>
      </c>
      <c r="GC44" s="89" t="s">
        <v>226</v>
      </c>
      <c r="GD44" s="89" t="s">
        <v>226</v>
      </c>
      <c r="GE44" s="89" t="s">
        <v>226</v>
      </c>
      <c r="GF44" s="199" t="s">
        <v>256</v>
      </c>
      <c r="GG44" s="58" t="s">
        <v>226</v>
      </c>
      <c r="GH44" s="42" t="s">
        <v>226</v>
      </c>
      <c r="GI44" s="194" t="s">
        <v>226</v>
      </c>
      <c r="GJ44" s="58">
        <v>45918</v>
      </c>
      <c r="GK44" s="58">
        <v>45918</v>
      </c>
      <c r="GL44" s="58" t="s">
        <v>226</v>
      </c>
      <c r="GM44" s="203" t="str">
        <f t="shared" si="1"/>
        <v>N/A</v>
      </c>
      <c r="GN44" s="203" t="str">
        <f t="shared" si="2"/>
        <v>N/A</v>
      </c>
      <c r="GO44" s="203">
        <f t="shared" si="3"/>
        <v>2.7666666666666666</v>
      </c>
      <c r="GP44" s="203" t="str">
        <f t="shared" si="4"/>
        <v>N/A</v>
      </c>
      <c r="GQ44" s="203" t="str">
        <f t="shared" si="5"/>
        <v>N/A</v>
      </c>
      <c r="GR44" s="203" t="str">
        <f t="shared" si="6"/>
        <v>N/A</v>
      </c>
      <c r="GS44" s="203" t="str">
        <f t="shared" si="7"/>
        <v>N/A</v>
      </c>
      <c r="GT44" s="203" t="str">
        <f t="shared" si="8"/>
        <v>N/A</v>
      </c>
      <c r="GU44" s="203" t="str">
        <f t="shared" si="9"/>
        <v>N/A</v>
      </c>
      <c r="GV44" s="203" t="str">
        <f t="shared" si="10"/>
        <v>N/A</v>
      </c>
      <c r="GW44" s="203">
        <f t="shared" si="11"/>
        <v>4.6333333333333337</v>
      </c>
      <c r="GX44" s="203">
        <f t="shared" si="12"/>
        <v>8.1</v>
      </c>
      <c r="GY44" s="203" t="str">
        <f t="shared" si="13"/>
        <v>N/A</v>
      </c>
      <c r="GZ44" s="203" t="str">
        <f t="shared" si="14"/>
        <v>N/A</v>
      </c>
      <c r="HA44" s="203" t="str">
        <f t="shared" si="15"/>
        <v>N/A</v>
      </c>
      <c r="HB44" s="203" t="str">
        <f t="shared" si="16"/>
        <v>N/A</v>
      </c>
      <c r="HC44" s="203" t="str">
        <f t="shared" si="17"/>
        <v>N/A</v>
      </c>
      <c r="HD44" s="203">
        <f t="shared" si="18"/>
        <v>37.366666666666667</v>
      </c>
      <c r="HE44" s="203">
        <f t="shared" si="19"/>
        <v>37.366666666666667</v>
      </c>
      <c r="HF44" s="204">
        <f t="shared" si="20"/>
        <v>37.366666666666667</v>
      </c>
      <c r="HG44" s="204" cm="1">
        <f t="array" ref="HG44">INDEX($HB44:$HD44,MATCH(TRUE,INDEX(ISNUMBER($HB44:$HD44),0),0))</f>
        <v>37.366666666666667</v>
      </c>
      <c r="HH44" s="205">
        <f t="shared" si="21"/>
        <v>0</v>
      </c>
      <c r="HI44" s="206">
        <f t="shared" si="22"/>
        <v>0</v>
      </c>
      <c r="HJ44" s="91">
        <f t="shared" si="23"/>
        <v>0</v>
      </c>
      <c r="HK44" s="205" t="str">
        <f t="shared" si="24"/>
        <v>0</v>
      </c>
    </row>
    <row r="45" spans="1:219" ht="15" customHeight="1" x14ac:dyDescent="0.3">
      <c r="A45" s="64">
        <v>4381018575</v>
      </c>
      <c r="B45" s="93" t="s">
        <v>221</v>
      </c>
      <c r="C45" s="94" t="s">
        <v>222</v>
      </c>
      <c r="D45" s="62" t="s">
        <v>221</v>
      </c>
      <c r="E45" s="63" t="s">
        <v>425</v>
      </c>
      <c r="F45" s="63" t="s">
        <v>426</v>
      </c>
      <c r="G45" s="63" t="s">
        <v>427</v>
      </c>
      <c r="H45" s="65">
        <v>44882</v>
      </c>
      <c r="I45" s="95" t="s">
        <v>428</v>
      </c>
      <c r="J45" s="95" t="s">
        <v>429</v>
      </c>
      <c r="K45" s="63" t="s">
        <v>226</v>
      </c>
      <c r="L45" s="63" t="s">
        <v>226</v>
      </c>
      <c r="M45" s="63" t="s">
        <v>226</v>
      </c>
      <c r="N45" s="63" t="s">
        <v>226</v>
      </c>
      <c r="O45" s="63" t="s">
        <v>226</v>
      </c>
      <c r="P45" s="70" t="s">
        <v>226</v>
      </c>
      <c r="Q45" s="94" t="s">
        <v>222</v>
      </c>
      <c r="R45" s="67" t="s">
        <v>226</v>
      </c>
      <c r="S45" s="96" t="s">
        <v>226</v>
      </c>
      <c r="T45" s="96" t="s">
        <v>226</v>
      </c>
      <c r="U45" s="97" t="s">
        <v>226</v>
      </c>
      <c r="V45" s="94" t="s">
        <v>226</v>
      </c>
      <c r="W45" s="67" t="s">
        <v>226</v>
      </c>
      <c r="X45" s="96" t="s">
        <v>226</v>
      </c>
      <c r="Y45" s="96" t="s">
        <v>226</v>
      </c>
      <c r="Z45" s="97" t="s">
        <v>226</v>
      </c>
      <c r="AA45" s="94" t="s">
        <v>226</v>
      </c>
      <c r="AB45" s="67" t="s">
        <v>226</v>
      </c>
      <c r="AC45" s="96" t="s">
        <v>226</v>
      </c>
      <c r="AD45" s="96" t="s">
        <v>226</v>
      </c>
      <c r="AE45" s="97" t="s">
        <v>226</v>
      </c>
      <c r="AF45" s="94" t="s">
        <v>226</v>
      </c>
      <c r="AG45" s="67" t="s">
        <v>226</v>
      </c>
      <c r="AH45" s="96" t="s">
        <v>226</v>
      </c>
      <c r="AI45" s="96" t="s">
        <v>226</v>
      </c>
      <c r="AJ45" s="97" t="s">
        <v>226</v>
      </c>
      <c r="AK45" s="94" t="s">
        <v>226</v>
      </c>
      <c r="AL45" s="67" t="s">
        <v>226</v>
      </c>
      <c r="AM45" s="96" t="s">
        <v>226</v>
      </c>
      <c r="AN45" s="96" t="s">
        <v>226</v>
      </c>
      <c r="AO45" s="97" t="s">
        <v>226</v>
      </c>
      <c r="AP45" s="94" t="s">
        <v>226</v>
      </c>
      <c r="AQ45" s="71" t="s">
        <v>227</v>
      </c>
      <c r="AR45" s="98">
        <v>15274</v>
      </c>
      <c r="AS45" s="70">
        <v>44855</v>
      </c>
      <c r="AT45" s="99">
        <f t="shared" si="0"/>
        <v>80</v>
      </c>
      <c r="AU45" s="95" t="s">
        <v>252</v>
      </c>
      <c r="AV45" s="94" t="s">
        <v>229</v>
      </c>
      <c r="AW45" s="94" t="s">
        <v>221</v>
      </c>
      <c r="AX45" s="100">
        <v>2</v>
      </c>
      <c r="AY45" s="100">
        <v>0</v>
      </c>
      <c r="AZ45" s="100" t="s">
        <v>232</v>
      </c>
      <c r="BA45" s="100">
        <v>0</v>
      </c>
      <c r="BB45" s="94" t="s">
        <v>253</v>
      </c>
      <c r="BC45" s="101">
        <v>3</v>
      </c>
      <c r="BD45" s="102" t="s">
        <v>234</v>
      </c>
      <c r="BE45" s="94" t="s">
        <v>254</v>
      </c>
      <c r="BF45" s="102" t="s">
        <v>221</v>
      </c>
      <c r="BG45" s="103" t="s">
        <v>226</v>
      </c>
      <c r="BH45" s="104" t="s">
        <v>226</v>
      </c>
      <c r="BI45" s="104" t="s">
        <v>226</v>
      </c>
      <c r="BJ45" s="104" t="s">
        <v>226</v>
      </c>
      <c r="BK45" s="104" t="s">
        <v>226</v>
      </c>
      <c r="BL45" s="104" t="s">
        <v>226</v>
      </c>
      <c r="BM45" s="104" t="s">
        <v>226</v>
      </c>
      <c r="BN45" s="104" t="s">
        <v>226</v>
      </c>
      <c r="BO45" s="104" t="s">
        <v>226</v>
      </c>
      <c r="BP45" s="104" t="s">
        <v>226</v>
      </c>
      <c r="BQ45" s="104" t="s">
        <v>226</v>
      </c>
      <c r="BR45" s="104" t="s">
        <v>226</v>
      </c>
      <c r="BS45" s="104" t="s">
        <v>226</v>
      </c>
      <c r="BT45" s="104" t="s">
        <v>226</v>
      </c>
      <c r="BU45" s="104" t="s">
        <v>226</v>
      </c>
      <c r="BV45" s="104" t="s">
        <v>226</v>
      </c>
      <c r="BW45" s="104" t="s">
        <v>226</v>
      </c>
      <c r="BX45" s="104" t="s">
        <v>226</v>
      </c>
      <c r="BY45" s="104" t="s">
        <v>226</v>
      </c>
      <c r="BZ45" s="104" t="s">
        <v>226</v>
      </c>
      <c r="CA45" s="104" t="s">
        <v>226</v>
      </c>
      <c r="CB45" s="104" t="s">
        <v>226</v>
      </c>
      <c r="CC45" s="104" t="s">
        <v>226</v>
      </c>
      <c r="CD45" s="104" t="s">
        <v>226</v>
      </c>
      <c r="CE45" s="104" t="s">
        <v>226</v>
      </c>
      <c r="CF45" s="104" t="s">
        <v>226</v>
      </c>
      <c r="CG45" s="104" t="s">
        <v>226</v>
      </c>
      <c r="CH45" s="104" t="s">
        <v>226</v>
      </c>
      <c r="CI45" s="104" t="s">
        <v>226</v>
      </c>
      <c r="CJ45" s="104" t="s">
        <v>226</v>
      </c>
      <c r="CK45" s="104" t="s">
        <v>226</v>
      </c>
      <c r="CL45" s="104" t="s">
        <v>226</v>
      </c>
      <c r="CM45" s="104" t="s">
        <v>226</v>
      </c>
      <c r="CN45" s="105" t="s">
        <v>247</v>
      </c>
      <c r="CO45" s="68" t="s">
        <v>321</v>
      </c>
      <c r="CP45" s="65">
        <v>44949</v>
      </c>
      <c r="CQ45" s="65">
        <v>44956</v>
      </c>
      <c r="CR45" s="63" t="s">
        <v>226</v>
      </c>
      <c r="CS45" s="105" t="s">
        <v>226</v>
      </c>
      <c r="CT45" s="63" t="s">
        <v>226</v>
      </c>
      <c r="CU45" s="63" t="s">
        <v>226</v>
      </c>
      <c r="CV45" s="106" t="s">
        <v>226</v>
      </c>
      <c r="CW45" s="63" t="s">
        <v>226</v>
      </c>
      <c r="CX45" s="63" t="s">
        <v>226</v>
      </c>
      <c r="CY45" s="104" t="s">
        <v>226</v>
      </c>
      <c r="CZ45" s="104" t="s">
        <v>226</v>
      </c>
      <c r="DA45" s="104" t="s">
        <v>226</v>
      </c>
      <c r="DB45" s="104" t="s">
        <v>226</v>
      </c>
      <c r="DC45" s="104" t="s">
        <v>226</v>
      </c>
      <c r="DD45" s="104" t="s">
        <v>226</v>
      </c>
      <c r="DE45" s="104" t="s">
        <v>226</v>
      </c>
      <c r="DF45" s="104" t="s">
        <v>226</v>
      </c>
      <c r="DG45" s="104" t="s">
        <v>226</v>
      </c>
      <c r="DH45" s="104" t="s">
        <v>226</v>
      </c>
      <c r="DI45" s="104" t="s">
        <v>226</v>
      </c>
      <c r="DJ45" s="104" t="s">
        <v>226</v>
      </c>
      <c r="DK45" s="104" t="s">
        <v>226</v>
      </c>
      <c r="DL45" s="104" t="s">
        <v>226</v>
      </c>
      <c r="DM45" s="104" t="s">
        <v>226</v>
      </c>
      <c r="DN45" s="104" t="s">
        <v>226</v>
      </c>
      <c r="DO45" s="104" t="s">
        <v>226</v>
      </c>
      <c r="DP45" s="104" t="s">
        <v>226</v>
      </c>
      <c r="DQ45" s="104" t="s">
        <v>226</v>
      </c>
      <c r="DR45" s="104" t="s">
        <v>226</v>
      </c>
      <c r="DS45" s="104" t="s">
        <v>226</v>
      </c>
      <c r="DT45" s="104" t="s">
        <v>226</v>
      </c>
      <c r="DU45" s="104" t="s">
        <v>226</v>
      </c>
      <c r="DV45" s="104" t="s">
        <v>226</v>
      </c>
      <c r="DW45" s="104" t="s">
        <v>226</v>
      </c>
      <c r="DX45" s="104" t="s">
        <v>226</v>
      </c>
      <c r="DY45" s="104" t="s">
        <v>226</v>
      </c>
      <c r="DZ45" s="104" t="s">
        <v>226</v>
      </c>
      <c r="EA45" s="104" t="s">
        <v>226</v>
      </c>
      <c r="EB45" s="104" t="s">
        <v>226</v>
      </c>
      <c r="EC45" s="104" t="s">
        <v>226</v>
      </c>
      <c r="ED45" s="104" t="s">
        <v>226</v>
      </c>
      <c r="EE45" s="104" t="s">
        <v>226</v>
      </c>
      <c r="EF45" s="104" t="s">
        <v>226</v>
      </c>
      <c r="EG45" s="104" t="s">
        <v>226</v>
      </c>
      <c r="EH45" s="104" t="s">
        <v>226</v>
      </c>
      <c r="EI45" s="65">
        <v>45964</v>
      </c>
      <c r="EJ45" s="68" t="s">
        <v>430</v>
      </c>
      <c r="EK45" s="105" t="s">
        <v>226</v>
      </c>
      <c r="EL45" s="63" t="s">
        <v>226</v>
      </c>
      <c r="EM45" s="65" t="s">
        <v>226</v>
      </c>
      <c r="EN45" s="65" t="s">
        <v>226</v>
      </c>
      <c r="EO45" s="63" t="s">
        <v>226</v>
      </c>
      <c r="EP45" s="105" t="s">
        <v>226</v>
      </c>
      <c r="EQ45" s="63" t="s">
        <v>226</v>
      </c>
      <c r="ER45" s="63" t="s">
        <v>226</v>
      </c>
      <c r="ES45" s="105" t="s">
        <v>226</v>
      </c>
      <c r="ET45" s="63" t="s">
        <v>226</v>
      </c>
      <c r="EU45" s="63" t="s">
        <v>226</v>
      </c>
      <c r="EV45" s="105" t="s">
        <v>226</v>
      </c>
      <c r="EW45" s="63" t="s">
        <v>226</v>
      </c>
      <c r="EX45" s="63" t="s">
        <v>226</v>
      </c>
      <c r="EY45" s="105" t="s">
        <v>226</v>
      </c>
      <c r="EZ45" s="63" t="s">
        <v>226</v>
      </c>
      <c r="FA45" s="63" t="s">
        <v>226</v>
      </c>
      <c r="FB45" s="106" t="s">
        <v>226</v>
      </c>
      <c r="FC45" s="63" t="s">
        <v>226</v>
      </c>
      <c r="FD45" s="63" t="s">
        <v>226</v>
      </c>
      <c r="FE45" s="104" t="s">
        <v>226</v>
      </c>
      <c r="FF45" s="104" t="s">
        <v>226</v>
      </c>
      <c r="FG45" s="104" t="s">
        <v>226</v>
      </c>
      <c r="FH45" s="104" t="s">
        <v>226</v>
      </c>
      <c r="FI45" s="104" t="s">
        <v>226</v>
      </c>
      <c r="FJ45" s="104" t="s">
        <v>226</v>
      </c>
      <c r="FK45" s="104" t="s">
        <v>226</v>
      </c>
      <c r="FL45" s="104" t="s">
        <v>226</v>
      </c>
      <c r="FM45" s="104" t="s">
        <v>226</v>
      </c>
      <c r="FN45" s="104" t="s">
        <v>226</v>
      </c>
      <c r="FO45" s="104" t="s">
        <v>226</v>
      </c>
      <c r="FP45" s="104" t="s">
        <v>226</v>
      </c>
      <c r="FQ45" s="104" t="s">
        <v>226</v>
      </c>
      <c r="FR45" s="104" t="s">
        <v>226</v>
      </c>
      <c r="FS45" s="104" t="s">
        <v>226</v>
      </c>
      <c r="FT45" s="104" t="s">
        <v>226</v>
      </c>
      <c r="FU45" s="104" t="s">
        <v>226</v>
      </c>
      <c r="FV45" s="104" t="s">
        <v>226</v>
      </c>
      <c r="FW45" s="104" t="s">
        <v>226</v>
      </c>
      <c r="FX45" s="104" t="s">
        <v>226</v>
      </c>
      <c r="FY45" s="104" t="s">
        <v>226</v>
      </c>
      <c r="FZ45" s="104" t="s">
        <v>226</v>
      </c>
      <c r="GA45" s="104" t="s">
        <v>226</v>
      </c>
      <c r="GB45" s="104" t="s">
        <v>226</v>
      </c>
      <c r="GC45" s="104" t="s">
        <v>226</v>
      </c>
      <c r="GD45" s="104" t="s">
        <v>226</v>
      </c>
      <c r="GE45" s="104" t="s">
        <v>226</v>
      </c>
      <c r="GF45" s="100" t="s">
        <v>256</v>
      </c>
      <c r="GG45" s="107" t="s">
        <v>226</v>
      </c>
      <c r="GH45" s="94" t="s">
        <v>226</v>
      </c>
      <c r="GI45" s="68" t="s">
        <v>226</v>
      </c>
      <c r="GJ45" s="65">
        <v>45973</v>
      </c>
      <c r="GK45" s="65">
        <v>45973</v>
      </c>
      <c r="GL45" s="65" t="s">
        <v>226</v>
      </c>
      <c r="GM45" s="111" t="str">
        <f>IFERROR(INT(BJ45 - $AS45)/30,"N/A")</f>
        <v>N/A</v>
      </c>
      <c r="GN45" s="111" t="str">
        <f>IFERROR(INT(BK45 - $AS45)/30,"N/A")</f>
        <v>N/A</v>
      </c>
      <c r="GO45" s="111">
        <f>IFERROR(INT(H45 - $AS45)/30,"N/A")</f>
        <v>0.9</v>
      </c>
      <c r="GP45" s="111" t="str">
        <f>IFERROR(INT(K45 - $AS45)/30,"N/A")</f>
        <v>N/A</v>
      </c>
      <c r="GQ45" s="111" t="str">
        <f>IFERROR(INT(P45 - $AS45)/30,"N/A")</f>
        <v>N/A</v>
      </c>
      <c r="GR45" s="111" t="str">
        <f t="shared" si="6"/>
        <v>N/A</v>
      </c>
      <c r="GS45" s="111" t="str">
        <f t="shared" si="7"/>
        <v>N/A</v>
      </c>
      <c r="GT45" s="111" t="str">
        <f t="shared" si="8"/>
        <v>N/A</v>
      </c>
      <c r="GU45" s="111" t="str">
        <f t="shared" si="9"/>
        <v>N/A</v>
      </c>
      <c r="GV45" s="111" t="str">
        <f t="shared" si="10"/>
        <v>N/A</v>
      </c>
      <c r="GW45" s="111">
        <f t="shared" si="11"/>
        <v>3.1333333333333333</v>
      </c>
      <c r="GX45" s="111">
        <f t="shared" si="12"/>
        <v>3.3666666666666667</v>
      </c>
      <c r="GY45" s="111">
        <f t="shared" si="13"/>
        <v>36.966666666666669</v>
      </c>
      <c r="GZ45" s="111" t="str">
        <f t="shared" si="14"/>
        <v>N/A</v>
      </c>
      <c r="HA45" s="111" t="str">
        <f t="shared" si="15"/>
        <v>N/A</v>
      </c>
      <c r="HB45" s="111">
        <f t="shared" si="16"/>
        <v>36.966666666666669</v>
      </c>
      <c r="HC45" s="111" t="str">
        <f t="shared" si="17"/>
        <v>N/A</v>
      </c>
      <c r="HD45" s="111">
        <f t="shared" si="18"/>
        <v>37.266666666666666</v>
      </c>
      <c r="HE45" s="111">
        <f t="shared" si="19"/>
        <v>37.266666666666666</v>
      </c>
      <c r="HF45" s="112">
        <f t="shared" si="20"/>
        <v>37.266666666666666</v>
      </c>
      <c r="HG45" s="112" cm="1">
        <f t="array" ref="HG45">INDEX($HB45:$HD45,MATCH(TRUE,INDEX(ISNUMBER($HB45:$HD45),0),0))</f>
        <v>36.966666666666669</v>
      </c>
      <c r="HH45" s="108">
        <f t="shared" si="21"/>
        <v>1</v>
      </c>
      <c r="HI45" s="108">
        <f t="shared" si="22"/>
        <v>0</v>
      </c>
      <c r="HJ45" s="208">
        <f t="shared" si="23"/>
        <v>0</v>
      </c>
      <c r="HK45" s="161" t="str">
        <f t="shared" si="24"/>
        <v>1</v>
      </c>
    </row>
  </sheetData>
  <conditionalFormatting sqref="A1:A3 E1:E3 E46:E1048576 A46:A1048576">
    <cfRule type="duplicateValues" dxfId="226" priority="4"/>
  </conditionalFormatting>
  <conditionalFormatting sqref="A4:A45">
    <cfRule type="duplicateValues" dxfId="225" priority="1"/>
  </conditionalFormatting>
  <dataValidations count="1">
    <dataValidation type="list" allowBlank="1" showInputMessage="1" showErrorMessage="1" sqref="GF4:GF45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BF4:BF45 GH4:GH45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CN43:CN45 EK45 ES45 EV45 EY15:EY45 CS43:CS45 CV43:CV45 FB15:FB45 EP5 EK4:EK5 FB5 EY5 EV5 ES5 CS9 CV9 ES9 EP9 FB11 ES11 CS11 EY11 EK9:EK11 EP11 EV11 CN4:CN12 CN14:CN16 CV14:CV16 EV15:EV16 CS14:CS16 ES15:ES16 EK14:EK16 EP14:EP16 CN18 ES20 EK20 EP20 CV20 EV20 CS20 CS22:CS23 ES22:ES23 EK22:EK23 EP22:EP23 CV22:CV23 EV22:EV23 EV25:EV26 CS25:CS26 CN20:CN26 ES25:ES26 EK25:EK26 EP25:EP26 CV25:CV26 EP29 EV29 ES29 EK29 CN28:CN31 EP35 CV35 EV35 EK34:EK35 CN33:CN35 CS34:CS35 ES35 CV37:CV38 CS37:CS38 CS40 CV40 EV39:EV41 ES39:ES41 EK39:EK41 EP39:EP41 CN37:CN41 EV43 ES43 EK43 EP43 EP45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P43"/>
  <sheetViews>
    <sheetView tabSelected="1" topLeftCell="A26" workbookViewId="0">
      <selection activeCell="P2" sqref="P2:P43"/>
    </sheetView>
  </sheetViews>
  <sheetFormatPr defaultRowHeight="12.75" customHeight="1" x14ac:dyDescent="0.25"/>
  <cols>
    <col min="1" max="1" width="28.453125" customWidth="1"/>
    <col min="2" max="2" width="9.7265625" customWidth="1"/>
    <col min="3" max="3" width="28.81640625" customWidth="1"/>
    <col min="4" max="4" width="40.54296875" customWidth="1"/>
    <col min="5" max="5" width="21.26953125" customWidth="1"/>
    <col min="6" max="6" width="26.90625" customWidth="1"/>
    <col min="7" max="7" width="28.453125" customWidth="1"/>
    <col min="8" max="8" width="27.36328125" customWidth="1"/>
    <col min="9" max="9" width="27.54296875" customWidth="1"/>
    <col min="10" max="10" width="27.6328125" customWidth="1"/>
    <col min="11" max="11" width="46.7265625" customWidth="1"/>
    <col min="12" max="12" width="15.1796875" customWidth="1"/>
    <col min="13" max="13" width="17.26953125" customWidth="1"/>
    <col min="14" max="14" width="16.7265625" customWidth="1"/>
    <col min="15" max="15" width="27.1796875" customWidth="1"/>
    <col min="16" max="16" width="10.453125" customWidth="1"/>
  </cols>
  <sheetData>
    <row r="1" spans="1:16" ht="26" x14ac:dyDescent="0.25">
      <c r="A1" s="209" t="s">
        <v>2</v>
      </c>
      <c r="B1" s="73" t="s">
        <v>431</v>
      </c>
      <c r="C1" s="74" t="s">
        <v>6</v>
      </c>
      <c r="D1" s="74" t="s">
        <v>432</v>
      </c>
      <c r="E1" s="74" t="s">
        <v>433</v>
      </c>
      <c r="F1" s="74" t="s">
        <v>434</v>
      </c>
      <c r="G1" s="74" t="s">
        <v>435</v>
      </c>
      <c r="H1" s="74" t="s">
        <v>436</v>
      </c>
      <c r="I1" s="74" t="s">
        <v>437</v>
      </c>
      <c r="J1" s="74" t="s">
        <v>438</v>
      </c>
      <c r="K1" s="74" t="s">
        <v>439</v>
      </c>
      <c r="L1" s="74" t="s">
        <v>440</v>
      </c>
      <c r="M1" s="86" t="s">
        <v>441</v>
      </c>
      <c r="N1" s="87" t="s">
        <v>442</v>
      </c>
      <c r="O1" s="87" t="s">
        <v>443</v>
      </c>
      <c r="P1" s="114" t="s">
        <v>444</v>
      </c>
    </row>
    <row r="2" spans="1:16" ht="13" x14ac:dyDescent="0.3">
      <c r="A2" s="210">
        <v>4342908360</v>
      </c>
      <c r="B2" s="76" t="s">
        <v>445</v>
      </c>
      <c r="C2" s="75" t="s">
        <v>223</v>
      </c>
      <c r="D2" s="76" t="s">
        <v>226</v>
      </c>
      <c r="E2" s="75" t="s">
        <v>232</v>
      </c>
      <c r="F2" s="76" t="s">
        <v>446</v>
      </c>
      <c r="G2" s="76" t="s">
        <v>447</v>
      </c>
      <c r="H2" s="77" t="s">
        <v>232</v>
      </c>
      <c r="I2" s="75" t="s">
        <v>448</v>
      </c>
      <c r="J2" s="77" t="s">
        <v>232</v>
      </c>
      <c r="K2" s="77" t="s">
        <v>232</v>
      </c>
      <c r="L2" s="77" t="s">
        <v>232</v>
      </c>
      <c r="M2" s="85" t="s">
        <v>449</v>
      </c>
      <c r="P2" s="113" t="s">
        <v>450</v>
      </c>
    </row>
    <row r="3" spans="1:16" ht="13" x14ac:dyDescent="0.3">
      <c r="A3" s="210">
        <v>4382389941</v>
      </c>
      <c r="B3" s="76" t="s">
        <v>451</v>
      </c>
      <c r="C3" s="75" t="s">
        <v>239</v>
      </c>
      <c r="D3" s="76" t="s">
        <v>226</v>
      </c>
      <c r="E3" s="75" t="s">
        <v>232</v>
      </c>
      <c r="F3" s="76" t="s">
        <v>446</v>
      </c>
      <c r="G3" s="76" t="s">
        <v>447</v>
      </c>
      <c r="H3" s="76" t="s">
        <v>447</v>
      </c>
      <c r="I3" s="77" t="s">
        <v>232</v>
      </c>
      <c r="J3" s="77" t="s">
        <v>232</v>
      </c>
      <c r="K3" s="77" t="s">
        <v>232</v>
      </c>
      <c r="L3" s="77" t="s">
        <v>232</v>
      </c>
      <c r="M3" s="85" t="s">
        <v>449</v>
      </c>
      <c r="P3" s="113" t="s">
        <v>450</v>
      </c>
    </row>
    <row r="4" spans="1:16" ht="13" x14ac:dyDescent="0.3">
      <c r="A4" s="210">
        <v>4160684432</v>
      </c>
      <c r="B4" s="76" t="s">
        <v>452</v>
      </c>
      <c r="C4" s="75" t="s">
        <v>249</v>
      </c>
      <c r="D4" s="76" t="s">
        <v>226</v>
      </c>
      <c r="E4" s="75" t="s">
        <v>232</v>
      </c>
      <c r="F4" s="76" t="s">
        <v>446</v>
      </c>
      <c r="G4" s="76" t="s">
        <v>447</v>
      </c>
      <c r="H4" s="76" t="s">
        <v>447</v>
      </c>
      <c r="I4" s="75" t="s">
        <v>448</v>
      </c>
      <c r="J4" s="75" t="s">
        <v>448</v>
      </c>
      <c r="K4" s="76" t="s">
        <v>453</v>
      </c>
      <c r="L4" s="77" t="s">
        <v>454</v>
      </c>
      <c r="M4" s="85" t="s">
        <v>449</v>
      </c>
      <c r="P4" s="113" t="s">
        <v>450</v>
      </c>
    </row>
    <row r="5" spans="1:16" ht="13" x14ac:dyDescent="0.3">
      <c r="A5" s="210">
        <v>4861674565</v>
      </c>
      <c r="B5" s="76" t="s">
        <v>455</v>
      </c>
      <c r="C5" s="75" t="s">
        <v>257</v>
      </c>
      <c r="D5" s="76" t="s">
        <v>226</v>
      </c>
      <c r="E5" s="75" t="s">
        <v>232</v>
      </c>
      <c r="F5" s="76" t="s">
        <v>446</v>
      </c>
      <c r="G5" s="75" t="s">
        <v>448</v>
      </c>
      <c r="H5" s="75" t="s">
        <v>448</v>
      </c>
      <c r="I5" s="76" t="s">
        <v>447</v>
      </c>
      <c r="J5" s="76" t="s">
        <v>447</v>
      </c>
      <c r="K5" s="75" t="s">
        <v>226</v>
      </c>
      <c r="L5" s="77" t="s">
        <v>232</v>
      </c>
      <c r="M5" s="85" t="s">
        <v>449</v>
      </c>
      <c r="P5" s="113" t="s">
        <v>450</v>
      </c>
    </row>
    <row r="6" spans="1:16" ht="13" x14ac:dyDescent="0.3">
      <c r="A6" s="211">
        <v>7047516980</v>
      </c>
      <c r="B6" s="76" t="s">
        <v>456</v>
      </c>
      <c r="C6" s="78" t="s">
        <v>260</v>
      </c>
      <c r="D6" s="76" t="s">
        <v>226</v>
      </c>
      <c r="E6" s="76" t="s">
        <v>232</v>
      </c>
      <c r="F6" s="76" t="s">
        <v>446</v>
      </c>
      <c r="G6" s="76" t="s">
        <v>447</v>
      </c>
      <c r="H6" s="76" t="s">
        <v>447</v>
      </c>
      <c r="I6" s="76" t="s">
        <v>448</v>
      </c>
      <c r="J6" s="76" t="s">
        <v>448</v>
      </c>
      <c r="K6" s="76" t="s">
        <v>453</v>
      </c>
      <c r="L6" s="76" t="s">
        <v>454</v>
      </c>
      <c r="M6" s="85" t="s">
        <v>449</v>
      </c>
      <c r="P6" s="113" t="s">
        <v>450</v>
      </c>
    </row>
    <row r="7" spans="1:16" ht="13" x14ac:dyDescent="0.3">
      <c r="A7" s="212">
        <v>4185839723</v>
      </c>
      <c r="B7" s="76" t="s">
        <v>457</v>
      </c>
      <c r="C7" s="79" t="s">
        <v>268</v>
      </c>
      <c r="D7" s="76" t="s">
        <v>226</v>
      </c>
      <c r="E7" s="76" t="s">
        <v>458</v>
      </c>
      <c r="F7" s="76" t="s">
        <v>446</v>
      </c>
      <c r="G7" s="76" t="s">
        <v>447</v>
      </c>
      <c r="H7" s="76" t="s">
        <v>447</v>
      </c>
      <c r="I7" s="76" t="s">
        <v>448</v>
      </c>
      <c r="J7" s="76" t="s">
        <v>448</v>
      </c>
      <c r="K7" s="76" t="s">
        <v>453</v>
      </c>
      <c r="L7" s="76" t="s">
        <v>454</v>
      </c>
      <c r="M7" s="85" t="s">
        <v>449</v>
      </c>
      <c r="P7" s="113" t="s">
        <v>450</v>
      </c>
    </row>
    <row r="8" spans="1:16" ht="13" x14ac:dyDescent="0.3">
      <c r="A8" s="210">
        <v>4862144853</v>
      </c>
      <c r="B8" s="76" t="s">
        <v>459</v>
      </c>
      <c r="C8" s="76" t="s">
        <v>283</v>
      </c>
      <c r="D8" s="76" t="s">
        <v>226</v>
      </c>
      <c r="E8" s="76" t="s">
        <v>232</v>
      </c>
      <c r="F8" s="76" t="s">
        <v>446</v>
      </c>
      <c r="G8" s="76" t="s">
        <v>447</v>
      </c>
      <c r="H8" s="76" t="s">
        <v>447</v>
      </c>
      <c r="I8" s="76" t="s">
        <v>448</v>
      </c>
      <c r="J8" s="76" t="s">
        <v>460</v>
      </c>
      <c r="K8" s="76" t="s">
        <v>453</v>
      </c>
      <c r="L8" s="76" t="s">
        <v>454</v>
      </c>
      <c r="M8" s="85" t="s">
        <v>449</v>
      </c>
      <c r="P8" s="113" t="s">
        <v>450</v>
      </c>
    </row>
    <row r="9" spans="1:16" ht="13" x14ac:dyDescent="0.3">
      <c r="A9" s="210">
        <v>6244603990</v>
      </c>
      <c r="B9" s="76" t="s">
        <v>461</v>
      </c>
      <c r="C9" s="80" t="s">
        <v>287</v>
      </c>
      <c r="D9" s="76" t="s">
        <v>462</v>
      </c>
      <c r="E9" s="76" t="s">
        <v>426</v>
      </c>
      <c r="F9" s="76" t="s">
        <v>446</v>
      </c>
      <c r="G9" s="76" t="s">
        <v>447</v>
      </c>
      <c r="H9" s="76" t="s">
        <v>447</v>
      </c>
      <c r="I9" s="76" t="s">
        <v>232</v>
      </c>
      <c r="J9" s="76" t="s">
        <v>232</v>
      </c>
      <c r="K9" s="76" t="s">
        <v>453</v>
      </c>
      <c r="L9" s="76" t="s">
        <v>454</v>
      </c>
      <c r="M9" s="85" t="s">
        <v>449</v>
      </c>
      <c r="P9" s="113" t="s">
        <v>450</v>
      </c>
    </row>
    <row r="10" spans="1:16" ht="13" x14ac:dyDescent="0.3">
      <c r="A10" s="210">
        <v>4646766140</v>
      </c>
      <c r="B10" s="76" t="s">
        <v>463</v>
      </c>
      <c r="C10" s="76" t="s">
        <v>295</v>
      </c>
      <c r="D10" s="76" t="s">
        <v>226</v>
      </c>
      <c r="E10" s="76" t="s">
        <v>232</v>
      </c>
      <c r="F10" s="76" t="s">
        <v>446</v>
      </c>
      <c r="G10" s="76" t="s">
        <v>447</v>
      </c>
      <c r="H10" s="76" t="s">
        <v>447</v>
      </c>
      <c r="I10" s="76" t="s">
        <v>448</v>
      </c>
      <c r="J10" s="76" t="s">
        <v>448</v>
      </c>
      <c r="K10" s="76" t="s">
        <v>453</v>
      </c>
      <c r="L10" s="76" t="s">
        <v>454</v>
      </c>
      <c r="M10" s="85" t="s">
        <v>449</v>
      </c>
      <c r="P10" s="113" t="s">
        <v>450</v>
      </c>
    </row>
    <row r="11" spans="1:16" ht="13" x14ac:dyDescent="0.3">
      <c r="A11" s="210">
        <v>6240724270</v>
      </c>
      <c r="B11" s="76" t="s">
        <v>464</v>
      </c>
      <c r="C11" s="76" t="s">
        <v>299</v>
      </c>
      <c r="D11" s="76" t="s">
        <v>226</v>
      </c>
      <c r="E11" s="76" t="s">
        <v>314</v>
      </c>
      <c r="F11" s="76" t="s">
        <v>446</v>
      </c>
      <c r="G11" s="76" t="s">
        <v>447</v>
      </c>
      <c r="H11" s="76" t="s">
        <v>447</v>
      </c>
      <c r="I11" s="76" t="s">
        <v>448</v>
      </c>
      <c r="J11" s="76" t="s">
        <v>448</v>
      </c>
      <c r="K11" s="76" t="s">
        <v>453</v>
      </c>
      <c r="L11" s="76" t="s">
        <v>454</v>
      </c>
      <c r="M11" s="85" t="s">
        <v>449</v>
      </c>
      <c r="P11" s="113" t="s">
        <v>450</v>
      </c>
    </row>
    <row r="12" spans="1:16" ht="13" x14ac:dyDescent="0.3">
      <c r="A12" s="210">
        <v>4387713127</v>
      </c>
      <c r="B12" s="76" t="s">
        <v>465</v>
      </c>
      <c r="C12" s="76" t="s">
        <v>303</v>
      </c>
      <c r="D12" s="76" t="s">
        <v>226</v>
      </c>
      <c r="E12" s="76" t="s">
        <v>392</v>
      </c>
      <c r="F12" s="76" t="s">
        <v>446</v>
      </c>
      <c r="G12" s="76" t="s">
        <v>447</v>
      </c>
      <c r="H12" s="76" t="s">
        <v>447</v>
      </c>
      <c r="I12" s="76" t="s">
        <v>448</v>
      </c>
      <c r="J12" s="76" t="s">
        <v>448</v>
      </c>
      <c r="K12" s="76" t="s">
        <v>453</v>
      </c>
      <c r="L12" s="76" t="s">
        <v>454</v>
      </c>
      <c r="M12" s="85" t="s">
        <v>449</v>
      </c>
      <c r="P12" s="113" t="s">
        <v>450</v>
      </c>
    </row>
    <row r="13" spans="1:16" ht="13" x14ac:dyDescent="0.3">
      <c r="A13" s="210">
        <v>4581912849</v>
      </c>
      <c r="B13" s="76" t="s">
        <v>466</v>
      </c>
      <c r="C13" s="76" t="s">
        <v>313</v>
      </c>
      <c r="D13" s="76" t="s">
        <v>226</v>
      </c>
      <c r="E13" s="81" t="s">
        <v>262</v>
      </c>
      <c r="F13" s="76" t="s">
        <v>446</v>
      </c>
      <c r="G13" s="76" t="s">
        <v>447</v>
      </c>
      <c r="H13" s="76" t="s">
        <v>447</v>
      </c>
      <c r="I13" s="76" t="s">
        <v>448</v>
      </c>
      <c r="J13" s="76" t="s">
        <v>448</v>
      </c>
      <c r="K13" s="76" t="s">
        <v>453</v>
      </c>
      <c r="L13" s="76" t="s">
        <v>454</v>
      </c>
      <c r="M13" s="85" t="s">
        <v>449</v>
      </c>
      <c r="P13" s="113" t="s">
        <v>450</v>
      </c>
    </row>
    <row r="14" spans="1:16" ht="13" x14ac:dyDescent="0.3">
      <c r="A14" s="210">
        <v>4506203151</v>
      </c>
      <c r="B14" s="76" t="s">
        <v>467</v>
      </c>
      <c r="C14" s="76" t="s">
        <v>318</v>
      </c>
      <c r="D14" s="76" t="s">
        <v>226</v>
      </c>
      <c r="E14" s="76" t="s">
        <v>301</v>
      </c>
      <c r="F14" s="76" t="s">
        <v>446</v>
      </c>
      <c r="G14" s="76" t="s">
        <v>447</v>
      </c>
      <c r="H14" s="76" t="s">
        <v>447</v>
      </c>
      <c r="I14" s="76" t="s">
        <v>448</v>
      </c>
      <c r="J14" s="76" t="s">
        <v>448</v>
      </c>
      <c r="K14" s="76" t="s">
        <v>453</v>
      </c>
      <c r="L14" s="76" t="s">
        <v>454</v>
      </c>
      <c r="M14" s="85" t="s">
        <v>449</v>
      </c>
      <c r="P14" s="113" t="s">
        <v>450</v>
      </c>
    </row>
    <row r="15" spans="1:16" ht="13" x14ac:dyDescent="0.3">
      <c r="A15" s="210">
        <v>6290449265</v>
      </c>
      <c r="B15" s="76" t="s">
        <v>468</v>
      </c>
      <c r="C15" s="76" t="s">
        <v>324</v>
      </c>
      <c r="D15" s="76" t="s">
        <v>226</v>
      </c>
      <c r="E15" s="81" t="s">
        <v>469</v>
      </c>
      <c r="F15" s="76" t="s">
        <v>446</v>
      </c>
      <c r="G15" s="76" t="s">
        <v>448</v>
      </c>
      <c r="H15" s="76" t="s">
        <v>447</v>
      </c>
      <c r="I15" s="76" t="s">
        <v>448</v>
      </c>
      <c r="J15" s="76" t="s">
        <v>447</v>
      </c>
      <c r="K15" s="76" t="s">
        <v>226</v>
      </c>
      <c r="L15" s="82" t="s">
        <v>221</v>
      </c>
      <c r="M15" s="85" t="s">
        <v>449</v>
      </c>
      <c r="P15" s="113" t="s">
        <v>450</v>
      </c>
    </row>
    <row r="16" spans="1:16" ht="13" x14ac:dyDescent="0.3">
      <c r="A16" s="210">
        <v>4627804245</v>
      </c>
      <c r="B16" s="76" t="s">
        <v>470</v>
      </c>
      <c r="C16" s="76" t="s">
        <v>325</v>
      </c>
      <c r="D16" s="76" t="s">
        <v>226</v>
      </c>
      <c r="E16" s="81" t="s">
        <v>300</v>
      </c>
      <c r="F16" s="76" t="s">
        <v>446</v>
      </c>
      <c r="G16" s="76" t="s">
        <v>447</v>
      </c>
      <c r="H16" s="76" t="s">
        <v>447</v>
      </c>
      <c r="I16" s="76" t="s">
        <v>226</v>
      </c>
      <c r="J16" s="76" t="s">
        <v>226</v>
      </c>
      <c r="K16" s="76" t="s">
        <v>453</v>
      </c>
      <c r="L16" s="76" t="s">
        <v>454</v>
      </c>
      <c r="M16" s="85" t="s">
        <v>449</v>
      </c>
      <c r="P16" s="113" t="s">
        <v>450</v>
      </c>
    </row>
    <row r="17" spans="1:16" ht="13" x14ac:dyDescent="0.3">
      <c r="A17" s="210">
        <v>4861822068</v>
      </c>
      <c r="B17" s="76" t="s">
        <v>471</v>
      </c>
      <c r="C17" s="76" t="s">
        <v>329</v>
      </c>
      <c r="D17" s="76" t="s">
        <v>472</v>
      </c>
      <c r="E17" s="76" t="s">
        <v>271</v>
      </c>
      <c r="F17" s="76" t="s">
        <v>446</v>
      </c>
      <c r="G17" s="76" t="s">
        <v>447</v>
      </c>
      <c r="H17" s="76" t="s">
        <v>447</v>
      </c>
      <c r="I17" s="76" t="s">
        <v>448</v>
      </c>
      <c r="J17" s="76" t="s">
        <v>448</v>
      </c>
      <c r="K17" s="76" t="s">
        <v>453</v>
      </c>
      <c r="L17" s="76" t="s">
        <v>454</v>
      </c>
      <c r="M17" s="85" t="s">
        <v>449</v>
      </c>
      <c r="P17" s="113" t="s">
        <v>450</v>
      </c>
    </row>
    <row r="18" spans="1:16" ht="13" x14ac:dyDescent="0.3">
      <c r="A18" s="213">
        <v>4506212630</v>
      </c>
      <c r="B18" s="83"/>
      <c r="C18" s="83" t="s">
        <v>331</v>
      </c>
      <c r="D18" s="83" t="s">
        <v>226</v>
      </c>
      <c r="E18" s="84" t="s">
        <v>332</v>
      </c>
      <c r="F18" s="83" t="s">
        <v>446</v>
      </c>
      <c r="G18" s="83" t="s">
        <v>447</v>
      </c>
      <c r="H18" s="83" t="s">
        <v>447</v>
      </c>
      <c r="I18" s="83" t="s">
        <v>448</v>
      </c>
      <c r="J18" s="83" t="s">
        <v>460</v>
      </c>
      <c r="K18" s="83" t="s">
        <v>453</v>
      </c>
      <c r="L18" s="83" t="s">
        <v>454</v>
      </c>
      <c r="M18" s="85" t="s">
        <v>449</v>
      </c>
      <c r="P18" s="113" t="s">
        <v>450</v>
      </c>
    </row>
    <row r="19" spans="1:16" ht="13" x14ac:dyDescent="0.3">
      <c r="A19" s="210">
        <v>4382089506</v>
      </c>
      <c r="B19" s="76" t="s">
        <v>473</v>
      </c>
      <c r="C19" s="76" t="s">
        <v>335</v>
      </c>
      <c r="D19" s="76" t="s">
        <v>226</v>
      </c>
      <c r="E19" s="76" t="s">
        <v>426</v>
      </c>
      <c r="F19" s="76" t="s">
        <v>446</v>
      </c>
      <c r="G19" s="76" t="s">
        <v>447</v>
      </c>
      <c r="H19" s="76" t="s">
        <v>447</v>
      </c>
      <c r="I19" s="76" t="s">
        <v>448</v>
      </c>
      <c r="J19" s="76" t="s">
        <v>448</v>
      </c>
      <c r="K19" s="76" t="s">
        <v>453</v>
      </c>
      <c r="L19" s="76" t="s">
        <v>454</v>
      </c>
      <c r="M19" s="85" t="s">
        <v>449</v>
      </c>
      <c r="P19" s="113" t="s">
        <v>450</v>
      </c>
    </row>
    <row r="20" spans="1:16" ht="13" x14ac:dyDescent="0.3">
      <c r="A20" s="210">
        <v>4343180220</v>
      </c>
      <c r="B20" s="76" t="s">
        <v>474</v>
      </c>
      <c r="C20" s="76" t="s">
        <v>338</v>
      </c>
      <c r="D20" s="76" t="s">
        <v>475</v>
      </c>
      <c r="E20" s="76" t="s">
        <v>332</v>
      </c>
      <c r="F20" s="76" t="s">
        <v>446</v>
      </c>
      <c r="G20" s="76" t="s">
        <v>447</v>
      </c>
      <c r="H20" s="76" t="s">
        <v>447</v>
      </c>
      <c r="I20" s="76" t="s">
        <v>448</v>
      </c>
      <c r="J20" s="76" t="s">
        <v>448</v>
      </c>
      <c r="K20" s="76" t="s">
        <v>453</v>
      </c>
      <c r="L20" s="76" t="s">
        <v>454</v>
      </c>
      <c r="M20" s="85" t="s">
        <v>449</v>
      </c>
      <c r="P20" s="113" t="s">
        <v>450</v>
      </c>
    </row>
    <row r="21" spans="1:16" ht="13" x14ac:dyDescent="0.3">
      <c r="A21" s="210">
        <v>4383575080</v>
      </c>
      <c r="B21" s="76" t="s">
        <v>476</v>
      </c>
      <c r="C21" s="76" t="s">
        <v>343</v>
      </c>
      <c r="D21" s="76" t="s">
        <v>226</v>
      </c>
      <c r="E21" s="76" t="s">
        <v>314</v>
      </c>
      <c r="F21" s="76" t="s">
        <v>446</v>
      </c>
      <c r="G21" s="76" t="s">
        <v>447</v>
      </c>
      <c r="H21" s="76" t="s">
        <v>447</v>
      </c>
      <c r="I21" s="76" t="s">
        <v>447</v>
      </c>
      <c r="J21" s="76" t="s">
        <v>447</v>
      </c>
      <c r="K21" s="76" t="s">
        <v>453</v>
      </c>
      <c r="L21" s="76" t="s">
        <v>454</v>
      </c>
      <c r="M21" s="85" t="s">
        <v>449</v>
      </c>
      <c r="P21" s="113" t="s">
        <v>450</v>
      </c>
    </row>
    <row r="22" spans="1:16" ht="13" x14ac:dyDescent="0.3">
      <c r="A22" s="210">
        <v>4506130529</v>
      </c>
      <c r="B22" s="76" t="s">
        <v>477</v>
      </c>
      <c r="C22" s="76" t="s">
        <v>357</v>
      </c>
      <c r="D22" s="76" t="s">
        <v>226</v>
      </c>
      <c r="E22" s="76" t="s">
        <v>240</v>
      </c>
      <c r="F22" s="76" t="s">
        <v>446</v>
      </c>
      <c r="G22" s="76" t="s">
        <v>447</v>
      </c>
      <c r="H22" s="76" t="s">
        <v>447</v>
      </c>
      <c r="I22" s="76" t="s">
        <v>448</v>
      </c>
      <c r="J22" s="76" t="s">
        <v>448</v>
      </c>
      <c r="K22" s="76" t="s">
        <v>453</v>
      </c>
      <c r="L22" s="76" t="s">
        <v>454</v>
      </c>
      <c r="M22" s="85" t="s">
        <v>449</v>
      </c>
      <c r="P22" s="113" t="s">
        <v>450</v>
      </c>
    </row>
    <row r="23" spans="1:16" ht="13" x14ac:dyDescent="0.3">
      <c r="A23" s="210">
        <v>4483735616</v>
      </c>
      <c r="B23" s="76" t="s">
        <v>478</v>
      </c>
      <c r="C23" s="76" t="s">
        <v>347</v>
      </c>
      <c r="D23" s="76" t="s">
        <v>226</v>
      </c>
      <c r="E23" s="76" t="s">
        <v>232</v>
      </c>
      <c r="F23" s="76" t="s">
        <v>446</v>
      </c>
      <c r="G23" s="76" t="s">
        <v>460</v>
      </c>
      <c r="H23" s="76" t="s">
        <v>460</v>
      </c>
      <c r="I23" s="76" t="s">
        <v>448</v>
      </c>
      <c r="J23" s="76" t="s">
        <v>448</v>
      </c>
      <c r="K23" s="76" t="s">
        <v>232</v>
      </c>
      <c r="L23" s="76" t="s">
        <v>232</v>
      </c>
      <c r="M23" s="85" t="s">
        <v>449</v>
      </c>
      <c r="P23" s="113" t="s">
        <v>450</v>
      </c>
    </row>
    <row r="24" spans="1:16" ht="13" x14ac:dyDescent="0.3">
      <c r="A24" s="210">
        <v>4822303500</v>
      </c>
      <c r="B24" s="76" t="s">
        <v>479</v>
      </c>
      <c r="C24" s="76" t="s">
        <v>349</v>
      </c>
      <c r="D24" s="76" t="s">
        <v>226</v>
      </c>
      <c r="E24" s="76" t="s">
        <v>360</v>
      </c>
      <c r="F24" s="76" t="s">
        <v>446</v>
      </c>
      <c r="G24" s="76" t="s">
        <v>447</v>
      </c>
      <c r="H24" s="76" t="s">
        <v>447</v>
      </c>
      <c r="I24" s="76" t="s">
        <v>448</v>
      </c>
      <c r="J24" s="76" t="s">
        <v>460</v>
      </c>
      <c r="K24" s="76" t="s">
        <v>453</v>
      </c>
      <c r="L24" s="76" t="s">
        <v>454</v>
      </c>
      <c r="M24" s="85" t="s">
        <v>449</v>
      </c>
      <c r="P24" s="113" t="s">
        <v>450</v>
      </c>
    </row>
    <row r="25" spans="1:16" ht="13" x14ac:dyDescent="0.3">
      <c r="A25" s="210">
        <v>4387643676</v>
      </c>
      <c r="B25" s="76" t="s">
        <v>480</v>
      </c>
      <c r="C25" s="76" t="s">
        <v>354</v>
      </c>
      <c r="D25" s="76" t="s">
        <v>226</v>
      </c>
      <c r="E25" s="76" t="s">
        <v>427</v>
      </c>
      <c r="F25" s="76" t="s">
        <v>446</v>
      </c>
      <c r="G25" s="76" t="s">
        <v>447</v>
      </c>
      <c r="H25" s="76" t="s">
        <v>447</v>
      </c>
      <c r="I25" s="76" t="s">
        <v>448</v>
      </c>
      <c r="J25" s="76" t="s">
        <v>448</v>
      </c>
      <c r="K25" s="76" t="s">
        <v>453</v>
      </c>
      <c r="L25" s="76" t="s">
        <v>454</v>
      </c>
      <c r="M25" s="85" t="s">
        <v>449</v>
      </c>
      <c r="P25" s="113" t="s">
        <v>450</v>
      </c>
    </row>
    <row r="26" spans="1:16" ht="13" x14ac:dyDescent="0.3">
      <c r="A26" s="210">
        <v>4125818207</v>
      </c>
      <c r="B26" s="76" t="s">
        <v>481</v>
      </c>
      <c r="C26" s="76" t="s">
        <v>359</v>
      </c>
      <c r="D26" s="76" t="s">
        <v>482</v>
      </c>
      <c r="E26" s="76" t="s">
        <v>232</v>
      </c>
      <c r="F26" s="76" t="s">
        <v>446</v>
      </c>
      <c r="G26" s="76" t="s">
        <v>448</v>
      </c>
      <c r="H26" s="76" t="s">
        <v>448</v>
      </c>
      <c r="I26" s="76" t="s">
        <v>448</v>
      </c>
      <c r="J26" s="76" t="s">
        <v>447</v>
      </c>
      <c r="K26" s="76" t="s">
        <v>226</v>
      </c>
      <c r="L26" s="82" t="s">
        <v>232</v>
      </c>
      <c r="M26" s="85" t="s">
        <v>449</v>
      </c>
      <c r="P26" s="113" t="s">
        <v>450</v>
      </c>
    </row>
    <row r="27" spans="1:16" ht="13" x14ac:dyDescent="0.3">
      <c r="A27" s="210">
        <v>4520207401</v>
      </c>
      <c r="B27" s="76" t="s">
        <v>483</v>
      </c>
      <c r="C27" s="76" t="s">
        <v>363</v>
      </c>
      <c r="D27" s="76" t="s">
        <v>226</v>
      </c>
      <c r="E27" s="76" t="s">
        <v>296</v>
      </c>
      <c r="F27" s="76" t="s">
        <v>446</v>
      </c>
      <c r="G27" s="76" t="s">
        <v>460</v>
      </c>
      <c r="H27" s="76" t="s">
        <v>460</v>
      </c>
      <c r="I27" s="76" t="s">
        <v>226</v>
      </c>
      <c r="J27" s="76" t="s">
        <v>226</v>
      </c>
      <c r="K27" s="76" t="s">
        <v>453</v>
      </c>
      <c r="L27" s="76" t="s">
        <v>454</v>
      </c>
      <c r="M27" s="85" t="s">
        <v>449</v>
      </c>
      <c r="P27" s="113" t="s">
        <v>450</v>
      </c>
    </row>
    <row r="28" spans="1:16" ht="13" x14ac:dyDescent="0.3">
      <c r="A28" s="210">
        <v>4125915636</v>
      </c>
      <c r="B28" s="76" t="s">
        <v>484</v>
      </c>
      <c r="C28" s="76" t="s">
        <v>371</v>
      </c>
      <c r="D28" s="76" t="s">
        <v>485</v>
      </c>
      <c r="E28" s="76" t="s">
        <v>271</v>
      </c>
      <c r="F28" s="76" t="s">
        <v>446</v>
      </c>
      <c r="G28" s="76" t="s">
        <v>447</v>
      </c>
      <c r="H28" s="76" t="s">
        <v>447</v>
      </c>
      <c r="I28" s="76" t="s">
        <v>448</v>
      </c>
      <c r="J28" s="76" t="s">
        <v>448</v>
      </c>
      <c r="K28" s="76" t="s">
        <v>453</v>
      </c>
      <c r="L28" s="76" t="s">
        <v>454</v>
      </c>
      <c r="M28" s="85" t="s">
        <v>449</v>
      </c>
      <c r="P28" s="113" t="s">
        <v>450</v>
      </c>
    </row>
    <row r="29" spans="1:16" ht="13" x14ac:dyDescent="0.3">
      <c r="A29" s="210">
        <v>4861893291</v>
      </c>
      <c r="B29" s="76" t="s">
        <v>486</v>
      </c>
      <c r="C29" s="76" t="s">
        <v>373</v>
      </c>
      <c r="D29" s="76" t="s">
        <v>226</v>
      </c>
      <c r="E29" s="76" t="s">
        <v>288</v>
      </c>
      <c r="F29" s="76" t="s">
        <v>446</v>
      </c>
      <c r="G29" s="76" t="s">
        <v>447</v>
      </c>
      <c r="H29" s="76" t="s">
        <v>447</v>
      </c>
      <c r="I29" s="76" t="s">
        <v>448</v>
      </c>
      <c r="J29" s="76" t="s">
        <v>448</v>
      </c>
      <c r="K29" s="76" t="s">
        <v>453</v>
      </c>
      <c r="L29" s="76" t="s">
        <v>454</v>
      </c>
      <c r="M29" s="85" t="s">
        <v>449</v>
      </c>
      <c r="P29" s="113" t="s">
        <v>450</v>
      </c>
    </row>
    <row r="30" spans="1:16" ht="13" x14ac:dyDescent="0.3">
      <c r="A30" s="210">
        <v>4849656994</v>
      </c>
      <c r="B30" s="76" t="s">
        <v>487</v>
      </c>
      <c r="C30" s="76" t="s">
        <v>376</v>
      </c>
      <c r="D30" s="76" t="s">
        <v>488</v>
      </c>
      <c r="E30" s="76" t="s">
        <v>489</v>
      </c>
      <c r="F30" s="76" t="s">
        <v>446</v>
      </c>
      <c r="G30" s="76" t="s">
        <v>448</v>
      </c>
      <c r="H30" s="76" t="s">
        <v>448</v>
      </c>
      <c r="I30" s="76" t="s">
        <v>448</v>
      </c>
      <c r="J30" s="76" t="s">
        <v>447</v>
      </c>
      <c r="K30" s="76" t="s">
        <v>226</v>
      </c>
      <c r="L30" s="82" t="s">
        <v>230</v>
      </c>
      <c r="M30" s="85" t="s">
        <v>449</v>
      </c>
      <c r="P30" s="113" t="s">
        <v>450</v>
      </c>
    </row>
    <row r="31" spans="1:16" ht="13" x14ac:dyDescent="0.3">
      <c r="A31" s="210">
        <v>4123777023</v>
      </c>
      <c r="B31" s="76" t="s">
        <v>490</v>
      </c>
      <c r="C31" s="76" t="s">
        <v>380</v>
      </c>
      <c r="D31" s="76" t="s">
        <v>226</v>
      </c>
      <c r="E31" s="76" t="s">
        <v>469</v>
      </c>
      <c r="F31" s="76" t="s">
        <v>446</v>
      </c>
      <c r="G31" s="76" t="s">
        <v>447</v>
      </c>
      <c r="H31" s="76" t="s">
        <v>447</v>
      </c>
      <c r="I31" s="76" t="s">
        <v>448</v>
      </c>
      <c r="J31" s="76" t="s">
        <v>448</v>
      </c>
      <c r="K31" s="76" t="s">
        <v>453</v>
      </c>
      <c r="L31" s="76" t="s">
        <v>454</v>
      </c>
      <c r="M31" s="85" t="s">
        <v>449</v>
      </c>
      <c r="P31" s="113" t="s">
        <v>450</v>
      </c>
    </row>
    <row r="32" spans="1:16" ht="13" x14ac:dyDescent="0.3">
      <c r="A32" s="210">
        <v>4148131860</v>
      </c>
      <c r="B32" s="76" t="s">
        <v>491</v>
      </c>
      <c r="C32" s="76" t="s">
        <v>382</v>
      </c>
      <c r="D32" s="76" t="s">
        <v>226</v>
      </c>
      <c r="E32" s="76" t="s">
        <v>241</v>
      </c>
      <c r="F32" s="76" t="s">
        <v>446</v>
      </c>
      <c r="G32" s="76" t="s">
        <v>447</v>
      </c>
      <c r="H32" s="76" t="s">
        <v>447</v>
      </c>
      <c r="I32" s="76" t="s">
        <v>448</v>
      </c>
      <c r="J32" s="76" t="s">
        <v>448</v>
      </c>
      <c r="K32" s="76" t="s">
        <v>453</v>
      </c>
      <c r="L32" s="76" t="s">
        <v>454</v>
      </c>
      <c r="M32" s="85" t="s">
        <v>449</v>
      </c>
      <c r="P32" s="113" t="s">
        <v>450</v>
      </c>
    </row>
    <row r="33" spans="1:16" ht="13" x14ac:dyDescent="0.3">
      <c r="A33" s="210">
        <v>4505214214</v>
      </c>
      <c r="B33" s="76" t="s">
        <v>492</v>
      </c>
      <c r="C33" s="76" t="s">
        <v>391</v>
      </c>
      <c r="D33" s="76" t="s">
        <v>226</v>
      </c>
      <c r="E33" s="76" t="s">
        <v>427</v>
      </c>
      <c r="F33" s="76" t="s">
        <v>446</v>
      </c>
      <c r="G33" s="76" t="s">
        <v>447</v>
      </c>
      <c r="H33" s="76" t="s">
        <v>447</v>
      </c>
      <c r="I33" s="76" t="s">
        <v>448</v>
      </c>
      <c r="J33" s="76" t="s">
        <v>448</v>
      </c>
      <c r="K33" s="76" t="s">
        <v>453</v>
      </c>
      <c r="L33" s="76" t="s">
        <v>454</v>
      </c>
      <c r="M33" s="85" t="s">
        <v>449</v>
      </c>
      <c r="P33" s="113" t="s">
        <v>450</v>
      </c>
    </row>
    <row r="34" spans="1:16" ht="13" x14ac:dyDescent="0.3">
      <c r="A34" s="210">
        <v>4382309336</v>
      </c>
      <c r="B34" s="76" t="s">
        <v>493</v>
      </c>
      <c r="C34" s="76" t="s">
        <v>396</v>
      </c>
      <c r="D34" s="76" t="s">
        <v>494</v>
      </c>
      <c r="E34" s="76" t="s">
        <v>426</v>
      </c>
      <c r="F34" s="76" t="s">
        <v>446</v>
      </c>
      <c r="G34" s="76" t="s">
        <v>447</v>
      </c>
      <c r="H34" s="76" t="s">
        <v>447</v>
      </c>
      <c r="I34" s="76" t="s">
        <v>448</v>
      </c>
      <c r="J34" s="76" t="s">
        <v>448</v>
      </c>
      <c r="K34" s="76" t="s">
        <v>453</v>
      </c>
      <c r="L34" s="76" t="s">
        <v>454</v>
      </c>
      <c r="M34" s="85" t="s">
        <v>449</v>
      </c>
      <c r="P34" s="113" t="s">
        <v>450</v>
      </c>
    </row>
    <row r="35" spans="1:16" ht="13" x14ac:dyDescent="0.3">
      <c r="A35" s="210">
        <v>4086878011</v>
      </c>
      <c r="B35" s="76" t="s">
        <v>495</v>
      </c>
      <c r="C35" s="76" t="s">
        <v>397</v>
      </c>
      <c r="D35" s="76" t="s">
        <v>496</v>
      </c>
      <c r="E35" s="76" t="s">
        <v>314</v>
      </c>
      <c r="F35" s="76" t="s">
        <v>446</v>
      </c>
      <c r="G35" s="76" t="s">
        <v>447</v>
      </c>
      <c r="H35" s="76" t="s">
        <v>447</v>
      </c>
      <c r="I35" s="76" t="s">
        <v>448</v>
      </c>
      <c r="J35" s="76" t="s">
        <v>448</v>
      </c>
      <c r="K35" s="76" t="s">
        <v>453</v>
      </c>
      <c r="L35" s="76" t="s">
        <v>454</v>
      </c>
      <c r="M35" s="85" t="s">
        <v>449</v>
      </c>
      <c r="P35" s="113" t="s">
        <v>450</v>
      </c>
    </row>
    <row r="36" spans="1:16" ht="13" x14ac:dyDescent="0.3">
      <c r="A36" s="210">
        <v>4423225735</v>
      </c>
      <c r="B36" s="76" t="s">
        <v>497</v>
      </c>
      <c r="C36" s="76" t="s">
        <v>398</v>
      </c>
      <c r="D36" s="76" t="s">
        <v>498</v>
      </c>
      <c r="E36" s="76" t="s">
        <v>319</v>
      </c>
      <c r="F36" s="76" t="s">
        <v>446</v>
      </c>
      <c r="G36" s="76" t="s">
        <v>447</v>
      </c>
      <c r="H36" s="76" t="s">
        <v>447</v>
      </c>
      <c r="I36" s="76" t="s">
        <v>448</v>
      </c>
      <c r="J36" s="76" t="s">
        <v>448</v>
      </c>
      <c r="K36" s="76" t="s">
        <v>453</v>
      </c>
      <c r="L36" s="76" t="s">
        <v>454</v>
      </c>
      <c r="M36" s="85" t="s">
        <v>449</v>
      </c>
      <c r="P36" s="113" t="s">
        <v>450</v>
      </c>
    </row>
    <row r="37" spans="1:16" ht="13" x14ac:dyDescent="0.3">
      <c r="A37" s="210">
        <v>6047820638</v>
      </c>
      <c r="B37" s="76" t="s">
        <v>499</v>
      </c>
      <c r="C37" s="76" t="s">
        <v>404</v>
      </c>
      <c r="D37" s="76" t="s">
        <v>500</v>
      </c>
      <c r="E37" s="76" t="s">
        <v>489</v>
      </c>
      <c r="F37" s="76" t="s">
        <v>446</v>
      </c>
      <c r="G37" s="76" t="s">
        <v>448</v>
      </c>
      <c r="H37" s="76" t="s">
        <v>448</v>
      </c>
      <c r="I37" s="76" t="s">
        <v>447</v>
      </c>
      <c r="J37" s="76" t="s">
        <v>447</v>
      </c>
      <c r="K37" s="76" t="s">
        <v>226</v>
      </c>
      <c r="L37" s="82" t="s">
        <v>232</v>
      </c>
      <c r="M37" s="85" t="s">
        <v>449</v>
      </c>
      <c r="P37" s="113" t="s">
        <v>450</v>
      </c>
    </row>
    <row r="38" spans="1:16" ht="13" x14ac:dyDescent="0.3">
      <c r="A38" s="210">
        <v>4382148243</v>
      </c>
      <c r="B38" s="76" t="s">
        <v>501</v>
      </c>
      <c r="C38" s="76" t="s">
        <v>408</v>
      </c>
      <c r="D38" s="76" t="s">
        <v>226</v>
      </c>
      <c r="E38" s="76" t="s">
        <v>296</v>
      </c>
      <c r="F38" s="76" t="s">
        <v>446</v>
      </c>
      <c r="G38" s="76" t="s">
        <v>447</v>
      </c>
      <c r="H38" s="76" t="s">
        <v>447</v>
      </c>
      <c r="I38" s="76" t="s">
        <v>448</v>
      </c>
      <c r="J38" s="76" t="s">
        <v>448</v>
      </c>
      <c r="K38" s="76" t="s">
        <v>453</v>
      </c>
      <c r="L38" s="76" t="s">
        <v>454</v>
      </c>
      <c r="M38" s="85" t="s">
        <v>449</v>
      </c>
      <c r="P38" s="113" t="s">
        <v>450</v>
      </c>
    </row>
    <row r="39" spans="1:16" ht="13" x14ac:dyDescent="0.3">
      <c r="A39" s="210">
        <v>4300610517</v>
      </c>
      <c r="B39" s="76" t="s">
        <v>502</v>
      </c>
      <c r="C39" s="76" t="s">
        <v>411</v>
      </c>
      <c r="D39" s="76" t="s">
        <v>226</v>
      </c>
      <c r="E39" s="76" t="s">
        <v>301</v>
      </c>
      <c r="F39" s="76" t="s">
        <v>446</v>
      </c>
      <c r="G39" s="76" t="s">
        <v>447</v>
      </c>
      <c r="H39" s="76" t="s">
        <v>447</v>
      </c>
      <c r="I39" s="76" t="s">
        <v>448</v>
      </c>
      <c r="J39" s="76" t="s">
        <v>448</v>
      </c>
      <c r="K39" s="76" t="s">
        <v>453</v>
      </c>
      <c r="L39" s="76" t="s">
        <v>454</v>
      </c>
      <c r="M39" s="85" t="s">
        <v>449</v>
      </c>
      <c r="P39" s="113" t="s">
        <v>450</v>
      </c>
    </row>
    <row r="40" spans="1:16" ht="13" x14ac:dyDescent="0.3">
      <c r="A40" s="210">
        <v>7132378651</v>
      </c>
      <c r="B40" s="76" t="s">
        <v>503</v>
      </c>
      <c r="C40" s="76" t="s">
        <v>415</v>
      </c>
      <c r="D40" s="76" t="s">
        <v>226</v>
      </c>
      <c r="E40" s="76" t="s">
        <v>300</v>
      </c>
      <c r="F40" s="76" t="s">
        <v>446</v>
      </c>
      <c r="G40" s="76" t="s">
        <v>448</v>
      </c>
      <c r="H40" s="76" t="s">
        <v>448</v>
      </c>
      <c r="I40" s="76" t="s">
        <v>448</v>
      </c>
      <c r="J40" s="76" t="s">
        <v>447</v>
      </c>
      <c r="K40" s="76" t="s">
        <v>226</v>
      </c>
      <c r="L40" s="82" t="s">
        <v>232</v>
      </c>
      <c r="M40" s="85" t="s">
        <v>449</v>
      </c>
      <c r="P40" s="113" t="s">
        <v>450</v>
      </c>
    </row>
    <row r="41" spans="1:16" ht="13" x14ac:dyDescent="0.3">
      <c r="A41" s="210">
        <v>4087617025</v>
      </c>
      <c r="B41" s="76" t="s">
        <v>504</v>
      </c>
      <c r="C41" s="76" t="s">
        <v>417</v>
      </c>
      <c r="D41" s="76" t="s">
        <v>505</v>
      </c>
      <c r="E41" s="76" t="s">
        <v>426</v>
      </c>
      <c r="F41" s="76" t="s">
        <v>446</v>
      </c>
      <c r="G41" s="76" t="s">
        <v>447</v>
      </c>
      <c r="H41" s="76" t="s">
        <v>447</v>
      </c>
      <c r="I41" s="76" t="s">
        <v>226</v>
      </c>
      <c r="J41" s="76" t="s">
        <v>226</v>
      </c>
      <c r="K41" s="76" t="s">
        <v>453</v>
      </c>
      <c r="L41" s="76" t="s">
        <v>454</v>
      </c>
      <c r="M41" s="85" t="s">
        <v>449</v>
      </c>
      <c r="P41" s="113" t="s">
        <v>450</v>
      </c>
    </row>
    <row r="42" spans="1:16" ht="13" x14ac:dyDescent="0.3">
      <c r="A42" s="210">
        <v>4861701031</v>
      </c>
      <c r="B42" s="76" t="s">
        <v>506</v>
      </c>
      <c r="C42" s="76" t="s">
        <v>420</v>
      </c>
      <c r="D42" s="76" t="s">
        <v>507</v>
      </c>
      <c r="E42" s="76" t="s">
        <v>269</v>
      </c>
      <c r="F42" s="76" t="s">
        <v>446</v>
      </c>
      <c r="G42" s="76" t="s">
        <v>447</v>
      </c>
      <c r="H42" s="76" t="s">
        <v>447</v>
      </c>
      <c r="I42" s="76" t="s">
        <v>448</v>
      </c>
      <c r="J42" s="76" t="s">
        <v>448</v>
      </c>
      <c r="K42" s="76" t="s">
        <v>453</v>
      </c>
      <c r="L42" s="76" t="s">
        <v>454</v>
      </c>
      <c r="M42" s="85" t="s">
        <v>449</v>
      </c>
      <c r="P42" s="113" t="s">
        <v>450</v>
      </c>
    </row>
    <row r="43" spans="1:16" ht="13" x14ac:dyDescent="0.3">
      <c r="A43" s="210">
        <v>4381018575</v>
      </c>
      <c r="B43" s="76" t="s">
        <v>508</v>
      </c>
      <c r="C43" s="76" t="s">
        <v>425</v>
      </c>
      <c r="D43" s="76" t="s">
        <v>226</v>
      </c>
      <c r="E43" s="76" t="s">
        <v>232</v>
      </c>
      <c r="F43" s="76" t="s">
        <v>446</v>
      </c>
      <c r="G43" s="76" t="s">
        <v>447</v>
      </c>
      <c r="H43" s="76" t="s">
        <v>447</v>
      </c>
      <c r="I43" s="76" t="s">
        <v>448</v>
      </c>
      <c r="J43" s="76" t="s">
        <v>448</v>
      </c>
      <c r="K43" s="76" t="s">
        <v>453</v>
      </c>
      <c r="L43" s="76" t="s">
        <v>454</v>
      </c>
      <c r="M43" s="85" t="s">
        <v>449</v>
      </c>
      <c r="P43" s="113" t="s">
        <v>450</v>
      </c>
    </row>
  </sheetData>
  <conditionalFormatting sqref="A2">
    <cfRule type="duplicateValues" dxfId="224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4"/>
    <col min="2" max="2" width="43.453125" style="44" bestFit="1" customWidth="1"/>
    <col min="3" max="3" width="112.81640625" style="44" customWidth="1"/>
    <col min="4" max="4" width="9.1796875" style="44"/>
    <col min="5" max="6" width="15.81640625" style="44" customWidth="1"/>
    <col min="7" max="7" width="37.26953125" style="44" bestFit="1" customWidth="1"/>
    <col min="8" max="8" width="31.81640625" style="44" bestFit="1" customWidth="1"/>
    <col min="9" max="9" width="17.1796875" style="44" bestFit="1" customWidth="1"/>
    <col min="10" max="10" width="9.1796875" style="44"/>
    <col min="11" max="11" width="42.7265625" style="44" bestFit="1" customWidth="1"/>
    <col min="12" max="12" width="8" style="44" bestFit="1" customWidth="1"/>
    <col min="13" max="16384" width="9.1796875" style="44"/>
  </cols>
  <sheetData>
    <row r="1" spans="2:12" ht="18.75" customHeight="1" x14ac:dyDescent="0.3">
      <c r="E1" s="45" t="s">
        <v>509</v>
      </c>
      <c r="F1" s="45" t="s">
        <v>510</v>
      </c>
      <c r="G1" s="45" t="s">
        <v>43</v>
      </c>
      <c r="H1" s="45" t="s">
        <v>49</v>
      </c>
      <c r="I1" s="45" t="s">
        <v>57</v>
      </c>
    </row>
    <row r="2" spans="2:12" ht="15" customHeight="1" x14ac:dyDescent="0.3">
      <c r="B2" s="43" t="s">
        <v>511</v>
      </c>
      <c r="C2" s="43"/>
      <c r="E2" s="44" t="s">
        <v>247</v>
      </c>
      <c r="F2" s="44" t="s">
        <v>230</v>
      </c>
      <c r="G2" s="44" t="s">
        <v>222</v>
      </c>
      <c r="H2" s="44" t="s">
        <v>229</v>
      </c>
      <c r="I2" s="44" t="s">
        <v>512</v>
      </c>
    </row>
    <row r="3" spans="2:12" ht="15" customHeight="1" x14ac:dyDescent="0.3">
      <c r="B3" s="43" t="s">
        <v>513</v>
      </c>
      <c r="C3" s="43"/>
      <c r="E3" s="44" t="s">
        <v>274</v>
      </c>
      <c r="F3" s="44" t="s">
        <v>221</v>
      </c>
      <c r="G3" s="44" t="s">
        <v>514</v>
      </c>
      <c r="H3" s="44" t="s">
        <v>515</v>
      </c>
      <c r="I3" s="44" t="s">
        <v>516</v>
      </c>
      <c r="K3" s="46" t="s">
        <v>517</v>
      </c>
      <c r="L3" s="46" t="s">
        <v>518</v>
      </c>
    </row>
    <row r="4" spans="2:12" ht="15" customHeight="1" x14ac:dyDescent="0.3">
      <c r="B4" s="43"/>
      <c r="C4" s="43"/>
      <c r="E4" s="44" t="s">
        <v>519</v>
      </c>
      <c r="F4" s="44" t="s">
        <v>226</v>
      </c>
      <c r="G4" s="44" t="s">
        <v>520</v>
      </c>
      <c r="H4" s="44" t="s">
        <v>521</v>
      </c>
      <c r="I4" s="44" t="s">
        <v>522</v>
      </c>
      <c r="K4" s="4" t="s">
        <v>2</v>
      </c>
      <c r="L4" s="47" t="s">
        <v>523</v>
      </c>
    </row>
    <row r="5" spans="2:12" ht="15" customHeight="1" x14ac:dyDescent="0.3">
      <c r="B5" s="43"/>
      <c r="C5" s="43"/>
      <c r="E5" s="44" t="s">
        <v>524</v>
      </c>
      <c r="F5" s="44" t="s">
        <v>232</v>
      </c>
      <c r="G5" s="44" t="s">
        <v>525</v>
      </c>
      <c r="H5" s="44" t="s">
        <v>226</v>
      </c>
      <c r="I5" s="44" t="s">
        <v>526</v>
      </c>
      <c r="K5" s="4" t="s">
        <v>527</v>
      </c>
      <c r="L5" s="47" t="s">
        <v>528</v>
      </c>
    </row>
    <row r="6" spans="2:12" ht="15" customHeight="1" x14ac:dyDescent="0.3">
      <c r="B6" s="52" t="s">
        <v>529</v>
      </c>
      <c r="C6" s="53" t="s">
        <v>530</v>
      </c>
      <c r="E6" s="44" t="s">
        <v>277</v>
      </c>
      <c r="G6" s="44" t="s">
        <v>226</v>
      </c>
      <c r="H6" s="44" t="s">
        <v>232</v>
      </c>
      <c r="I6" s="44" t="s">
        <v>531</v>
      </c>
      <c r="K6" s="4" t="s">
        <v>4</v>
      </c>
      <c r="L6" s="47" t="s">
        <v>532</v>
      </c>
    </row>
    <row r="7" spans="2:12" ht="15" customHeight="1" x14ac:dyDescent="0.3">
      <c r="B7" s="52" t="s">
        <v>533</v>
      </c>
      <c r="C7" s="53" t="s">
        <v>534</v>
      </c>
      <c r="E7" s="44" t="s">
        <v>535</v>
      </c>
      <c r="G7" s="44" t="s">
        <v>232</v>
      </c>
      <c r="I7" s="44" t="s">
        <v>234</v>
      </c>
      <c r="K7" s="5" t="s">
        <v>536</v>
      </c>
      <c r="L7" s="47" t="s">
        <v>537</v>
      </c>
    </row>
    <row r="8" spans="2:12" ht="15" customHeight="1" x14ac:dyDescent="0.3">
      <c r="B8" s="54" t="s">
        <v>538</v>
      </c>
      <c r="C8" s="55" t="s">
        <v>539</v>
      </c>
      <c r="E8" s="44" t="s">
        <v>540</v>
      </c>
      <c r="I8" s="44" t="s">
        <v>226</v>
      </c>
      <c r="K8" s="5" t="s">
        <v>6</v>
      </c>
      <c r="L8" s="47" t="s">
        <v>541</v>
      </c>
    </row>
    <row r="9" spans="2:12" ht="15" customHeight="1" x14ac:dyDescent="0.3">
      <c r="B9" s="54" t="s">
        <v>542</v>
      </c>
      <c r="C9" s="53" t="s">
        <v>543</v>
      </c>
      <c r="E9" s="44" t="s">
        <v>226</v>
      </c>
      <c r="I9" s="44" t="s">
        <v>232</v>
      </c>
      <c r="K9" s="5" t="s">
        <v>7</v>
      </c>
      <c r="L9" s="47" t="s">
        <v>227</v>
      </c>
    </row>
    <row r="10" spans="2:12" ht="15" customHeight="1" x14ac:dyDescent="0.3">
      <c r="B10" s="54" t="s">
        <v>544</v>
      </c>
      <c r="C10" s="53" t="s">
        <v>545</v>
      </c>
      <c r="E10" s="44" t="s">
        <v>232</v>
      </c>
      <c r="K10" s="5" t="s">
        <v>8</v>
      </c>
      <c r="L10" s="47" t="s">
        <v>546</v>
      </c>
    </row>
    <row r="11" spans="2:12" ht="15" customHeight="1" x14ac:dyDescent="0.3">
      <c r="B11" s="56" t="s">
        <v>217</v>
      </c>
      <c r="C11" s="53" t="s">
        <v>547</v>
      </c>
      <c r="K11" s="6" t="s">
        <v>9</v>
      </c>
      <c r="L11" s="47" t="s">
        <v>548</v>
      </c>
    </row>
    <row r="12" spans="2:12" ht="15" customHeight="1" x14ac:dyDescent="0.3">
      <c r="B12" s="56" t="s">
        <v>218</v>
      </c>
      <c r="C12" s="53" t="s">
        <v>549</v>
      </c>
      <c r="K12" s="7" t="s">
        <v>10</v>
      </c>
      <c r="L12" s="47" t="s">
        <v>550</v>
      </c>
    </row>
    <row r="13" spans="2:12" ht="15" customHeight="1" x14ac:dyDescent="0.3">
      <c r="B13" s="56" t="s">
        <v>219</v>
      </c>
      <c r="C13" s="53" t="s">
        <v>551</v>
      </c>
      <c r="K13" s="7" t="s">
        <v>11</v>
      </c>
      <c r="L13" s="47" t="s">
        <v>552</v>
      </c>
    </row>
    <row r="14" spans="2:12" ht="15" customHeight="1" x14ac:dyDescent="0.3">
      <c r="B14" s="56" t="s">
        <v>220</v>
      </c>
      <c r="C14" s="53" t="s">
        <v>553</v>
      </c>
      <c r="K14" s="5" t="s">
        <v>554</v>
      </c>
      <c r="L14" s="47" t="s">
        <v>555</v>
      </c>
    </row>
    <row r="15" spans="2:12" ht="15" customHeight="1" x14ac:dyDescent="0.3">
      <c r="B15" s="56" t="s">
        <v>556</v>
      </c>
      <c r="C15" s="53" t="s">
        <v>557</v>
      </c>
      <c r="K15" s="4" t="s">
        <v>13</v>
      </c>
      <c r="L15" s="47" t="s">
        <v>558</v>
      </c>
    </row>
    <row r="16" spans="2:12" ht="15" customHeight="1" x14ac:dyDescent="0.3">
      <c r="B16" s="56" t="s">
        <v>559</v>
      </c>
      <c r="C16" s="53" t="s">
        <v>560</v>
      </c>
      <c r="K16" s="8" t="s">
        <v>14</v>
      </c>
      <c r="L16" s="47" t="s">
        <v>561</v>
      </c>
    </row>
    <row r="17" spans="3:12" ht="15" customHeight="1" x14ac:dyDescent="0.3">
      <c r="K17" s="8" t="s">
        <v>15</v>
      </c>
      <c r="L17" s="47" t="s">
        <v>562</v>
      </c>
    </row>
    <row r="18" spans="3:12" ht="15" customHeight="1" x14ac:dyDescent="0.3">
      <c r="K18" s="8" t="s">
        <v>16</v>
      </c>
      <c r="L18" s="47" t="s">
        <v>563</v>
      </c>
    </row>
    <row r="19" spans="3:12" ht="15" customHeight="1" x14ac:dyDescent="0.3">
      <c r="K19" s="9" t="s">
        <v>564</v>
      </c>
      <c r="L19" s="47" t="s">
        <v>565</v>
      </c>
    </row>
    <row r="20" spans="3:12" ht="15" customHeight="1" x14ac:dyDescent="0.3">
      <c r="C20" s="48"/>
      <c r="K20" s="4" t="s">
        <v>18</v>
      </c>
      <c r="L20" s="47" t="s">
        <v>566</v>
      </c>
    </row>
    <row r="21" spans="3:12" ht="15" customHeight="1" x14ac:dyDescent="0.3">
      <c r="C21"/>
      <c r="K21" s="8" t="s">
        <v>19</v>
      </c>
      <c r="L21" s="47" t="s">
        <v>567</v>
      </c>
    </row>
    <row r="22" spans="3:12" ht="15" customHeight="1" x14ac:dyDescent="0.3">
      <c r="K22" s="8" t="s">
        <v>20</v>
      </c>
      <c r="L22" s="47" t="s">
        <v>568</v>
      </c>
    </row>
    <row r="23" spans="3:12" ht="15" customHeight="1" x14ac:dyDescent="0.3">
      <c r="C23"/>
      <c r="D23"/>
      <c r="K23" s="8" t="s">
        <v>21</v>
      </c>
      <c r="L23" s="47" t="s">
        <v>569</v>
      </c>
    </row>
    <row r="24" spans="3:12" ht="15" customHeight="1" x14ac:dyDescent="0.3">
      <c r="K24" s="9" t="s">
        <v>570</v>
      </c>
      <c r="L24" s="47" t="s">
        <v>571</v>
      </c>
    </row>
    <row r="25" spans="3:12" ht="15" customHeight="1" x14ac:dyDescent="0.3">
      <c r="K25" s="4" t="s">
        <v>23</v>
      </c>
      <c r="L25" s="47" t="s">
        <v>572</v>
      </c>
    </row>
    <row r="26" spans="3:12" ht="15" customHeight="1" x14ac:dyDescent="0.35">
      <c r="D26" s="49"/>
      <c r="F26" s="49"/>
      <c r="K26" s="8" t="s">
        <v>24</v>
      </c>
      <c r="L26" s="47" t="s">
        <v>573</v>
      </c>
    </row>
    <row r="27" spans="3:12" ht="15" customHeight="1" x14ac:dyDescent="0.35">
      <c r="D27" s="49"/>
      <c r="E27" s="49"/>
      <c r="F27" s="49"/>
      <c r="G27" s="49"/>
      <c r="K27" s="8" t="s">
        <v>25</v>
      </c>
      <c r="L27" s="47" t="s">
        <v>574</v>
      </c>
    </row>
    <row r="28" spans="3:12" ht="15" customHeight="1" x14ac:dyDescent="0.35">
      <c r="D28" s="49"/>
      <c r="E28" s="49"/>
      <c r="F28" s="49"/>
      <c r="G28" s="49"/>
      <c r="K28" s="8" t="s">
        <v>26</v>
      </c>
      <c r="L28" s="47" t="s">
        <v>575</v>
      </c>
    </row>
    <row r="29" spans="3:12" ht="15" customHeight="1" x14ac:dyDescent="0.35">
      <c r="D29" s="49"/>
      <c r="E29" s="49"/>
      <c r="F29" s="49"/>
      <c r="G29" s="49"/>
      <c r="K29" s="9" t="s">
        <v>576</v>
      </c>
      <c r="L29" s="47" t="s">
        <v>577</v>
      </c>
    </row>
    <row r="30" spans="3:12" ht="15" customHeight="1" x14ac:dyDescent="0.35">
      <c r="D30" s="49"/>
      <c r="E30" s="49"/>
      <c r="F30" s="49"/>
      <c r="G30" s="49"/>
      <c r="K30" s="4" t="s">
        <v>28</v>
      </c>
      <c r="L30" s="47" t="s">
        <v>578</v>
      </c>
    </row>
    <row r="31" spans="3:12" ht="15" customHeight="1" x14ac:dyDescent="0.35">
      <c r="D31" s="49"/>
      <c r="E31" s="49"/>
      <c r="F31" s="49"/>
      <c r="G31" s="49"/>
      <c r="K31" s="8" t="s">
        <v>29</v>
      </c>
      <c r="L31" s="47" t="s">
        <v>579</v>
      </c>
    </row>
    <row r="32" spans="3:12" ht="15" customHeight="1" x14ac:dyDescent="0.35">
      <c r="D32" s="49"/>
      <c r="E32" s="49"/>
      <c r="F32" s="49"/>
      <c r="G32" s="49"/>
      <c r="K32" s="8" t="s">
        <v>30</v>
      </c>
      <c r="L32" s="47" t="s">
        <v>580</v>
      </c>
    </row>
    <row r="33" spans="4:12" ht="15" customHeight="1" x14ac:dyDescent="0.35">
      <c r="D33" s="49"/>
      <c r="E33" s="49"/>
      <c r="F33" s="49"/>
      <c r="G33" s="49"/>
      <c r="K33" s="8" t="s">
        <v>31</v>
      </c>
      <c r="L33" s="47" t="s">
        <v>581</v>
      </c>
    </row>
    <row r="34" spans="4:12" ht="15" customHeight="1" x14ac:dyDescent="0.35">
      <c r="D34" s="49"/>
      <c r="E34" s="49"/>
      <c r="K34" s="9" t="s">
        <v>582</v>
      </c>
      <c r="L34" s="47" t="s">
        <v>583</v>
      </c>
    </row>
    <row r="35" spans="4:12" ht="15" customHeight="1" x14ac:dyDescent="0.35">
      <c r="D35" s="49"/>
      <c r="E35" s="49"/>
      <c r="F35" s="49"/>
      <c r="K35" s="4" t="s">
        <v>33</v>
      </c>
      <c r="L35" s="47" t="s">
        <v>584</v>
      </c>
    </row>
    <row r="36" spans="4:12" ht="15" customHeight="1" x14ac:dyDescent="0.35">
      <c r="D36" s="49"/>
      <c r="E36" s="49"/>
      <c r="F36" s="49"/>
      <c r="G36" s="49"/>
      <c r="K36" s="8" t="s">
        <v>34</v>
      </c>
      <c r="L36" s="47" t="s">
        <v>585</v>
      </c>
    </row>
    <row r="37" spans="4:12" ht="15" customHeight="1" x14ac:dyDescent="0.35">
      <c r="D37" s="49"/>
      <c r="E37" s="49"/>
      <c r="F37" s="49"/>
      <c r="G37" s="49"/>
      <c r="K37" s="8" t="s">
        <v>35</v>
      </c>
      <c r="L37" s="47" t="s">
        <v>586</v>
      </c>
    </row>
    <row r="38" spans="4:12" ht="15" customHeight="1" x14ac:dyDescent="0.35">
      <c r="D38" s="49"/>
      <c r="E38" s="49"/>
      <c r="F38" s="49"/>
      <c r="G38" s="49"/>
      <c r="K38" s="8" t="s">
        <v>36</v>
      </c>
      <c r="L38" s="47" t="s">
        <v>587</v>
      </c>
    </row>
    <row r="39" spans="4:12" ht="15" customHeight="1" x14ac:dyDescent="0.35">
      <c r="D39" s="49"/>
      <c r="E39" s="49"/>
      <c r="F39" s="49"/>
      <c r="G39" s="49"/>
      <c r="K39" s="9" t="s">
        <v>588</v>
      </c>
      <c r="L39" s="47" t="s">
        <v>589</v>
      </c>
    </row>
    <row r="40" spans="4:12" ht="15" customHeight="1" x14ac:dyDescent="0.35">
      <c r="D40" s="49"/>
      <c r="E40" s="49"/>
      <c r="F40" s="49"/>
      <c r="G40" s="49"/>
      <c r="K40" s="4" t="s">
        <v>38</v>
      </c>
      <c r="L40" s="47" t="s">
        <v>590</v>
      </c>
    </row>
    <row r="41" spans="4:12" ht="15" customHeight="1" x14ac:dyDescent="0.35">
      <c r="D41" s="49"/>
      <c r="E41" s="49"/>
      <c r="F41" s="49"/>
      <c r="G41" s="49"/>
      <c r="K41" s="8" t="s">
        <v>39</v>
      </c>
      <c r="L41" s="47" t="s">
        <v>591</v>
      </c>
    </row>
    <row r="42" spans="4:12" ht="15" customHeight="1" x14ac:dyDescent="0.35">
      <c r="D42" s="49"/>
      <c r="E42" s="49"/>
      <c r="K42" s="8" t="s">
        <v>40</v>
      </c>
      <c r="L42" s="47" t="s">
        <v>592</v>
      </c>
    </row>
    <row r="43" spans="4:12" ht="15" customHeight="1" x14ac:dyDescent="0.35">
      <c r="D43" s="49"/>
      <c r="E43" s="49"/>
      <c r="F43" s="49"/>
      <c r="K43" s="8" t="s">
        <v>41</v>
      </c>
      <c r="L43" s="47" t="s">
        <v>593</v>
      </c>
    </row>
    <row r="44" spans="4:12" ht="15" customHeight="1" x14ac:dyDescent="0.35">
      <c r="D44" s="49"/>
      <c r="E44" s="49"/>
      <c r="F44" s="49"/>
      <c r="K44" s="9" t="s">
        <v>594</v>
      </c>
      <c r="L44" s="47" t="s">
        <v>595</v>
      </c>
    </row>
    <row r="45" spans="4:12" ht="15" customHeight="1" x14ac:dyDescent="0.35">
      <c r="E45" s="49"/>
      <c r="F45" s="49"/>
      <c r="K45" s="4" t="s">
        <v>43</v>
      </c>
      <c r="L45" s="47" t="s">
        <v>596</v>
      </c>
    </row>
    <row r="46" spans="4:12" ht="15" customHeight="1" x14ac:dyDescent="0.35">
      <c r="F46" s="49"/>
      <c r="K46" s="5" t="s">
        <v>44</v>
      </c>
      <c r="L46" s="47" t="s">
        <v>597</v>
      </c>
    </row>
    <row r="47" spans="4:12" ht="15" customHeight="1" x14ac:dyDescent="0.3">
      <c r="K47" s="10" t="s">
        <v>598</v>
      </c>
      <c r="L47" s="47" t="s">
        <v>599</v>
      </c>
    </row>
    <row r="48" spans="4:12" ht="15" customHeight="1" x14ac:dyDescent="0.3">
      <c r="K48" s="11" t="s">
        <v>46</v>
      </c>
      <c r="L48" s="47" t="s">
        <v>600</v>
      </c>
    </row>
    <row r="49" spans="11:12" ht="15" customHeight="1" x14ac:dyDescent="0.3">
      <c r="K49" s="12" t="s">
        <v>601</v>
      </c>
      <c r="L49" s="47" t="s">
        <v>602</v>
      </c>
    </row>
    <row r="50" spans="11:12" ht="15" customHeight="1" x14ac:dyDescent="0.3">
      <c r="K50" s="13" t="s">
        <v>48</v>
      </c>
      <c r="L50" s="47" t="s">
        <v>603</v>
      </c>
    </row>
    <row r="51" spans="11:12" ht="15" customHeight="1" x14ac:dyDescent="0.3">
      <c r="K51" s="14" t="s">
        <v>49</v>
      </c>
      <c r="L51" s="47" t="s">
        <v>604</v>
      </c>
    </row>
    <row r="52" spans="11:12" ht="15" customHeight="1" x14ac:dyDescent="0.3">
      <c r="K52" s="15" t="s">
        <v>605</v>
      </c>
      <c r="L52" s="47" t="s">
        <v>606</v>
      </c>
    </row>
    <row r="53" spans="11:12" ht="15" customHeight="1" x14ac:dyDescent="0.3">
      <c r="K53" s="15" t="s">
        <v>51</v>
      </c>
      <c r="L53" s="47" t="s">
        <v>607</v>
      </c>
    </row>
    <row r="54" spans="11:12" ht="15" customHeight="1" x14ac:dyDescent="0.3">
      <c r="K54" s="15" t="s">
        <v>52</v>
      </c>
      <c r="L54" s="47" t="s">
        <v>608</v>
      </c>
    </row>
    <row r="55" spans="11:12" ht="15" customHeight="1" x14ac:dyDescent="0.3">
      <c r="K55" s="15" t="s">
        <v>53</v>
      </c>
      <c r="L55" s="47" t="s">
        <v>609</v>
      </c>
    </row>
    <row r="56" spans="11:12" ht="15" customHeight="1" x14ac:dyDescent="0.3">
      <c r="K56" s="15" t="s">
        <v>54</v>
      </c>
      <c r="L56" s="47" t="s">
        <v>610</v>
      </c>
    </row>
    <row r="57" spans="11:12" ht="15" customHeight="1" x14ac:dyDescent="0.3">
      <c r="K57" s="16" t="s">
        <v>55</v>
      </c>
      <c r="L57" s="47" t="s">
        <v>611</v>
      </c>
    </row>
    <row r="58" spans="11:12" ht="15" customHeight="1" x14ac:dyDescent="0.3">
      <c r="K58" s="13" t="s">
        <v>56</v>
      </c>
      <c r="L58" s="47" t="s">
        <v>612</v>
      </c>
    </row>
    <row r="59" spans="11:12" ht="15" customHeight="1" x14ac:dyDescent="0.3">
      <c r="K59" s="13" t="s">
        <v>57</v>
      </c>
      <c r="L59" s="47" t="s">
        <v>613</v>
      </c>
    </row>
    <row r="60" spans="11:12" ht="15" customHeight="1" x14ac:dyDescent="0.3">
      <c r="K60" s="17" t="s">
        <v>58</v>
      </c>
      <c r="L60" s="47" t="s">
        <v>614</v>
      </c>
    </row>
    <row r="61" spans="11:12" ht="15" customHeight="1" x14ac:dyDescent="0.3">
      <c r="K61" s="18" t="s">
        <v>59</v>
      </c>
      <c r="L61" s="47" t="s">
        <v>615</v>
      </c>
    </row>
    <row r="62" spans="11:12" ht="15" customHeight="1" x14ac:dyDescent="0.3">
      <c r="K62" s="19" t="s">
        <v>60</v>
      </c>
      <c r="L62" s="47" t="s">
        <v>616</v>
      </c>
    </row>
    <row r="63" spans="11:12" ht="15" customHeight="1" x14ac:dyDescent="0.3">
      <c r="K63" s="19" t="s">
        <v>61</v>
      </c>
      <c r="L63" s="47" t="s">
        <v>617</v>
      </c>
    </row>
    <row r="64" spans="11:12" ht="15" customHeight="1" x14ac:dyDescent="0.3">
      <c r="K64" s="19" t="s">
        <v>62</v>
      </c>
      <c r="L64" s="47" t="s">
        <v>618</v>
      </c>
    </row>
    <row r="65" spans="11:12" ht="15" customHeight="1" x14ac:dyDescent="0.3">
      <c r="K65" s="20" t="s">
        <v>63</v>
      </c>
      <c r="L65" s="47" t="s">
        <v>619</v>
      </c>
    </row>
    <row r="66" spans="11:12" ht="15" customHeight="1" x14ac:dyDescent="0.3">
      <c r="K66" s="20" t="s">
        <v>64</v>
      </c>
      <c r="L66" s="47" t="s">
        <v>620</v>
      </c>
    </row>
    <row r="67" spans="11:12" ht="15" customHeight="1" x14ac:dyDescent="0.3">
      <c r="K67" s="19" t="s">
        <v>65</v>
      </c>
      <c r="L67" s="47" t="s">
        <v>621</v>
      </c>
    </row>
    <row r="68" spans="11:12" ht="15" customHeight="1" x14ac:dyDescent="0.3">
      <c r="K68" s="19" t="s">
        <v>66</v>
      </c>
      <c r="L68" s="47" t="s">
        <v>622</v>
      </c>
    </row>
    <row r="69" spans="11:12" ht="15" customHeight="1" x14ac:dyDescent="0.3">
      <c r="K69" s="19" t="s">
        <v>67</v>
      </c>
      <c r="L69" s="47" t="s">
        <v>623</v>
      </c>
    </row>
    <row r="70" spans="11:12" ht="15" customHeight="1" x14ac:dyDescent="0.3">
      <c r="K70" s="20" t="s">
        <v>624</v>
      </c>
      <c r="L70" s="47" t="s">
        <v>625</v>
      </c>
    </row>
    <row r="71" spans="11:12" ht="15" customHeight="1" x14ac:dyDescent="0.3">
      <c r="K71" s="20" t="s">
        <v>626</v>
      </c>
      <c r="L71" s="47" t="s">
        <v>627</v>
      </c>
    </row>
    <row r="72" spans="11:12" ht="15" customHeight="1" x14ac:dyDescent="0.3">
      <c r="K72" s="19" t="s">
        <v>68</v>
      </c>
      <c r="L72" s="47" t="s">
        <v>628</v>
      </c>
    </row>
    <row r="73" spans="11:12" ht="15" customHeight="1" x14ac:dyDescent="0.3">
      <c r="K73" s="19" t="s">
        <v>69</v>
      </c>
      <c r="L73" s="47" t="s">
        <v>629</v>
      </c>
    </row>
    <row r="74" spans="11:12" ht="15" customHeight="1" x14ac:dyDescent="0.3">
      <c r="K74" s="19" t="s">
        <v>70</v>
      </c>
      <c r="L74" s="47" t="s">
        <v>630</v>
      </c>
    </row>
    <row r="75" spans="11:12" ht="15" customHeight="1" x14ac:dyDescent="0.3">
      <c r="K75" s="20" t="s">
        <v>631</v>
      </c>
      <c r="L75" s="47" t="s">
        <v>632</v>
      </c>
    </row>
    <row r="76" spans="11:12" ht="15" customHeight="1" x14ac:dyDescent="0.3">
      <c r="K76" s="20" t="s">
        <v>633</v>
      </c>
      <c r="L76" s="47" t="s">
        <v>634</v>
      </c>
    </row>
    <row r="77" spans="11:12" ht="15" customHeight="1" x14ac:dyDescent="0.3">
      <c r="K77" s="19" t="s">
        <v>71</v>
      </c>
      <c r="L77" s="47" t="s">
        <v>635</v>
      </c>
    </row>
    <row r="78" spans="11:12" ht="15" customHeight="1" x14ac:dyDescent="0.3">
      <c r="K78" s="19" t="s">
        <v>72</v>
      </c>
      <c r="L78" s="47" t="s">
        <v>636</v>
      </c>
    </row>
    <row r="79" spans="11:12" ht="15" customHeight="1" x14ac:dyDescent="0.3">
      <c r="K79" s="19" t="s">
        <v>73</v>
      </c>
      <c r="L79" s="47" t="s">
        <v>637</v>
      </c>
    </row>
    <row r="80" spans="11:12" ht="15" customHeight="1" x14ac:dyDescent="0.3">
      <c r="K80" s="20" t="s">
        <v>638</v>
      </c>
      <c r="L80" s="47" t="s">
        <v>639</v>
      </c>
    </row>
    <row r="81" spans="11:12" ht="15" customHeight="1" x14ac:dyDescent="0.3">
      <c r="K81" s="20" t="s">
        <v>640</v>
      </c>
      <c r="L81" s="47" t="s">
        <v>641</v>
      </c>
    </row>
    <row r="82" spans="11:12" ht="15" customHeight="1" x14ac:dyDescent="0.3">
      <c r="K82" s="19" t="s">
        <v>74</v>
      </c>
      <c r="L82" s="47" t="s">
        <v>642</v>
      </c>
    </row>
    <row r="83" spans="11:12" ht="15" customHeight="1" x14ac:dyDescent="0.3">
      <c r="K83" s="19" t="s">
        <v>75</v>
      </c>
      <c r="L83" s="47" t="s">
        <v>643</v>
      </c>
    </row>
    <row r="84" spans="11:12" ht="15" customHeight="1" x14ac:dyDescent="0.3">
      <c r="K84" s="19" t="s">
        <v>76</v>
      </c>
      <c r="L84" s="47" t="s">
        <v>644</v>
      </c>
    </row>
    <row r="85" spans="11:12" ht="15" customHeight="1" x14ac:dyDescent="0.3">
      <c r="K85" s="20" t="s">
        <v>645</v>
      </c>
      <c r="L85" s="47" t="s">
        <v>646</v>
      </c>
    </row>
    <row r="86" spans="11:12" ht="15" customHeight="1" x14ac:dyDescent="0.3">
      <c r="K86" s="20" t="s">
        <v>647</v>
      </c>
      <c r="L86" s="47" t="s">
        <v>648</v>
      </c>
    </row>
    <row r="87" spans="11:12" ht="15" customHeight="1" x14ac:dyDescent="0.3">
      <c r="K87" s="19" t="s">
        <v>77</v>
      </c>
      <c r="L87" s="47" t="s">
        <v>649</v>
      </c>
    </row>
    <row r="88" spans="11:12" ht="15" customHeight="1" x14ac:dyDescent="0.3">
      <c r="K88" s="19" t="s">
        <v>78</v>
      </c>
      <c r="L88" s="47" t="s">
        <v>650</v>
      </c>
    </row>
    <row r="89" spans="11:12" ht="15" customHeight="1" x14ac:dyDescent="0.3">
      <c r="K89" s="19" t="s">
        <v>79</v>
      </c>
      <c r="L89" s="47" t="s">
        <v>651</v>
      </c>
    </row>
    <row r="90" spans="11:12" ht="15" customHeight="1" x14ac:dyDescent="0.3">
      <c r="K90" s="20" t="s">
        <v>652</v>
      </c>
      <c r="L90" s="47" t="s">
        <v>653</v>
      </c>
    </row>
    <row r="91" spans="11:12" ht="15" customHeight="1" x14ac:dyDescent="0.3">
      <c r="K91" s="20" t="s">
        <v>654</v>
      </c>
      <c r="L91" s="47" t="s">
        <v>655</v>
      </c>
    </row>
    <row r="92" spans="11:12" ht="15" customHeight="1" x14ac:dyDescent="0.3">
      <c r="K92" s="19" t="s">
        <v>80</v>
      </c>
      <c r="L92" s="47" t="s">
        <v>656</v>
      </c>
    </row>
    <row r="93" spans="11:12" ht="15" customHeight="1" x14ac:dyDescent="0.3">
      <c r="K93" s="19" t="s">
        <v>81</v>
      </c>
      <c r="L93" s="47" t="s">
        <v>657</v>
      </c>
    </row>
    <row r="94" spans="11:12" ht="15" customHeight="1" x14ac:dyDescent="0.3">
      <c r="K94" s="19" t="s">
        <v>82</v>
      </c>
      <c r="L94" s="47" t="s">
        <v>658</v>
      </c>
    </row>
    <row r="95" spans="11:12" ht="15" customHeight="1" x14ac:dyDescent="0.3">
      <c r="K95" s="20" t="s">
        <v>659</v>
      </c>
      <c r="L95" s="47" t="s">
        <v>660</v>
      </c>
    </row>
    <row r="96" spans="11:12" ht="15" customHeight="1" x14ac:dyDescent="0.3">
      <c r="K96" s="20" t="s">
        <v>661</v>
      </c>
      <c r="L96" s="47" t="s">
        <v>662</v>
      </c>
    </row>
    <row r="97" spans="11:12" ht="15" customHeight="1" x14ac:dyDescent="0.3">
      <c r="K97" s="19" t="s">
        <v>83</v>
      </c>
      <c r="L97" s="47" t="s">
        <v>663</v>
      </c>
    </row>
    <row r="98" spans="11:12" ht="15" customHeight="1" x14ac:dyDescent="0.3">
      <c r="K98" s="19" t="s">
        <v>84</v>
      </c>
      <c r="L98" s="47" t="s">
        <v>664</v>
      </c>
    </row>
    <row r="99" spans="11:12" ht="15" customHeight="1" x14ac:dyDescent="0.3">
      <c r="K99" s="19" t="s">
        <v>85</v>
      </c>
      <c r="L99" s="47" t="s">
        <v>294</v>
      </c>
    </row>
    <row r="100" spans="11:12" ht="15" customHeight="1" x14ac:dyDescent="0.3">
      <c r="K100" s="20" t="s">
        <v>665</v>
      </c>
      <c r="L100" s="47" t="s">
        <v>666</v>
      </c>
    </row>
    <row r="101" spans="11:12" ht="15" customHeight="1" x14ac:dyDescent="0.3">
      <c r="K101" s="20" t="s">
        <v>667</v>
      </c>
      <c r="L101" s="47" t="s">
        <v>668</v>
      </c>
    </row>
    <row r="102" spans="11:12" ht="15" customHeight="1" x14ac:dyDescent="0.3">
      <c r="K102" s="19" t="s">
        <v>86</v>
      </c>
      <c r="L102" s="47" t="s">
        <v>669</v>
      </c>
    </row>
    <row r="103" spans="11:12" ht="15" customHeight="1" x14ac:dyDescent="0.3">
      <c r="K103" s="19" t="s">
        <v>87</v>
      </c>
      <c r="L103" s="47" t="s">
        <v>670</v>
      </c>
    </row>
    <row r="104" spans="11:12" ht="15" customHeight="1" x14ac:dyDescent="0.3">
      <c r="K104" s="19" t="s">
        <v>88</v>
      </c>
      <c r="L104" s="47" t="s">
        <v>671</v>
      </c>
    </row>
    <row r="105" spans="11:12" ht="15" customHeight="1" x14ac:dyDescent="0.3">
      <c r="K105" s="20" t="s">
        <v>672</v>
      </c>
      <c r="L105" s="47" t="s">
        <v>673</v>
      </c>
    </row>
    <row r="106" spans="11:12" ht="15" customHeight="1" x14ac:dyDescent="0.3">
      <c r="K106" s="20" t="s">
        <v>674</v>
      </c>
      <c r="L106" s="47" t="s">
        <v>675</v>
      </c>
    </row>
    <row r="107" spans="11:12" ht="15" customHeight="1" x14ac:dyDescent="0.3">
      <c r="K107" s="19" t="s">
        <v>89</v>
      </c>
      <c r="L107" s="47" t="s">
        <v>676</v>
      </c>
    </row>
    <row r="108" spans="11:12" ht="15" customHeight="1" x14ac:dyDescent="0.3">
      <c r="K108" s="19" t="s">
        <v>90</v>
      </c>
      <c r="L108" s="47" t="s">
        <v>677</v>
      </c>
    </row>
    <row r="109" spans="11:12" ht="15" customHeight="1" x14ac:dyDescent="0.3">
      <c r="K109" s="19" t="s">
        <v>91</v>
      </c>
      <c r="L109" s="47" t="s">
        <v>678</v>
      </c>
    </row>
    <row r="110" spans="11:12" ht="15" customHeight="1" x14ac:dyDescent="0.3">
      <c r="K110" s="20" t="s">
        <v>679</v>
      </c>
      <c r="L110" s="47" t="s">
        <v>680</v>
      </c>
    </row>
    <row r="111" spans="11:12" ht="15" customHeight="1" x14ac:dyDescent="0.3">
      <c r="K111" s="20" t="s">
        <v>681</v>
      </c>
      <c r="L111" s="47" t="s">
        <v>682</v>
      </c>
    </row>
    <row r="112" spans="11:12" ht="15" customHeight="1" x14ac:dyDescent="0.3">
      <c r="K112" s="19" t="s">
        <v>92</v>
      </c>
      <c r="L112" s="47" t="s">
        <v>683</v>
      </c>
    </row>
    <row r="113" spans="11:12" ht="15" customHeight="1" x14ac:dyDescent="0.3">
      <c r="K113" s="21" t="s">
        <v>93</v>
      </c>
      <c r="L113" s="47" t="s">
        <v>684</v>
      </c>
    </row>
    <row r="114" spans="11:12" ht="15" customHeight="1" x14ac:dyDescent="0.3">
      <c r="K114" s="21" t="s">
        <v>94</v>
      </c>
      <c r="L114" s="47" t="s">
        <v>685</v>
      </c>
    </row>
    <row r="115" spans="11:12" ht="15" customHeight="1" x14ac:dyDescent="0.3">
      <c r="K115" s="22" t="s">
        <v>95</v>
      </c>
      <c r="L115" s="47" t="s">
        <v>686</v>
      </c>
    </row>
    <row r="116" spans="11:12" ht="15" customHeight="1" x14ac:dyDescent="0.3">
      <c r="K116" s="22" t="s">
        <v>96</v>
      </c>
      <c r="L116" s="47" t="s">
        <v>687</v>
      </c>
    </row>
    <row r="117" spans="11:12" ht="15" customHeight="1" x14ac:dyDescent="0.3">
      <c r="K117" s="21" t="s">
        <v>97</v>
      </c>
      <c r="L117" s="47" t="s">
        <v>688</v>
      </c>
    </row>
    <row r="118" spans="11:12" ht="15" customHeight="1" x14ac:dyDescent="0.3">
      <c r="K118" s="21" t="s">
        <v>98</v>
      </c>
      <c r="L118" s="47" t="s">
        <v>689</v>
      </c>
    </row>
    <row r="119" spans="11:12" ht="15" customHeight="1" x14ac:dyDescent="0.3">
      <c r="K119" s="21" t="s">
        <v>99</v>
      </c>
      <c r="L119" s="47" t="s">
        <v>690</v>
      </c>
    </row>
    <row r="120" spans="11:12" ht="15" customHeight="1" x14ac:dyDescent="0.3">
      <c r="K120" s="22" t="s">
        <v>691</v>
      </c>
      <c r="L120" s="47" t="s">
        <v>692</v>
      </c>
    </row>
    <row r="121" spans="11:12" ht="15" customHeight="1" x14ac:dyDescent="0.3">
      <c r="K121" s="22" t="s">
        <v>693</v>
      </c>
      <c r="L121" s="47" t="s">
        <v>694</v>
      </c>
    </row>
    <row r="122" spans="11:12" ht="15" customHeight="1" x14ac:dyDescent="0.3">
      <c r="K122" s="21" t="s">
        <v>100</v>
      </c>
      <c r="L122" s="47" t="s">
        <v>695</v>
      </c>
    </row>
    <row r="123" spans="11:12" ht="15" customHeight="1" x14ac:dyDescent="0.3">
      <c r="K123" s="21" t="s">
        <v>101</v>
      </c>
      <c r="L123" s="47" t="s">
        <v>696</v>
      </c>
    </row>
    <row r="124" spans="11:12" ht="15" customHeight="1" x14ac:dyDescent="0.3">
      <c r="K124" s="21" t="s">
        <v>102</v>
      </c>
      <c r="L124" s="47" t="s">
        <v>697</v>
      </c>
    </row>
    <row r="125" spans="11:12" ht="15" customHeight="1" x14ac:dyDescent="0.3">
      <c r="K125" s="22" t="s">
        <v>698</v>
      </c>
      <c r="L125" s="47" t="s">
        <v>699</v>
      </c>
    </row>
    <row r="126" spans="11:12" ht="15" customHeight="1" x14ac:dyDescent="0.3">
      <c r="K126" s="22" t="s">
        <v>700</v>
      </c>
      <c r="L126" s="47" t="s">
        <v>701</v>
      </c>
    </row>
    <row r="127" spans="11:12" ht="15" customHeight="1" x14ac:dyDescent="0.3">
      <c r="K127" s="21" t="s">
        <v>103</v>
      </c>
      <c r="L127" s="47" t="s">
        <v>702</v>
      </c>
    </row>
    <row r="128" spans="11:12" ht="15" customHeight="1" x14ac:dyDescent="0.3">
      <c r="K128" s="21" t="s">
        <v>104</v>
      </c>
      <c r="L128" s="47" t="s">
        <v>703</v>
      </c>
    </row>
    <row r="129" spans="11:12" ht="15" customHeight="1" x14ac:dyDescent="0.3">
      <c r="K129" s="21" t="s">
        <v>105</v>
      </c>
      <c r="L129" s="47" t="s">
        <v>704</v>
      </c>
    </row>
    <row r="130" spans="11:12" ht="15" customHeight="1" x14ac:dyDescent="0.3">
      <c r="K130" s="22" t="s">
        <v>705</v>
      </c>
      <c r="L130" s="47" t="s">
        <v>706</v>
      </c>
    </row>
    <row r="131" spans="11:12" ht="15" customHeight="1" x14ac:dyDescent="0.3">
      <c r="K131" s="22" t="s">
        <v>707</v>
      </c>
      <c r="L131" s="47" t="s">
        <v>708</v>
      </c>
    </row>
    <row r="132" spans="11:12" ht="15" customHeight="1" x14ac:dyDescent="0.3">
      <c r="K132" s="21" t="s">
        <v>106</v>
      </c>
      <c r="L132" s="47" t="s">
        <v>709</v>
      </c>
    </row>
    <row r="133" spans="11:12" ht="15" customHeight="1" x14ac:dyDescent="0.3">
      <c r="K133" s="21" t="s">
        <v>107</v>
      </c>
      <c r="L133" s="47" t="s">
        <v>710</v>
      </c>
    </row>
    <row r="134" spans="11:12" ht="15" customHeight="1" x14ac:dyDescent="0.3">
      <c r="K134" s="21" t="s">
        <v>108</v>
      </c>
      <c r="L134" s="47" t="s">
        <v>711</v>
      </c>
    </row>
    <row r="135" spans="11:12" ht="15" customHeight="1" x14ac:dyDescent="0.3">
      <c r="K135" s="22" t="s">
        <v>712</v>
      </c>
      <c r="L135" s="47" t="s">
        <v>713</v>
      </c>
    </row>
    <row r="136" spans="11:12" ht="15" customHeight="1" x14ac:dyDescent="0.3">
      <c r="K136" s="22" t="s">
        <v>714</v>
      </c>
      <c r="L136" s="47" t="s">
        <v>715</v>
      </c>
    </row>
    <row r="137" spans="11:12" ht="15" customHeight="1" x14ac:dyDescent="0.3">
      <c r="K137" s="21" t="s">
        <v>109</v>
      </c>
      <c r="L137" s="47" t="s">
        <v>716</v>
      </c>
    </row>
    <row r="138" spans="11:12" ht="15" customHeight="1" x14ac:dyDescent="0.3">
      <c r="K138" s="21" t="s">
        <v>110</v>
      </c>
      <c r="L138" s="47" t="s">
        <v>717</v>
      </c>
    </row>
    <row r="139" spans="11:12" ht="15" customHeight="1" x14ac:dyDescent="0.3">
      <c r="K139" s="21" t="s">
        <v>111</v>
      </c>
      <c r="L139" s="47" t="s">
        <v>718</v>
      </c>
    </row>
    <row r="140" spans="11:12" ht="15" customHeight="1" x14ac:dyDescent="0.3">
      <c r="K140" s="22" t="s">
        <v>719</v>
      </c>
      <c r="L140" s="47" t="s">
        <v>720</v>
      </c>
    </row>
    <row r="141" spans="11:12" ht="15" customHeight="1" x14ac:dyDescent="0.3">
      <c r="K141" s="22" t="s">
        <v>721</v>
      </c>
      <c r="L141" s="47" t="s">
        <v>722</v>
      </c>
    </row>
    <row r="142" spans="11:12" ht="15" customHeight="1" x14ac:dyDescent="0.3">
      <c r="K142" s="21" t="s">
        <v>112</v>
      </c>
      <c r="L142" s="47" t="s">
        <v>723</v>
      </c>
    </row>
    <row r="143" spans="11:12" ht="15" customHeight="1" x14ac:dyDescent="0.3">
      <c r="K143" s="21" t="s">
        <v>113</v>
      </c>
      <c r="L143" s="47" t="s">
        <v>724</v>
      </c>
    </row>
    <row r="144" spans="11:12" ht="15" customHeight="1" x14ac:dyDescent="0.3">
      <c r="K144" s="21" t="s">
        <v>114</v>
      </c>
      <c r="L144" s="47" t="s">
        <v>725</v>
      </c>
    </row>
    <row r="145" spans="11:12" ht="15" customHeight="1" x14ac:dyDescent="0.3">
      <c r="K145" s="22" t="s">
        <v>726</v>
      </c>
      <c r="L145" s="47" t="s">
        <v>727</v>
      </c>
    </row>
    <row r="146" spans="11:12" ht="15" customHeight="1" x14ac:dyDescent="0.3">
      <c r="K146" s="22" t="s">
        <v>728</v>
      </c>
      <c r="L146" s="47" t="s">
        <v>729</v>
      </c>
    </row>
    <row r="147" spans="11:12" ht="15" customHeight="1" x14ac:dyDescent="0.3">
      <c r="K147" s="21" t="s">
        <v>115</v>
      </c>
      <c r="L147" s="47" t="s">
        <v>730</v>
      </c>
    </row>
    <row r="148" spans="11:12" ht="15" customHeight="1" x14ac:dyDescent="0.3">
      <c r="K148" s="21" t="s">
        <v>116</v>
      </c>
      <c r="L148" s="47" t="s">
        <v>731</v>
      </c>
    </row>
    <row r="149" spans="11:12" ht="15" customHeight="1" x14ac:dyDescent="0.3">
      <c r="K149" s="21" t="s">
        <v>117</v>
      </c>
      <c r="L149" s="47" t="s">
        <v>732</v>
      </c>
    </row>
    <row r="150" spans="11:12" ht="15" customHeight="1" x14ac:dyDescent="0.3">
      <c r="K150" s="22" t="s">
        <v>733</v>
      </c>
      <c r="L150" s="47" t="s">
        <v>734</v>
      </c>
    </row>
    <row r="151" spans="11:12" ht="15" customHeight="1" x14ac:dyDescent="0.3">
      <c r="K151" s="22" t="s">
        <v>735</v>
      </c>
      <c r="L151" s="47" t="s">
        <v>736</v>
      </c>
    </row>
    <row r="152" spans="11:12" ht="15" customHeight="1" x14ac:dyDescent="0.3">
      <c r="K152" s="21" t="s">
        <v>118</v>
      </c>
      <c r="L152" s="47" t="s">
        <v>737</v>
      </c>
    </row>
    <row r="153" spans="11:12" ht="15" customHeight="1" x14ac:dyDescent="0.3">
      <c r="K153" s="21" t="s">
        <v>119</v>
      </c>
      <c r="L153" s="47" t="s">
        <v>738</v>
      </c>
    </row>
    <row r="154" spans="11:12" ht="15" customHeight="1" x14ac:dyDescent="0.3">
      <c r="K154" s="21" t="s">
        <v>120</v>
      </c>
      <c r="L154" s="47" t="s">
        <v>739</v>
      </c>
    </row>
    <row r="155" spans="11:12" ht="15" customHeight="1" x14ac:dyDescent="0.3">
      <c r="K155" s="22" t="s">
        <v>740</v>
      </c>
      <c r="L155" s="47" t="s">
        <v>741</v>
      </c>
    </row>
    <row r="156" spans="11:12" ht="15" customHeight="1" x14ac:dyDescent="0.3">
      <c r="K156" s="22" t="s">
        <v>742</v>
      </c>
      <c r="L156" s="47" t="s">
        <v>743</v>
      </c>
    </row>
    <row r="157" spans="11:12" ht="15" customHeight="1" x14ac:dyDescent="0.3">
      <c r="K157" s="21" t="s">
        <v>121</v>
      </c>
      <c r="L157" s="47" t="s">
        <v>744</v>
      </c>
    </row>
    <row r="158" spans="11:12" ht="15" customHeight="1" x14ac:dyDescent="0.3">
      <c r="K158" s="21" t="s">
        <v>122</v>
      </c>
      <c r="L158" s="47" t="s">
        <v>745</v>
      </c>
    </row>
    <row r="159" spans="11:12" ht="15" customHeight="1" x14ac:dyDescent="0.3">
      <c r="K159" s="21" t="s">
        <v>123</v>
      </c>
      <c r="L159" s="47" t="s">
        <v>746</v>
      </c>
    </row>
    <row r="160" spans="11:12" ht="15" customHeight="1" x14ac:dyDescent="0.3">
      <c r="K160" s="22" t="s">
        <v>747</v>
      </c>
      <c r="L160" s="47" t="s">
        <v>748</v>
      </c>
    </row>
    <row r="161" spans="11:12" ht="15" customHeight="1" x14ac:dyDescent="0.3">
      <c r="K161" s="22" t="s">
        <v>749</v>
      </c>
      <c r="L161" s="47" t="s">
        <v>750</v>
      </c>
    </row>
    <row r="162" spans="11:12" ht="15" customHeight="1" x14ac:dyDescent="0.3">
      <c r="K162" s="21" t="s">
        <v>124</v>
      </c>
      <c r="L162" s="47" t="s">
        <v>751</v>
      </c>
    </row>
    <row r="163" spans="11:12" ht="15" customHeight="1" x14ac:dyDescent="0.3">
      <c r="K163" s="21" t="s">
        <v>125</v>
      </c>
      <c r="L163" s="47" t="s">
        <v>752</v>
      </c>
    </row>
    <row r="164" spans="11:12" ht="15" customHeight="1" x14ac:dyDescent="0.3">
      <c r="K164" s="21" t="s">
        <v>126</v>
      </c>
      <c r="L164" s="47" t="s">
        <v>753</v>
      </c>
    </row>
    <row r="165" spans="11:12" ht="15" customHeight="1" x14ac:dyDescent="0.3">
      <c r="K165" s="22" t="s">
        <v>754</v>
      </c>
      <c r="L165" s="47" t="s">
        <v>755</v>
      </c>
    </row>
    <row r="166" spans="11:12" ht="15" customHeight="1" x14ac:dyDescent="0.3">
      <c r="K166" s="22" t="s">
        <v>756</v>
      </c>
      <c r="L166" s="47" t="s">
        <v>757</v>
      </c>
    </row>
    <row r="167" spans="11:12" ht="15" customHeight="1" x14ac:dyDescent="0.3">
      <c r="K167" s="21" t="s">
        <v>127</v>
      </c>
      <c r="L167" s="47" t="s">
        <v>758</v>
      </c>
    </row>
    <row r="168" spans="11:12" ht="15" customHeight="1" x14ac:dyDescent="0.3">
      <c r="K168" s="21" t="s">
        <v>128</v>
      </c>
      <c r="L168" s="47" t="s">
        <v>759</v>
      </c>
    </row>
    <row r="169" spans="11:12" ht="15" customHeight="1" x14ac:dyDescent="0.3">
      <c r="K169" s="21" t="s">
        <v>129</v>
      </c>
      <c r="L169" s="47" t="s">
        <v>760</v>
      </c>
    </row>
    <row r="170" spans="11:12" ht="15" customHeight="1" x14ac:dyDescent="0.3">
      <c r="K170" s="22" t="s">
        <v>761</v>
      </c>
      <c r="L170" s="47" t="s">
        <v>762</v>
      </c>
    </row>
    <row r="171" spans="11:12" ht="15" customHeight="1" x14ac:dyDescent="0.3">
      <c r="K171" s="22" t="s">
        <v>763</v>
      </c>
      <c r="L171" s="47" t="s">
        <v>764</v>
      </c>
    </row>
    <row r="172" spans="11:12" ht="15" customHeight="1" x14ac:dyDescent="0.3">
      <c r="K172" s="21" t="s">
        <v>130</v>
      </c>
      <c r="L172" s="47" t="s">
        <v>765</v>
      </c>
    </row>
    <row r="173" spans="11:12" ht="15" customHeight="1" x14ac:dyDescent="0.3">
      <c r="K173" s="21" t="s">
        <v>131</v>
      </c>
      <c r="L173" s="47" t="s">
        <v>766</v>
      </c>
    </row>
    <row r="174" spans="11:12" ht="15" customHeight="1" x14ac:dyDescent="0.3">
      <c r="K174" s="21" t="s">
        <v>132</v>
      </c>
      <c r="L174" s="47" t="s">
        <v>767</v>
      </c>
    </row>
    <row r="175" spans="11:12" ht="15" customHeight="1" x14ac:dyDescent="0.3">
      <c r="K175" s="22" t="s">
        <v>768</v>
      </c>
      <c r="L175" s="47" t="s">
        <v>769</v>
      </c>
    </row>
    <row r="176" spans="11:12" ht="15" customHeight="1" x14ac:dyDescent="0.3">
      <c r="K176" s="22" t="s">
        <v>770</v>
      </c>
      <c r="L176" s="47" t="s">
        <v>771</v>
      </c>
    </row>
    <row r="177" spans="11:12" ht="15" customHeight="1" x14ac:dyDescent="0.3">
      <c r="K177" s="21" t="s">
        <v>133</v>
      </c>
      <c r="L177" s="47" t="s">
        <v>772</v>
      </c>
    </row>
    <row r="178" spans="11:12" ht="15" customHeight="1" x14ac:dyDescent="0.3">
      <c r="K178" s="21" t="s">
        <v>134</v>
      </c>
      <c r="L178" s="47" t="s">
        <v>773</v>
      </c>
    </row>
    <row r="179" spans="11:12" ht="15" customHeight="1" x14ac:dyDescent="0.3">
      <c r="K179" s="23" t="s">
        <v>135</v>
      </c>
      <c r="L179" s="47" t="s">
        <v>774</v>
      </c>
    </row>
    <row r="180" spans="11:12" ht="15" customHeight="1" x14ac:dyDescent="0.3">
      <c r="K180" s="22" t="s">
        <v>775</v>
      </c>
      <c r="L180" s="47" t="s">
        <v>776</v>
      </c>
    </row>
    <row r="181" spans="11:12" ht="15" customHeight="1" x14ac:dyDescent="0.3">
      <c r="K181" s="22" t="s">
        <v>777</v>
      </c>
      <c r="L181" s="47" t="s">
        <v>778</v>
      </c>
    </row>
    <row r="182" spans="11:12" ht="15" customHeight="1" x14ac:dyDescent="0.3">
      <c r="K182" s="21" t="s">
        <v>136</v>
      </c>
      <c r="L182" s="47" t="s">
        <v>779</v>
      </c>
    </row>
    <row r="183" spans="11:12" ht="15" customHeight="1" x14ac:dyDescent="0.3">
      <c r="K183" s="21" t="s">
        <v>137</v>
      </c>
      <c r="L183" s="47" t="s">
        <v>780</v>
      </c>
    </row>
    <row r="184" spans="11:12" ht="15" customHeight="1" x14ac:dyDescent="0.3">
      <c r="K184" s="21" t="s">
        <v>138</v>
      </c>
      <c r="L184" s="47" t="s">
        <v>781</v>
      </c>
    </row>
    <row r="185" spans="11:12" ht="15" customHeight="1" x14ac:dyDescent="0.3">
      <c r="K185" s="22" t="s">
        <v>782</v>
      </c>
      <c r="L185" s="47" t="s">
        <v>783</v>
      </c>
    </row>
    <row r="186" spans="11:12" ht="15" customHeight="1" x14ac:dyDescent="0.3">
      <c r="K186" s="22" t="s">
        <v>784</v>
      </c>
      <c r="L186" s="47" t="s">
        <v>785</v>
      </c>
    </row>
    <row r="187" spans="11:12" ht="15" customHeight="1" x14ac:dyDescent="0.3">
      <c r="K187" s="21" t="s">
        <v>139</v>
      </c>
      <c r="L187" s="47" t="s">
        <v>786</v>
      </c>
    </row>
    <row r="188" spans="11:12" ht="15" customHeight="1" x14ac:dyDescent="0.3">
      <c r="K188" s="24" t="s">
        <v>140</v>
      </c>
      <c r="L188" s="47" t="s">
        <v>787</v>
      </c>
    </row>
    <row r="189" spans="11:12" ht="15" customHeight="1" x14ac:dyDescent="0.3">
      <c r="K189" s="25" t="s">
        <v>141</v>
      </c>
      <c r="L189" s="47" t="s">
        <v>788</v>
      </c>
    </row>
    <row r="190" spans="11:12" ht="15" customHeight="1" x14ac:dyDescent="0.3">
      <c r="K190" s="24" t="s">
        <v>789</v>
      </c>
      <c r="L190" s="47" t="s">
        <v>790</v>
      </c>
    </row>
    <row r="191" spans="11:12" ht="15" customHeight="1" x14ac:dyDescent="0.3">
      <c r="K191" s="25" t="s">
        <v>791</v>
      </c>
      <c r="L191" s="47" t="s">
        <v>792</v>
      </c>
    </row>
    <row r="192" spans="11:12" ht="15" customHeight="1" x14ac:dyDescent="0.3">
      <c r="K192" s="24" t="s">
        <v>793</v>
      </c>
      <c r="L192" s="47" t="s">
        <v>794</v>
      </c>
    </row>
    <row r="193" spans="11:12" ht="15" customHeight="1" x14ac:dyDescent="0.3">
      <c r="K193" s="25" t="s">
        <v>795</v>
      </c>
      <c r="L193" s="47" t="s">
        <v>796</v>
      </c>
    </row>
    <row r="194" spans="11:12" ht="15" customHeight="1" x14ac:dyDescent="0.3">
      <c r="K194" s="24" t="s">
        <v>797</v>
      </c>
      <c r="L194" s="47" t="s">
        <v>798</v>
      </c>
    </row>
    <row r="195" spans="11:12" ht="15" customHeight="1" x14ac:dyDescent="0.3">
      <c r="K195" s="25" t="s">
        <v>799</v>
      </c>
      <c r="L195" s="47" t="s">
        <v>800</v>
      </c>
    </row>
    <row r="196" spans="11:12" ht="15" customHeight="1" x14ac:dyDescent="0.3">
      <c r="K196" s="24" t="s">
        <v>801</v>
      </c>
      <c r="L196" s="47" t="s">
        <v>802</v>
      </c>
    </row>
    <row r="197" spans="11:12" ht="15" customHeight="1" x14ac:dyDescent="0.3">
      <c r="K197" s="25" t="s">
        <v>803</v>
      </c>
      <c r="L197" s="47" t="s">
        <v>804</v>
      </c>
    </row>
    <row r="198" spans="11:12" ht="15" customHeight="1" x14ac:dyDescent="0.3">
      <c r="K198" s="24" t="s">
        <v>805</v>
      </c>
      <c r="L198" s="47" t="s">
        <v>806</v>
      </c>
    </row>
    <row r="199" spans="11:12" ht="15" customHeight="1" x14ac:dyDescent="0.3">
      <c r="K199" s="25" t="s">
        <v>807</v>
      </c>
      <c r="L199" s="47" t="s">
        <v>808</v>
      </c>
    </row>
    <row r="200" spans="11:12" ht="15" customHeight="1" x14ac:dyDescent="0.3">
      <c r="K200" s="24" t="s">
        <v>809</v>
      </c>
      <c r="L200" s="47" t="s">
        <v>810</v>
      </c>
    </row>
    <row r="201" spans="11:12" ht="15" customHeight="1" x14ac:dyDescent="0.3">
      <c r="K201" s="25" t="s">
        <v>811</v>
      </c>
      <c r="L201" s="47" t="s">
        <v>812</v>
      </c>
    </row>
    <row r="202" spans="11:12" ht="15" customHeight="1" x14ac:dyDescent="0.3">
      <c r="K202" s="24" t="s">
        <v>813</v>
      </c>
      <c r="L202" s="47" t="s">
        <v>814</v>
      </c>
    </row>
    <row r="203" spans="11:12" ht="15" customHeight="1" x14ac:dyDescent="0.3">
      <c r="K203" s="25" t="s">
        <v>815</v>
      </c>
      <c r="L203" s="47" t="s">
        <v>816</v>
      </c>
    </row>
    <row r="204" spans="11:12" ht="15" customHeight="1" x14ac:dyDescent="0.3">
      <c r="K204" s="24" t="s">
        <v>817</v>
      </c>
      <c r="L204" s="47" t="s">
        <v>818</v>
      </c>
    </row>
    <row r="205" spans="11:12" ht="15" customHeight="1" x14ac:dyDescent="0.3">
      <c r="K205" s="25" t="s">
        <v>819</v>
      </c>
      <c r="L205" s="47" t="s">
        <v>820</v>
      </c>
    </row>
    <row r="206" spans="11:12" ht="15" customHeight="1" x14ac:dyDescent="0.3">
      <c r="K206" s="24" t="s">
        <v>821</v>
      </c>
      <c r="L206" s="47" t="s">
        <v>822</v>
      </c>
    </row>
    <row r="207" spans="11:12" ht="15" customHeight="1" x14ac:dyDescent="0.3">
      <c r="K207" s="25" t="s">
        <v>823</v>
      </c>
      <c r="L207" s="47" t="s">
        <v>824</v>
      </c>
    </row>
    <row r="208" spans="11:12" ht="15" customHeight="1" x14ac:dyDescent="0.3">
      <c r="K208" s="24" t="s">
        <v>825</v>
      </c>
      <c r="L208" s="47" t="s">
        <v>826</v>
      </c>
    </row>
    <row r="209" spans="11:12" ht="15" customHeight="1" x14ac:dyDescent="0.3">
      <c r="K209" s="25" t="s">
        <v>827</v>
      </c>
      <c r="L209" s="47" t="s">
        <v>828</v>
      </c>
    </row>
    <row r="210" spans="11:12" ht="15" customHeight="1" x14ac:dyDescent="0.3">
      <c r="K210" s="24" t="s">
        <v>829</v>
      </c>
      <c r="L210" s="47" t="s">
        <v>830</v>
      </c>
    </row>
    <row r="211" spans="11:12" ht="15" customHeight="1" x14ac:dyDescent="0.3">
      <c r="K211" s="25" t="s">
        <v>831</v>
      </c>
      <c r="L211" s="47" t="s">
        <v>832</v>
      </c>
    </row>
    <row r="212" spans="11:12" ht="15" customHeight="1" x14ac:dyDescent="0.3">
      <c r="K212" s="24" t="s">
        <v>833</v>
      </c>
      <c r="L212" s="47" t="s">
        <v>834</v>
      </c>
    </row>
    <row r="213" spans="11:12" ht="15" customHeight="1" x14ac:dyDescent="0.3">
      <c r="K213" s="25" t="s">
        <v>835</v>
      </c>
      <c r="L213" s="47" t="s">
        <v>836</v>
      </c>
    </row>
    <row r="214" spans="11:12" ht="15" customHeight="1" x14ac:dyDescent="0.3">
      <c r="K214" s="24" t="s">
        <v>837</v>
      </c>
      <c r="L214" s="47" t="s">
        <v>838</v>
      </c>
    </row>
    <row r="215" spans="11:12" ht="15" customHeight="1" x14ac:dyDescent="0.3">
      <c r="K215" s="25" t="s">
        <v>839</v>
      </c>
      <c r="L215" s="47" t="s">
        <v>840</v>
      </c>
    </row>
    <row r="216" spans="11:12" ht="15" customHeight="1" x14ac:dyDescent="0.3">
      <c r="K216" s="24" t="s">
        <v>841</v>
      </c>
      <c r="L216" s="47" t="s">
        <v>842</v>
      </c>
    </row>
    <row r="217" spans="11:12" ht="15" customHeight="1" x14ac:dyDescent="0.3">
      <c r="K217" s="25" t="s">
        <v>843</v>
      </c>
      <c r="L217" s="47" t="s">
        <v>844</v>
      </c>
    </row>
    <row r="218" spans="11:12" ht="15" customHeight="1" x14ac:dyDescent="0.3">
      <c r="K218" s="26" t="s">
        <v>142</v>
      </c>
      <c r="L218" s="47" t="s">
        <v>845</v>
      </c>
    </row>
    <row r="219" spans="11:12" ht="15" customHeight="1" x14ac:dyDescent="0.3">
      <c r="K219" s="26" t="s">
        <v>143</v>
      </c>
      <c r="L219" s="47" t="s">
        <v>846</v>
      </c>
    </row>
    <row r="220" spans="11:12" ht="15" customHeight="1" x14ac:dyDescent="0.3">
      <c r="K220" s="27" t="s">
        <v>144</v>
      </c>
      <c r="L220" s="47" t="s">
        <v>847</v>
      </c>
    </row>
    <row r="221" spans="11:12" ht="15" customHeight="1" x14ac:dyDescent="0.3">
      <c r="K221" s="28" t="s">
        <v>848</v>
      </c>
      <c r="L221" s="47" t="s">
        <v>849</v>
      </c>
    </row>
    <row r="222" spans="11:12" ht="15" customHeight="1" x14ac:dyDescent="0.3">
      <c r="K222" s="29" t="s">
        <v>146</v>
      </c>
      <c r="L222" s="47" t="s">
        <v>850</v>
      </c>
    </row>
    <row r="223" spans="11:12" ht="15" customHeight="1" x14ac:dyDescent="0.3">
      <c r="K223" s="26" t="s">
        <v>147</v>
      </c>
      <c r="L223" s="47" t="s">
        <v>851</v>
      </c>
    </row>
    <row r="224" spans="11:12" ht="15" customHeight="1" x14ac:dyDescent="0.3">
      <c r="K224" s="26" t="s">
        <v>148</v>
      </c>
      <c r="L224" s="47" t="s">
        <v>852</v>
      </c>
    </row>
    <row r="225" spans="11:12" ht="15" customHeight="1" x14ac:dyDescent="0.3">
      <c r="K225" s="27" t="s">
        <v>853</v>
      </c>
      <c r="L225" s="47" t="s">
        <v>854</v>
      </c>
    </row>
    <row r="226" spans="11:12" ht="15" customHeight="1" x14ac:dyDescent="0.3">
      <c r="K226" s="28" t="s">
        <v>855</v>
      </c>
      <c r="L226" s="47" t="s">
        <v>856</v>
      </c>
    </row>
    <row r="227" spans="11:12" ht="15" customHeight="1" x14ac:dyDescent="0.3">
      <c r="K227" s="29" t="s">
        <v>149</v>
      </c>
      <c r="L227" s="47" t="s">
        <v>857</v>
      </c>
    </row>
    <row r="228" spans="11:12" ht="15" customHeight="1" x14ac:dyDescent="0.3">
      <c r="K228" s="26" t="s">
        <v>150</v>
      </c>
      <c r="L228" s="47" t="s">
        <v>858</v>
      </c>
    </row>
    <row r="229" spans="11:12" ht="15" customHeight="1" x14ac:dyDescent="0.3">
      <c r="K229" s="26" t="s">
        <v>151</v>
      </c>
      <c r="L229" s="47" t="s">
        <v>859</v>
      </c>
    </row>
    <row r="230" spans="11:12" ht="15" customHeight="1" x14ac:dyDescent="0.3">
      <c r="K230" s="27" t="s">
        <v>860</v>
      </c>
      <c r="L230" s="47" t="s">
        <v>861</v>
      </c>
    </row>
    <row r="231" spans="11:12" ht="15" customHeight="1" x14ac:dyDescent="0.3">
      <c r="K231" s="28" t="s">
        <v>862</v>
      </c>
      <c r="L231" s="47" t="s">
        <v>863</v>
      </c>
    </row>
    <row r="232" spans="11:12" ht="15" customHeight="1" x14ac:dyDescent="0.3">
      <c r="K232" s="29" t="s">
        <v>152</v>
      </c>
      <c r="L232" s="47" t="s">
        <v>864</v>
      </c>
    </row>
    <row r="233" spans="11:12" ht="15" customHeight="1" x14ac:dyDescent="0.3">
      <c r="K233" s="26" t="s">
        <v>153</v>
      </c>
      <c r="L233" s="47" t="s">
        <v>865</v>
      </c>
    </row>
    <row r="234" spans="11:12" ht="15" customHeight="1" x14ac:dyDescent="0.3">
      <c r="K234" s="26" t="s">
        <v>154</v>
      </c>
      <c r="L234" s="47" t="s">
        <v>866</v>
      </c>
    </row>
    <row r="235" spans="11:12" ht="15" customHeight="1" x14ac:dyDescent="0.3">
      <c r="K235" s="27" t="s">
        <v>867</v>
      </c>
      <c r="L235" s="47" t="s">
        <v>868</v>
      </c>
    </row>
    <row r="236" spans="11:12" ht="15" customHeight="1" x14ac:dyDescent="0.3">
      <c r="K236" s="28" t="s">
        <v>869</v>
      </c>
      <c r="L236" s="47" t="s">
        <v>870</v>
      </c>
    </row>
    <row r="237" spans="11:12" ht="15" customHeight="1" x14ac:dyDescent="0.3">
      <c r="K237" s="29" t="s">
        <v>155</v>
      </c>
      <c r="L237" s="47" t="s">
        <v>871</v>
      </c>
    </row>
    <row r="238" spans="11:12" ht="15" customHeight="1" x14ac:dyDescent="0.3">
      <c r="K238" s="26" t="s">
        <v>156</v>
      </c>
      <c r="L238" s="47" t="s">
        <v>267</v>
      </c>
    </row>
    <row r="239" spans="11:12" ht="15" customHeight="1" x14ac:dyDescent="0.3">
      <c r="K239" s="26" t="s">
        <v>157</v>
      </c>
      <c r="L239" s="47" t="s">
        <v>235</v>
      </c>
    </row>
    <row r="240" spans="11:12" ht="15" customHeight="1" x14ac:dyDescent="0.3">
      <c r="K240" s="27" t="s">
        <v>872</v>
      </c>
      <c r="L240" s="47" t="s">
        <v>873</v>
      </c>
    </row>
    <row r="241" spans="11:12" ht="15" customHeight="1" x14ac:dyDescent="0.3">
      <c r="K241" s="28" t="s">
        <v>874</v>
      </c>
      <c r="L241" s="47" t="s">
        <v>875</v>
      </c>
    </row>
    <row r="242" spans="11:12" ht="15" customHeight="1" x14ac:dyDescent="0.3">
      <c r="K242" s="29" t="s">
        <v>158</v>
      </c>
      <c r="L242" s="47" t="s">
        <v>876</v>
      </c>
    </row>
    <row r="243" spans="11:12" ht="15" customHeight="1" x14ac:dyDescent="0.3">
      <c r="K243" s="26" t="s">
        <v>159</v>
      </c>
      <c r="L243" s="47" t="s">
        <v>877</v>
      </c>
    </row>
    <row r="244" spans="11:12" ht="15" customHeight="1" x14ac:dyDescent="0.3">
      <c r="K244" s="26" t="s">
        <v>160</v>
      </c>
      <c r="L244" s="47" t="s">
        <v>878</v>
      </c>
    </row>
    <row r="245" spans="11:12" ht="15" customHeight="1" x14ac:dyDescent="0.3">
      <c r="K245" s="27" t="s">
        <v>879</v>
      </c>
      <c r="L245" s="47" t="s">
        <v>880</v>
      </c>
    </row>
    <row r="246" spans="11:12" ht="15" customHeight="1" x14ac:dyDescent="0.3">
      <c r="K246" s="28" t="s">
        <v>881</v>
      </c>
      <c r="L246" s="47" t="s">
        <v>254</v>
      </c>
    </row>
    <row r="247" spans="11:12" ht="15" customHeight="1" x14ac:dyDescent="0.3">
      <c r="K247" s="29" t="s">
        <v>161</v>
      </c>
      <c r="L247" s="47" t="s">
        <v>882</v>
      </c>
    </row>
    <row r="248" spans="11:12" ht="15" customHeight="1" x14ac:dyDescent="0.3">
      <c r="K248" s="26" t="s">
        <v>162</v>
      </c>
      <c r="L248" s="47" t="s">
        <v>883</v>
      </c>
    </row>
    <row r="249" spans="11:12" ht="15" customHeight="1" x14ac:dyDescent="0.3">
      <c r="K249" s="26" t="s">
        <v>163</v>
      </c>
      <c r="L249" s="47" t="s">
        <v>884</v>
      </c>
    </row>
    <row r="250" spans="11:12" ht="15" customHeight="1" x14ac:dyDescent="0.3">
      <c r="K250" s="27" t="s">
        <v>885</v>
      </c>
      <c r="L250" s="47" t="s">
        <v>886</v>
      </c>
    </row>
    <row r="251" spans="11:12" ht="15" customHeight="1" x14ac:dyDescent="0.3">
      <c r="K251" s="28" t="s">
        <v>887</v>
      </c>
      <c r="L251" s="47" t="s">
        <v>888</v>
      </c>
    </row>
    <row r="252" spans="11:12" ht="15" customHeight="1" x14ac:dyDescent="0.3">
      <c r="K252" s="29" t="s">
        <v>164</v>
      </c>
      <c r="L252" s="47" t="s">
        <v>889</v>
      </c>
    </row>
    <row r="253" spans="11:12" ht="15" customHeight="1" x14ac:dyDescent="0.3">
      <c r="K253" s="26" t="s">
        <v>165</v>
      </c>
      <c r="L253" s="47" t="s">
        <v>890</v>
      </c>
    </row>
    <row r="254" spans="11:12" ht="15" customHeight="1" x14ac:dyDescent="0.3">
      <c r="K254" s="26" t="s">
        <v>166</v>
      </c>
      <c r="L254" s="47" t="s">
        <v>891</v>
      </c>
    </row>
    <row r="255" spans="11:12" ht="15" customHeight="1" x14ac:dyDescent="0.3">
      <c r="K255" s="27" t="s">
        <v>892</v>
      </c>
      <c r="L255" s="47" t="s">
        <v>893</v>
      </c>
    </row>
    <row r="256" spans="11:12" ht="15" customHeight="1" x14ac:dyDescent="0.3">
      <c r="K256" s="28" t="s">
        <v>894</v>
      </c>
      <c r="L256" s="47" t="s">
        <v>895</v>
      </c>
    </row>
    <row r="257" spans="11:12" ht="15" customHeight="1" x14ac:dyDescent="0.3">
      <c r="K257" s="29" t="s">
        <v>167</v>
      </c>
      <c r="L257" s="47" t="s">
        <v>896</v>
      </c>
    </row>
    <row r="258" spans="11:12" ht="15" customHeight="1" x14ac:dyDescent="0.3">
      <c r="K258" s="26" t="s">
        <v>168</v>
      </c>
      <c r="L258" s="47" t="s">
        <v>897</v>
      </c>
    </row>
    <row r="259" spans="11:12" ht="15" customHeight="1" x14ac:dyDescent="0.3">
      <c r="K259" s="26" t="s">
        <v>169</v>
      </c>
      <c r="L259" s="47" t="s">
        <v>898</v>
      </c>
    </row>
    <row r="260" spans="11:12" ht="15" customHeight="1" x14ac:dyDescent="0.3">
      <c r="K260" s="27" t="s">
        <v>899</v>
      </c>
      <c r="L260" s="47" t="s">
        <v>900</v>
      </c>
    </row>
    <row r="261" spans="11:12" ht="15" customHeight="1" x14ac:dyDescent="0.3">
      <c r="K261" s="28" t="s">
        <v>901</v>
      </c>
      <c r="L261" s="47" t="s">
        <v>902</v>
      </c>
    </row>
    <row r="262" spans="11:12" ht="15" customHeight="1" x14ac:dyDescent="0.3">
      <c r="K262" s="29" t="s">
        <v>170</v>
      </c>
      <c r="L262" s="47" t="s">
        <v>903</v>
      </c>
    </row>
    <row r="263" spans="11:12" ht="15" customHeight="1" x14ac:dyDescent="0.3">
      <c r="K263" s="26" t="s">
        <v>171</v>
      </c>
      <c r="L263" s="47" t="s">
        <v>904</v>
      </c>
    </row>
    <row r="264" spans="11:12" ht="15" customHeight="1" x14ac:dyDescent="0.3">
      <c r="K264" s="26" t="s">
        <v>172</v>
      </c>
      <c r="L264" s="47" t="s">
        <v>905</v>
      </c>
    </row>
    <row r="265" spans="11:12" ht="15" customHeight="1" x14ac:dyDescent="0.3">
      <c r="K265" s="27" t="s">
        <v>906</v>
      </c>
      <c r="L265" s="47" t="s">
        <v>907</v>
      </c>
    </row>
    <row r="266" spans="11:12" ht="15" customHeight="1" x14ac:dyDescent="0.3">
      <c r="K266" s="28" t="s">
        <v>908</v>
      </c>
      <c r="L266" s="47" t="s">
        <v>909</v>
      </c>
    </row>
    <row r="267" spans="11:12" ht="15" customHeight="1" x14ac:dyDescent="0.3">
      <c r="K267" s="29" t="s">
        <v>173</v>
      </c>
      <c r="L267" s="47" t="s">
        <v>910</v>
      </c>
    </row>
    <row r="268" spans="11:12" ht="15" customHeight="1" x14ac:dyDescent="0.3">
      <c r="K268" s="26" t="s">
        <v>174</v>
      </c>
      <c r="L268" s="47" t="s">
        <v>911</v>
      </c>
    </row>
    <row r="269" spans="11:12" ht="15" customHeight="1" x14ac:dyDescent="0.3">
      <c r="K269" s="26" t="s">
        <v>175</v>
      </c>
      <c r="L269" s="47" t="s">
        <v>912</v>
      </c>
    </row>
    <row r="270" spans="11:12" ht="15" customHeight="1" x14ac:dyDescent="0.3">
      <c r="K270" s="27" t="s">
        <v>913</v>
      </c>
      <c r="L270" s="47" t="s">
        <v>914</v>
      </c>
    </row>
    <row r="271" spans="11:12" ht="15" customHeight="1" x14ac:dyDescent="0.3">
      <c r="K271" s="28" t="s">
        <v>915</v>
      </c>
      <c r="L271" s="47" t="s">
        <v>916</v>
      </c>
    </row>
    <row r="272" spans="11:12" ht="15" customHeight="1" x14ac:dyDescent="0.3">
      <c r="K272" s="29" t="s">
        <v>176</v>
      </c>
      <c r="L272" s="47" t="s">
        <v>917</v>
      </c>
    </row>
    <row r="273" spans="11:12" ht="15" customHeight="1" x14ac:dyDescent="0.3">
      <c r="K273" s="26" t="s">
        <v>177</v>
      </c>
      <c r="L273" s="47" t="s">
        <v>918</v>
      </c>
    </row>
    <row r="274" spans="11:12" ht="15" customHeight="1" x14ac:dyDescent="0.3">
      <c r="K274" s="26" t="s">
        <v>178</v>
      </c>
      <c r="L274" s="47" t="s">
        <v>919</v>
      </c>
    </row>
    <row r="275" spans="11:12" ht="15" customHeight="1" x14ac:dyDescent="0.3">
      <c r="K275" s="27" t="s">
        <v>920</v>
      </c>
      <c r="L275" s="47" t="s">
        <v>921</v>
      </c>
    </row>
    <row r="276" spans="11:12" ht="15" customHeight="1" x14ac:dyDescent="0.3">
      <c r="K276" s="28" t="s">
        <v>922</v>
      </c>
      <c r="L276" s="47" t="s">
        <v>923</v>
      </c>
    </row>
    <row r="277" spans="11:12" ht="15" customHeight="1" x14ac:dyDescent="0.3">
      <c r="K277" s="29" t="s">
        <v>179</v>
      </c>
      <c r="L277" s="47" t="s">
        <v>924</v>
      </c>
    </row>
    <row r="278" spans="11:12" ht="15" customHeight="1" x14ac:dyDescent="0.3">
      <c r="K278" s="26" t="s">
        <v>180</v>
      </c>
      <c r="L278" s="47" t="s">
        <v>925</v>
      </c>
    </row>
    <row r="279" spans="11:12" ht="15" customHeight="1" x14ac:dyDescent="0.3">
      <c r="K279" s="26" t="s">
        <v>181</v>
      </c>
      <c r="L279" s="47" t="s">
        <v>926</v>
      </c>
    </row>
    <row r="280" spans="11:12" ht="15" customHeight="1" x14ac:dyDescent="0.3">
      <c r="K280" s="27" t="s">
        <v>927</v>
      </c>
      <c r="L280" s="47" t="s">
        <v>928</v>
      </c>
    </row>
    <row r="281" spans="11:12" ht="15" customHeight="1" x14ac:dyDescent="0.3">
      <c r="K281" s="28" t="s">
        <v>929</v>
      </c>
      <c r="L281" s="47" t="s">
        <v>930</v>
      </c>
    </row>
    <row r="282" spans="11:12" ht="15" customHeight="1" x14ac:dyDescent="0.3">
      <c r="K282" s="29" t="s">
        <v>182</v>
      </c>
      <c r="L282" s="47" t="s">
        <v>931</v>
      </c>
    </row>
    <row r="283" spans="11:12" ht="15" customHeight="1" x14ac:dyDescent="0.3">
      <c r="K283" s="26" t="s">
        <v>183</v>
      </c>
      <c r="L283" s="47" t="s">
        <v>932</v>
      </c>
    </row>
    <row r="284" spans="11:12" ht="15" customHeight="1" x14ac:dyDescent="0.3">
      <c r="K284" s="26" t="s">
        <v>184</v>
      </c>
      <c r="L284" s="47" t="s">
        <v>933</v>
      </c>
    </row>
    <row r="285" spans="11:12" ht="15" customHeight="1" x14ac:dyDescent="0.3">
      <c r="K285" s="27" t="s">
        <v>934</v>
      </c>
      <c r="L285" s="47" t="s">
        <v>935</v>
      </c>
    </row>
    <row r="286" spans="11:12" ht="15" customHeight="1" x14ac:dyDescent="0.3">
      <c r="K286" s="28" t="s">
        <v>936</v>
      </c>
      <c r="L286" s="47" t="s">
        <v>937</v>
      </c>
    </row>
    <row r="287" spans="11:12" ht="15" customHeight="1" x14ac:dyDescent="0.3">
      <c r="K287" s="29" t="s">
        <v>185</v>
      </c>
      <c r="L287" s="47" t="s">
        <v>938</v>
      </c>
    </row>
    <row r="288" spans="11:12" ht="15" customHeight="1" x14ac:dyDescent="0.3">
      <c r="K288" s="30" t="s">
        <v>186</v>
      </c>
      <c r="L288" s="47" t="s">
        <v>939</v>
      </c>
    </row>
    <row r="289" spans="11:12" ht="15" customHeight="1" x14ac:dyDescent="0.3">
      <c r="K289" s="26" t="s">
        <v>187</v>
      </c>
      <c r="L289" s="47" t="s">
        <v>940</v>
      </c>
    </row>
    <row r="290" spans="11:12" ht="15" customHeight="1" x14ac:dyDescent="0.3">
      <c r="K290" s="27" t="s">
        <v>941</v>
      </c>
      <c r="L290" s="47" t="s">
        <v>942</v>
      </c>
    </row>
    <row r="291" spans="11:12" ht="15" customHeight="1" x14ac:dyDescent="0.3">
      <c r="K291" s="28" t="s">
        <v>943</v>
      </c>
      <c r="L291" s="47" t="s">
        <v>944</v>
      </c>
    </row>
    <row r="292" spans="11:12" ht="15" customHeight="1" x14ac:dyDescent="0.3">
      <c r="K292" s="29" t="s">
        <v>188</v>
      </c>
      <c r="L292" s="47" t="s">
        <v>945</v>
      </c>
    </row>
    <row r="293" spans="11:12" ht="15" customHeight="1" x14ac:dyDescent="0.3">
      <c r="K293" s="31" t="s">
        <v>189</v>
      </c>
      <c r="L293" s="47" t="s">
        <v>946</v>
      </c>
    </row>
    <row r="294" spans="11:12" ht="15" customHeight="1" x14ac:dyDescent="0.3">
      <c r="K294" s="32" t="s">
        <v>190</v>
      </c>
      <c r="L294" s="47" t="s">
        <v>947</v>
      </c>
    </row>
    <row r="295" spans="11:12" ht="15" customHeight="1" x14ac:dyDescent="0.3">
      <c r="K295" s="33" t="s">
        <v>191</v>
      </c>
      <c r="L295" s="47" t="s">
        <v>948</v>
      </c>
    </row>
    <row r="296" spans="11:12" ht="15" customHeight="1" x14ac:dyDescent="0.3">
      <c r="K296" s="34" t="s">
        <v>192</v>
      </c>
      <c r="L296" s="47" t="s">
        <v>949</v>
      </c>
    </row>
    <row r="297" spans="11:12" ht="15" customHeight="1" x14ac:dyDescent="0.3">
      <c r="K297" s="32" t="s">
        <v>193</v>
      </c>
      <c r="L297" s="47" t="s">
        <v>950</v>
      </c>
    </row>
    <row r="298" spans="11:12" ht="15" customHeight="1" x14ac:dyDescent="0.3">
      <c r="K298" s="32" t="s">
        <v>194</v>
      </c>
      <c r="L298" s="47" t="s">
        <v>951</v>
      </c>
    </row>
    <row r="299" spans="11:12" ht="15" customHeight="1" x14ac:dyDescent="0.3">
      <c r="K299" s="35" t="s">
        <v>952</v>
      </c>
      <c r="L299" s="47" t="s">
        <v>953</v>
      </c>
    </row>
    <row r="300" spans="11:12" ht="15" customHeight="1" x14ac:dyDescent="0.3">
      <c r="K300" s="36" t="s">
        <v>195</v>
      </c>
      <c r="L300" s="47" t="s">
        <v>954</v>
      </c>
    </row>
    <row r="301" spans="11:12" ht="15" customHeight="1" x14ac:dyDescent="0.3">
      <c r="K301" s="37" t="s">
        <v>196</v>
      </c>
      <c r="L301" s="47" t="s">
        <v>955</v>
      </c>
    </row>
    <row r="302" spans="11:12" ht="15" customHeight="1" x14ac:dyDescent="0.3">
      <c r="K302" s="51" t="s">
        <v>197</v>
      </c>
      <c r="L302" s="47" t="s">
        <v>956</v>
      </c>
    </row>
    <row r="303" spans="11:12" ht="15" customHeight="1" x14ac:dyDescent="0.3">
      <c r="K303" s="51" t="s">
        <v>957</v>
      </c>
      <c r="L303" s="47" t="s">
        <v>958</v>
      </c>
    </row>
    <row r="304" spans="11:12" ht="15" customHeight="1" x14ac:dyDescent="0.3">
      <c r="K304" s="51" t="s">
        <v>959</v>
      </c>
      <c r="L304" s="47" t="s">
        <v>960</v>
      </c>
    </row>
    <row r="305" spans="11:12" ht="15" customHeight="1" x14ac:dyDescent="0.3">
      <c r="K305" s="51" t="s">
        <v>961</v>
      </c>
      <c r="L305" s="47" t="s">
        <v>962</v>
      </c>
    </row>
    <row r="306" spans="11:12" ht="15" customHeight="1" x14ac:dyDescent="0.3">
      <c r="K306" s="51" t="s">
        <v>963</v>
      </c>
      <c r="L306" s="47" t="s">
        <v>964</v>
      </c>
    </row>
    <row r="307" spans="11:12" ht="15" customHeight="1" x14ac:dyDescent="0.3">
      <c r="K307" s="51" t="s">
        <v>965</v>
      </c>
      <c r="L307" s="47" t="s">
        <v>966</v>
      </c>
    </row>
    <row r="308" spans="11:12" ht="15" customHeight="1" x14ac:dyDescent="0.3">
      <c r="K308" s="51" t="s">
        <v>967</v>
      </c>
      <c r="L308" s="47" t="s">
        <v>968</v>
      </c>
    </row>
    <row r="309" spans="11:12" ht="15" customHeight="1" x14ac:dyDescent="0.3">
      <c r="K309" s="51" t="s">
        <v>969</v>
      </c>
      <c r="L309" s="47" t="s">
        <v>970</v>
      </c>
    </row>
    <row r="310" spans="11:12" ht="15" customHeight="1" x14ac:dyDescent="0.3">
      <c r="K310" s="51" t="s">
        <v>971</v>
      </c>
      <c r="L310" s="47" t="s">
        <v>972</v>
      </c>
    </row>
    <row r="311" spans="11:12" ht="15" customHeight="1" x14ac:dyDescent="0.3">
      <c r="K311" s="51" t="s">
        <v>973</v>
      </c>
      <c r="L311" s="47" t="s">
        <v>974</v>
      </c>
    </row>
    <row r="312" spans="11:12" ht="15" customHeight="1" x14ac:dyDescent="0.3">
      <c r="K312" s="51" t="s">
        <v>975</v>
      </c>
      <c r="L312" s="47" t="s">
        <v>976</v>
      </c>
    </row>
    <row r="313" spans="11:12" ht="15" customHeight="1" x14ac:dyDescent="0.3">
      <c r="K313" s="51" t="s">
        <v>977</v>
      </c>
      <c r="L313" s="47" t="s">
        <v>978</v>
      </c>
    </row>
    <row r="314" spans="11:12" ht="15" customHeight="1" x14ac:dyDescent="0.3">
      <c r="K314" s="51" t="s">
        <v>979</v>
      </c>
      <c r="L314" s="47" t="s">
        <v>980</v>
      </c>
    </row>
    <row r="315" spans="11:12" ht="15" customHeight="1" x14ac:dyDescent="0.3">
      <c r="K315" s="51" t="s">
        <v>981</v>
      </c>
      <c r="L315" s="47" t="s">
        <v>982</v>
      </c>
    </row>
    <row r="316" spans="11:12" ht="15" customHeight="1" x14ac:dyDescent="0.3">
      <c r="K316" s="51" t="s">
        <v>983</v>
      </c>
      <c r="L316" s="47" t="s">
        <v>984</v>
      </c>
    </row>
    <row r="317" spans="11:12" ht="15" customHeight="1" x14ac:dyDescent="0.3">
      <c r="K317" s="51" t="s">
        <v>985</v>
      </c>
      <c r="L317" s="47" t="s">
        <v>986</v>
      </c>
    </row>
    <row r="318" spans="11:12" ht="15" customHeight="1" x14ac:dyDescent="0.3">
      <c r="K318" s="51" t="s">
        <v>987</v>
      </c>
      <c r="L318" s="47" t="s">
        <v>988</v>
      </c>
    </row>
    <row r="319" spans="11:12" ht="15" customHeight="1" x14ac:dyDescent="0.3">
      <c r="K319" s="51" t="s">
        <v>989</v>
      </c>
      <c r="L319" s="47" t="s">
        <v>990</v>
      </c>
    </row>
    <row r="320" spans="11:12" ht="15" customHeight="1" x14ac:dyDescent="0.3">
      <c r="K320" s="51" t="s">
        <v>991</v>
      </c>
      <c r="L320" s="47" t="s">
        <v>992</v>
      </c>
    </row>
    <row r="321" spans="11:12" ht="15" customHeight="1" x14ac:dyDescent="0.3">
      <c r="K321" s="51" t="s">
        <v>198</v>
      </c>
      <c r="L321" s="47" t="s">
        <v>993</v>
      </c>
    </row>
    <row r="322" spans="11:12" ht="15" customHeight="1" x14ac:dyDescent="0.3">
      <c r="K322" s="51" t="s">
        <v>994</v>
      </c>
      <c r="L322" s="47" t="s">
        <v>995</v>
      </c>
    </row>
    <row r="323" spans="11:12" ht="15" customHeight="1" x14ac:dyDescent="0.3">
      <c r="K323" s="51" t="s">
        <v>996</v>
      </c>
      <c r="L323" s="47" t="s">
        <v>997</v>
      </c>
    </row>
    <row r="324" spans="11:12" ht="15" customHeight="1" x14ac:dyDescent="0.3">
      <c r="K324" s="51" t="s">
        <v>998</v>
      </c>
      <c r="L324" s="47" t="s">
        <v>999</v>
      </c>
    </row>
    <row r="325" spans="11:12" ht="15" customHeight="1" x14ac:dyDescent="0.3">
      <c r="K325" s="51" t="s">
        <v>1000</v>
      </c>
      <c r="L325" s="47" t="s">
        <v>1001</v>
      </c>
    </row>
    <row r="326" spans="11:12" ht="15" customHeight="1" x14ac:dyDescent="0.3">
      <c r="K326" s="51" t="s">
        <v>1002</v>
      </c>
      <c r="L326" s="47" t="s">
        <v>1003</v>
      </c>
    </row>
    <row r="327" spans="11:12" ht="15" customHeight="1" x14ac:dyDescent="0.3">
      <c r="K327" s="51" t="s">
        <v>1004</v>
      </c>
      <c r="L327" s="47" t="s">
        <v>1005</v>
      </c>
    </row>
    <row r="328" spans="11:12" ht="15" customHeight="1" x14ac:dyDescent="0.3">
      <c r="K328" s="51" t="s">
        <v>1006</v>
      </c>
      <c r="L328" s="47" t="s">
        <v>1007</v>
      </c>
    </row>
    <row r="329" spans="11:12" ht="15" customHeight="1" x14ac:dyDescent="0.3">
      <c r="K329" s="51" t="s">
        <v>206</v>
      </c>
      <c r="L329" s="47" t="s">
        <v>1008</v>
      </c>
    </row>
    <row r="330" spans="11:12" ht="15" customHeight="1" x14ac:dyDescent="0.3">
      <c r="K330" s="51" t="s">
        <v>207</v>
      </c>
      <c r="L330" s="47" t="s">
        <v>1009</v>
      </c>
    </row>
    <row r="331" spans="11:12" ht="15" customHeight="1" x14ac:dyDescent="0.3">
      <c r="K331" s="51" t="s">
        <v>1010</v>
      </c>
      <c r="L331" s="47" t="s">
        <v>1011</v>
      </c>
    </row>
    <row r="332" spans="11:12" ht="15" customHeight="1" x14ac:dyDescent="0.3">
      <c r="K332" s="51" t="s">
        <v>1012</v>
      </c>
      <c r="L332" s="47" t="s">
        <v>1013</v>
      </c>
    </row>
    <row r="333" spans="11:12" ht="15" customHeight="1" x14ac:dyDescent="0.3">
      <c r="K333" s="51" t="s">
        <v>1014</v>
      </c>
      <c r="L333" s="47" t="s">
        <v>1015</v>
      </c>
    </row>
    <row r="334" spans="11:12" ht="15" customHeight="1" x14ac:dyDescent="0.3">
      <c r="K334" s="51" t="s">
        <v>1016</v>
      </c>
      <c r="L334" s="47" t="s">
        <v>1017</v>
      </c>
    </row>
    <row r="335" spans="11:12" ht="15" customHeight="1" x14ac:dyDescent="0.3">
      <c r="K335" s="51" t="s">
        <v>1018</v>
      </c>
      <c r="L335" s="47" t="s">
        <v>1019</v>
      </c>
    </row>
    <row r="336" spans="11:12" ht="15" customHeight="1" x14ac:dyDescent="0.3">
      <c r="K336" s="51" t="s">
        <v>1020</v>
      </c>
      <c r="L336" s="47" t="s">
        <v>1021</v>
      </c>
    </row>
    <row r="337" spans="11:12" ht="15" customHeight="1" x14ac:dyDescent="0.3">
      <c r="K337" s="51" t="s">
        <v>1022</v>
      </c>
      <c r="L337" s="47" t="s">
        <v>1023</v>
      </c>
    </row>
    <row r="338" spans="11:12" ht="15" customHeight="1" x14ac:dyDescent="0.3">
      <c r="K338" s="51" t="s">
        <v>1024</v>
      </c>
      <c r="L338" s="47" t="s">
        <v>1025</v>
      </c>
    </row>
    <row r="339" spans="11:12" ht="15" customHeight="1" x14ac:dyDescent="0.3">
      <c r="K339" s="51" t="s">
        <v>1026</v>
      </c>
      <c r="L339" s="47" t="s">
        <v>1027</v>
      </c>
    </row>
    <row r="340" spans="11:12" ht="15" customHeight="1" x14ac:dyDescent="0.3">
      <c r="K340" s="51" t="s">
        <v>1028</v>
      </c>
      <c r="L340" s="47" t="s">
        <v>1029</v>
      </c>
    </row>
    <row r="341" spans="11:12" ht="15" customHeight="1" x14ac:dyDescent="0.3">
      <c r="K341" s="51" t="s">
        <v>1030</v>
      </c>
      <c r="L341" s="47" t="s">
        <v>1031</v>
      </c>
    </row>
    <row r="342" spans="11:12" ht="15" customHeight="1" x14ac:dyDescent="0.3">
      <c r="K342" s="51" t="s">
        <v>1032</v>
      </c>
      <c r="L342" s="47" t="s">
        <v>1033</v>
      </c>
    </row>
    <row r="343" spans="11:12" ht="15" customHeight="1" x14ac:dyDescent="0.3">
      <c r="K343" s="51" t="s">
        <v>1034</v>
      </c>
      <c r="L343" s="47" t="s">
        <v>1035</v>
      </c>
    </row>
    <row r="344" spans="11:12" ht="15" customHeight="1" x14ac:dyDescent="0.3">
      <c r="K344" s="51" t="s">
        <v>1036</v>
      </c>
      <c r="L344" s="47" t="s">
        <v>1037</v>
      </c>
    </row>
    <row r="345" spans="11:12" ht="15" customHeight="1" x14ac:dyDescent="0.3">
      <c r="K345" s="51" t="s">
        <v>1038</v>
      </c>
      <c r="L345" s="47" t="s">
        <v>1039</v>
      </c>
    </row>
    <row r="346" spans="11:12" ht="15" customHeight="1" x14ac:dyDescent="0.3">
      <c r="K346" s="51" t="s">
        <v>1040</v>
      </c>
      <c r="L346" s="47" t="s">
        <v>1041</v>
      </c>
    </row>
    <row r="347" spans="11:12" ht="15" customHeight="1" x14ac:dyDescent="0.3">
      <c r="K347" s="51" t="s">
        <v>1042</v>
      </c>
      <c r="L347" s="47" t="s">
        <v>1043</v>
      </c>
    </row>
    <row r="348" spans="11:12" ht="15" customHeight="1" x14ac:dyDescent="0.3">
      <c r="K348" s="51" t="s">
        <v>1044</v>
      </c>
      <c r="L348" s="47" t="s">
        <v>1045</v>
      </c>
    </row>
    <row r="349" spans="11:12" ht="15" customHeight="1" x14ac:dyDescent="0.3">
      <c r="K349" s="51" t="s">
        <v>1046</v>
      </c>
      <c r="L349" s="47" t="s">
        <v>1047</v>
      </c>
    </row>
    <row r="350" spans="11:12" ht="15" customHeight="1" x14ac:dyDescent="0.3">
      <c r="K350" s="51" t="s">
        <v>1048</v>
      </c>
      <c r="L350" s="47" t="s">
        <v>1049</v>
      </c>
    </row>
    <row r="351" spans="11:12" ht="15" customHeight="1" x14ac:dyDescent="0.3">
      <c r="K351" s="51" t="s">
        <v>1050</v>
      </c>
      <c r="L351" s="47" t="s">
        <v>1051</v>
      </c>
    </row>
    <row r="352" spans="11:12" ht="15" customHeight="1" x14ac:dyDescent="0.3">
      <c r="K352" s="51" t="s">
        <v>1052</v>
      </c>
      <c r="L352" s="47" t="s">
        <v>1053</v>
      </c>
    </row>
    <row r="353" spans="11:12" ht="15" customHeight="1" x14ac:dyDescent="0.3">
      <c r="K353" s="51" t="s">
        <v>1054</v>
      </c>
      <c r="L353" s="47" t="s">
        <v>1055</v>
      </c>
    </row>
    <row r="354" spans="11:12" ht="15" customHeight="1" x14ac:dyDescent="0.3">
      <c r="K354" s="51" t="s">
        <v>1056</v>
      </c>
      <c r="L354" s="47" t="s">
        <v>1057</v>
      </c>
    </row>
    <row r="355" spans="11:12" ht="15" customHeight="1" x14ac:dyDescent="0.3">
      <c r="K355" s="51" t="s">
        <v>1058</v>
      </c>
      <c r="L355" s="47" t="s">
        <v>1059</v>
      </c>
    </row>
    <row r="356" spans="11:12" ht="15" customHeight="1" x14ac:dyDescent="0.3">
      <c r="K356" s="51" t="s">
        <v>1060</v>
      </c>
      <c r="L356" s="47" t="s">
        <v>1061</v>
      </c>
    </row>
    <row r="357" spans="11:12" ht="15" customHeight="1" x14ac:dyDescent="0.3">
      <c r="K357" s="51" t="s">
        <v>1062</v>
      </c>
      <c r="L357" s="47" t="s">
        <v>1063</v>
      </c>
    </row>
    <row r="358" spans="11:12" ht="15" customHeight="1" x14ac:dyDescent="0.3">
      <c r="K358" s="51" t="s">
        <v>1064</v>
      </c>
      <c r="L358" s="47" t="s">
        <v>1065</v>
      </c>
    </row>
    <row r="359" spans="11:12" ht="15" customHeight="1" x14ac:dyDescent="0.3">
      <c r="K359" s="51" t="s">
        <v>208</v>
      </c>
      <c r="L359" s="47" t="s">
        <v>311</v>
      </c>
    </row>
    <row r="360" spans="11:12" ht="15" customHeight="1" x14ac:dyDescent="0.3">
      <c r="K360" s="51" t="s">
        <v>1066</v>
      </c>
      <c r="L360" s="47" t="s">
        <v>1067</v>
      </c>
    </row>
    <row r="361" spans="11:12" ht="15" customHeight="1" x14ac:dyDescent="0.3">
      <c r="K361" s="51" t="s">
        <v>1068</v>
      </c>
      <c r="L361" s="47" t="s">
        <v>1069</v>
      </c>
    </row>
    <row r="362" spans="11:12" ht="15" customHeight="1" x14ac:dyDescent="0.3">
      <c r="K362" s="51" t="s">
        <v>1070</v>
      </c>
      <c r="L362" s="47" t="s">
        <v>1071</v>
      </c>
    </row>
    <row r="363" spans="11:12" ht="15" customHeight="1" x14ac:dyDescent="0.3">
      <c r="K363" s="51" t="s">
        <v>1072</v>
      </c>
      <c r="L363" s="47" t="s">
        <v>1073</v>
      </c>
    </row>
    <row r="364" spans="11:12" ht="15" customHeight="1" x14ac:dyDescent="0.3">
      <c r="K364" s="51" t="s">
        <v>1074</v>
      </c>
      <c r="L364" s="47" t="s">
        <v>1075</v>
      </c>
    </row>
    <row r="365" spans="11:12" ht="15" customHeight="1" x14ac:dyDescent="0.3">
      <c r="K365" s="51" t="s">
        <v>1076</v>
      </c>
      <c r="L365" s="47" t="s">
        <v>1077</v>
      </c>
    </row>
    <row r="366" spans="11:12" ht="15" customHeight="1" x14ac:dyDescent="0.3">
      <c r="K366" s="51" t="s">
        <v>1078</v>
      </c>
      <c r="L366" s="47" t="s">
        <v>1079</v>
      </c>
    </row>
    <row r="367" spans="11:12" ht="15" customHeight="1" x14ac:dyDescent="0.3">
      <c r="K367" s="51" t="s">
        <v>1080</v>
      </c>
      <c r="L367" s="47" t="s">
        <v>1081</v>
      </c>
    </row>
    <row r="368" spans="11:12" ht="15" customHeight="1" x14ac:dyDescent="0.3">
      <c r="K368" s="51" t="s">
        <v>1082</v>
      </c>
      <c r="L368" s="47" t="s">
        <v>290</v>
      </c>
    </row>
    <row r="369" spans="11:12" ht="15" customHeight="1" x14ac:dyDescent="0.3">
      <c r="K369" s="51" t="s">
        <v>1083</v>
      </c>
      <c r="L369" s="47" t="s">
        <v>1084</v>
      </c>
    </row>
    <row r="370" spans="11:12" ht="15" customHeight="1" x14ac:dyDescent="0.3">
      <c r="K370" s="51" t="s">
        <v>1085</v>
      </c>
      <c r="L370" s="47" t="s">
        <v>1086</v>
      </c>
    </row>
    <row r="371" spans="11:12" ht="15" customHeight="1" x14ac:dyDescent="0.3">
      <c r="K371" s="51" t="s">
        <v>1087</v>
      </c>
      <c r="L371" s="47" t="s">
        <v>1088</v>
      </c>
    </row>
    <row r="372" spans="11:12" ht="15" customHeight="1" x14ac:dyDescent="0.3">
      <c r="K372" s="51" t="s">
        <v>1089</v>
      </c>
      <c r="L372" s="47" t="s">
        <v>1090</v>
      </c>
    </row>
    <row r="373" spans="11:12" ht="15" customHeight="1" x14ac:dyDescent="0.3">
      <c r="K373" s="51" t="s">
        <v>1091</v>
      </c>
      <c r="L373" s="47" t="s">
        <v>1092</v>
      </c>
    </row>
    <row r="374" spans="11:12" ht="15" customHeight="1" x14ac:dyDescent="0.3">
      <c r="K374" s="51" t="s">
        <v>209</v>
      </c>
      <c r="L374" s="47" t="s">
        <v>1093</v>
      </c>
    </row>
    <row r="375" spans="11:12" ht="15" customHeight="1" x14ac:dyDescent="0.3">
      <c r="K375" s="51" t="s">
        <v>1094</v>
      </c>
      <c r="L375" s="47" t="s">
        <v>1095</v>
      </c>
    </row>
    <row r="376" spans="11:12" ht="15" customHeight="1" x14ac:dyDescent="0.3">
      <c r="K376" s="51" t="s">
        <v>1096</v>
      </c>
      <c r="L376" s="47" t="s">
        <v>1097</v>
      </c>
    </row>
    <row r="377" spans="11:12" ht="15" customHeight="1" x14ac:dyDescent="0.3">
      <c r="K377" s="51" t="s">
        <v>1098</v>
      </c>
      <c r="L377" s="47" t="s">
        <v>1099</v>
      </c>
    </row>
    <row r="378" spans="11:12" ht="15" customHeight="1" x14ac:dyDescent="0.3">
      <c r="K378" s="51" t="s">
        <v>1100</v>
      </c>
      <c r="L378" s="47" t="s">
        <v>1101</v>
      </c>
    </row>
    <row r="379" spans="11:12" ht="15" customHeight="1" x14ac:dyDescent="0.3">
      <c r="K379" s="51" t="s">
        <v>1102</v>
      </c>
      <c r="L379" s="47" t="s">
        <v>1103</v>
      </c>
    </row>
    <row r="380" spans="11:12" ht="15" customHeight="1" x14ac:dyDescent="0.3">
      <c r="K380" s="51" t="s">
        <v>1104</v>
      </c>
      <c r="L380" s="47" t="s">
        <v>1105</v>
      </c>
    </row>
    <row r="381" spans="11:12" ht="15" customHeight="1" x14ac:dyDescent="0.3">
      <c r="K381" s="51" t="s">
        <v>1106</v>
      </c>
      <c r="L381" s="47" t="s">
        <v>1107</v>
      </c>
    </row>
    <row r="382" spans="11:12" ht="15" customHeight="1" x14ac:dyDescent="0.3">
      <c r="K382" s="51" t="s">
        <v>1108</v>
      </c>
      <c r="L382" s="50" t="s">
        <v>1109</v>
      </c>
    </row>
    <row r="383" spans="11:12" ht="15" customHeight="1" x14ac:dyDescent="0.3">
      <c r="K383" s="51" t="s">
        <v>1110</v>
      </c>
      <c r="L383" s="50" t="s">
        <v>1111</v>
      </c>
    </row>
    <row r="384" spans="11:12" ht="15" customHeight="1" x14ac:dyDescent="0.3">
      <c r="K384" s="51" t="s">
        <v>1112</v>
      </c>
      <c r="L384" s="50" t="s">
        <v>1113</v>
      </c>
    </row>
    <row r="385" spans="11:12" ht="15" customHeight="1" x14ac:dyDescent="0.3">
      <c r="K385" s="51" t="s">
        <v>1114</v>
      </c>
      <c r="L385" s="50" t="s">
        <v>232</v>
      </c>
    </row>
    <row r="386" spans="11:12" ht="15" customHeight="1" x14ac:dyDescent="0.3">
      <c r="K386" s="51" t="s">
        <v>1115</v>
      </c>
      <c r="L386" s="50" t="s">
        <v>1116</v>
      </c>
    </row>
    <row r="387" spans="11:12" ht="15" customHeight="1" x14ac:dyDescent="0.3">
      <c r="K387" s="51" t="s">
        <v>1117</v>
      </c>
      <c r="L387" s="47" t="s">
        <v>1118</v>
      </c>
    </row>
    <row r="388" spans="11:12" ht="15" customHeight="1" x14ac:dyDescent="0.3">
      <c r="K388" s="51" t="s">
        <v>1119</v>
      </c>
      <c r="L388" s="47" t="s">
        <v>1120</v>
      </c>
    </row>
    <row r="389" spans="11:12" ht="15" customHeight="1" x14ac:dyDescent="0.3">
      <c r="K389" s="51" t="s">
        <v>1121</v>
      </c>
      <c r="L389" s="47" t="s">
        <v>1122</v>
      </c>
    </row>
    <row r="390" spans="11:12" ht="15" customHeight="1" x14ac:dyDescent="0.3">
      <c r="K390" s="51" t="s">
        <v>1123</v>
      </c>
      <c r="L390" s="47" t="s">
        <v>1124</v>
      </c>
    </row>
    <row r="391" spans="11:12" ht="15" customHeight="1" x14ac:dyDescent="0.3">
      <c r="K391" s="51" t="s">
        <v>1125</v>
      </c>
      <c r="L391" s="47" t="s">
        <v>1126</v>
      </c>
    </row>
    <row r="392" spans="11:12" ht="15" customHeight="1" x14ac:dyDescent="0.3">
      <c r="K392" s="51" t="s">
        <v>1127</v>
      </c>
      <c r="L392" s="47" t="s">
        <v>1128</v>
      </c>
    </row>
    <row r="393" spans="11:12" ht="15" customHeight="1" x14ac:dyDescent="0.3">
      <c r="K393" s="51" t="s">
        <v>1129</v>
      </c>
      <c r="L393" s="47" t="s">
        <v>1130</v>
      </c>
    </row>
    <row r="394" spans="11:12" ht="15" customHeight="1" x14ac:dyDescent="0.3">
      <c r="K394" s="51" t="s">
        <v>1131</v>
      </c>
      <c r="L394" s="47" t="s">
        <v>1132</v>
      </c>
    </row>
    <row r="395" spans="11:12" ht="15" customHeight="1" x14ac:dyDescent="0.3">
      <c r="K395" s="51" t="s">
        <v>1133</v>
      </c>
      <c r="L395" s="47" t="s">
        <v>1134</v>
      </c>
    </row>
    <row r="396" spans="11:12" ht="15" customHeight="1" x14ac:dyDescent="0.3">
      <c r="K396" s="51" t="s">
        <v>1135</v>
      </c>
      <c r="L396" s="47" t="s">
        <v>1136</v>
      </c>
    </row>
    <row r="397" spans="11:12" ht="15" customHeight="1" x14ac:dyDescent="0.3">
      <c r="K397" s="51" t="s">
        <v>1137</v>
      </c>
      <c r="L397" s="47" t="s">
        <v>1138</v>
      </c>
    </row>
    <row r="398" spans="11:12" ht="15" customHeight="1" x14ac:dyDescent="0.3">
      <c r="K398" s="51" t="s">
        <v>1139</v>
      </c>
      <c r="L398" s="47" t="s">
        <v>1140</v>
      </c>
    </row>
    <row r="399" spans="11:12" ht="15" customHeight="1" x14ac:dyDescent="0.3">
      <c r="K399" s="51" t="s">
        <v>1141</v>
      </c>
      <c r="L399" s="47" t="s">
        <v>1142</v>
      </c>
    </row>
    <row r="400" spans="11:12" ht="15" customHeight="1" x14ac:dyDescent="0.3">
      <c r="K400" s="51" t="s">
        <v>1143</v>
      </c>
      <c r="L400" s="47" t="s">
        <v>1144</v>
      </c>
    </row>
    <row r="401" spans="11:12" ht="15" customHeight="1" x14ac:dyDescent="0.3">
      <c r="K401" s="51" t="s">
        <v>1145</v>
      </c>
      <c r="L401" s="47" t="s">
        <v>1146</v>
      </c>
    </row>
    <row r="402" spans="11:12" ht="15" customHeight="1" x14ac:dyDescent="0.3">
      <c r="K402" s="51" t="s">
        <v>1147</v>
      </c>
      <c r="L402" s="47" t="s">
        <v>1148</v>
      </c>
    </row>
    <row r="403" spans="11:12" ht="15" customHeight="1" x14ac:dyDescent="0.3">
      <c r="K403" s="51" t="s">
        <v>1149</v>
      </c>
      <c r="L403" s="47" t="s">
        <v>1150</v>
      </c>
    </row>
    <row r="404" spans="11:12" ht="15" customHeight="1" x14ac:dyDescent="0.3">
      <c r="K404" s="51" t="s">
        <v>211</v>
      </c>
      <c r="L404" s="47" t="s">
        <v>1151</v>
      </c>
    </row>
    <row r="405" spans="11:12" ht="15" customHeight="1" x14ac:dyDescent="0.3">
      <c r="K405" s="51" t="s">
        <v>212</v>
      </c>
      <c r="L405" s="47" t="s">
        <v>1152</v>
      </c>
    </row>
    <row r="406" spans="11:12" ht="15" customHeight="1" x14ac:dyDescent="0.3">
      <c r="K406" s="51" t="s">
        <v>213</v>
      </c>
      <c r="L406" s="47" t="s">
        <v>1153</v>
      </c>
    </row>
    <row r="407" spans="11:12" ht="15" customHeight="1" x14ac:dyDescent="0.3">
      <c r="K407" s="51" t="s">
        <v>214</v>
      </c>
      <c r="L407" s="47" t="s">
        <v>1154</v>
      </c>
    </row>
    <row r="408" spans="11:12" ht="15" customHeight="1" x14ac:dyDescent="0.3">
      <c r="K408" s="38" t="s">
        <v>215</v>
      </c>
      <c r="L408" s="50" t="s">
        <v>1155</v>
      </c>
    </row>
    <row r="409" spans="11:12" ht="15" customHeight="1" x14ac:dyDescent="0.3">
      <c r="K409" s="39" t="s">
        <v>216</v>
      </c>
      <c r="L409" s="50" t="s">
        <v>1156</v>
      </c>
    </row>
    <row r="410" spans="11:12" ht="15" customHeight="1" x14ac:dyDescent="0.3">
      <c r="K410" s="40" t="s">
        <v>217</v>
      </c>
      <c r="L410" s="50" t="s">
        <v>1157</v>
      </c>
    </row>
    <row r="411" spans="11:12" ht="15" customHeight="1" x14ac:dyDescent="0.3">
      <c r="K411" s="41" t="s">
        <v>218</v>
      </c>
      <c r="L411" s="50" t="s">
        <v>1158</v>
      </c>
    </row>
    <row r="412" spans="11:12" ht="15" customHeight="1" x14ac:dyDescent="0.3">
      <c r="K412" s="38" t="s">
        <v>219</v>
      </c>
      <c r="L412" s="50" t="s">
        <v>542</v>
      </c>
    </row>
    <row r="413" spans="11:12" ht="15" customHeight="1" x14ac:dyDescent="0.3">
      <c r="K413" s="39" t="s">
        <v>220</v>
      </c>
      <c r="L413" s="47" t="s">
        <v>1159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9F32-2975-44D3-B8FB-F1F6ECA89C0C}">
  <sheetPr codeName="Sheet2"/>
  <dimension ref="A1:C5"/>
  <sheetViews>
    <sheetView workbookViewId="0"/>
  </sheetViews>
  <sheetFormatPr defaultRowHeight="12.5" x14ac:dyDescent="0.25"/>
  <cols>
    <col min="1" max="2" width="24.7265625" customWidth="1"/>
    <col min="3" max="3" width="80" customWidth="1"/>
  </cols>
  <sheetData>
    <row r="1" spans="1:3" x14ac:dyDescent="0.25">
      <c r="A1" s="109" t="s">
        <v>1160</v>
      </c>
      <c r="B1" s="109" t="s">
        <v>1161</v>
      </c>
      <c r="C1" s="109" t="s">
        <v>1162</v>
      </c>
    </row>
    <row r="2" spans="1:3" ht="37.5" x14ac:dyDescent="0.25">
      <c r="A2" s="109">
        <v>5</v>
      </c>
      <c r="B2" s="109">
        <v>4382389941</v>
      </c>
      <c r="C2" s="110" t="s">
        <v>1163</v>
      </c>
    </row>
    <row r="3" spans="1:3" ht="37.5" x14ac:dyDescent="0.25">
      <c r="A3" s="109">
        <v>23</v>
      </c>
      <c r="B3" s="109">
        <v>4383575080</v>
      </c>
      <c r="C3" s="110" t="s">
        <v>1164</v>
      </c>
    </row>
    <row r="4" spans="1:3" ht="37.5" x14ac:dyDescent="0.25">
      <c r="A4" s="109">
        <v>34</v>
      </c>
      <c r="B4" s="109">
        <v>4148131860</v>
      </c>
      <c r="C4" s="110" t="s">
        <v>1165</v>
      </c>
    </row>
    <row r="5" spans="1:3" ht="37.5" x14ac:dyDescent="0.25">
      <c r="A5" s="109">
        <v>40</v>
      </c>
      <c r="B5" s="109">
        <v>4382148243</v>
      </c>
      <c r="C5" s="110" t="s">
        <v>1166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3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Follow up</vt:lpstr>
      <vt:lpstr>Supplementary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