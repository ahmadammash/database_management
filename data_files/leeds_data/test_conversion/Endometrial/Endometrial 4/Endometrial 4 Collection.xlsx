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hs-my.sharepoint.com/personal/clare_freer2_nhs_net/Documents/TrisStar metadata/Templates/New cohort/"/>
    </mc:Choice>
  </mc:AlternateContent>
  <xr:revisionPtr revIDLastSave="2088" documentId="11_F9F6FD2F9EAEFA52C416220E3D9E4704522FE6A2" xr6:coauthVersionLast="47" xr6:coauthVersionMax="47" xr10:uidLastSave="{7EAF2E38-55E0-40F5-A425-A59408CCA7E2}"/>
  <bookViews>
    <workbookView xWindow="-120" yWindow="-120" windowWidth="29040" windowHeight="15720" xr2:uid="{00000000-000D-0000-FFFF-FFFF00000000}"/>
  </bookViews>
  <sheets>
    <sheet name="Case selection" sheetId="1" r:id="rId1"/>
    <sheet name="Matched Bx" sheetId="9" r:id="rId2"/>
    <sheet name="Packing list" sheetId="3" r:id="rId3"/>
    <sheet name="CellNass_Returns_Slides " sheetId="7" r:id="rId4"/>
    <sheet name="Notes" sheetId="4" r:id="rId5"/>
    <sheet name="List" sheetId="6" r:id="rId6"/>
    <sheet name="CellNass_Returns_Blocks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9" l="1"/>
  <c r="B43" i="9"/>
  <c r="C43" i="9"/>
  <c r="D43" i="9"/>
  <c r="E43" i="9"/>
  <c r="F43" i="9"/>
  <c r="A43" i="9"/>
  <c r="AV41" i="1"/>
  <c r="AU41" i="1"/>
  <c r="AT41" i="1"/>
  <c r="AS41" i="1"/>
  <c r="AL41" i="1"/>
  <c r="AK41" i="1"/>
  <c r="AJ41" i="1"/>
  <c r="AI41" i="1"/>
  <c r="AH41" i="1"/>
  <c r="AG41" i="1"/>
  <c r="S41" i="1"/>
  <c r="R41" i="1"/>
  <c r="Q41" i="1"/>
  <c r="O41" i="1"/>
  <c r="N41" i="1"/>
  <c r="M41" i="1"/>
  <c r="L41" i="1"/>
  <c r="J41" i="1"/>
  <c r="G41" i="1"/>
  <c r="F41" i="1"/>
  <c r="E41" i="1"/>
  <c r="D41" i="1"/>
  <c r="C41" i="1"/>
  <c r="B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1" i="1"/>
  <c r="P10" i="1"/>
  <c r="P9" i="1"/>
  <c r="P8" i="1"/>
  <c r="P7" i="1"/>
  <c r="P6" i="1"/>
  <c r="P5" i="1"/>
  <c r="P4" i="1"/>
  <c r="P41" i="1" s="1"/>
  <c r="H41" i="1"/>
  <c r="I41" i="1"/>
  <c r="K41" i="1"/>
  <c r="T41" i="1"/>
  <c r="U41" i="1"/>
  <c r="V41" i="1"/>
  <c r="W41" i="1"/>
  <c r="X41" i="1"/>
  <c r="Z41" i="1"/>
  <c r="AA41" i="1"/>
  <c r="AB41" i="1"/>
  <c r="AC41" i="1"/>
  <c r="AD41" i="1"/>
  <c r="AE41" i="1"/>
  <c r="AF41" i="1"/>
  <c r="AM41" i="1"/>
  <c r="AN41" i="1"/>
  <c r="AO41" i="1"/>
  <c r="AP41" i="1"/>
  <c r="AQ41" i="1"/>
  <c r="AR41" i="1"/>
  <c r="A41" i="1"/>
  <c r="F2" i="8"/>
  <c r="I2" i="8" s="1"/>
  <c r="I2" i="7"/>
  <c r="F2" i="7"/>
  <c r="C20" i="3"/>
  <c r="C21" i="3"/>
  <c r="C18" i="3"/>
  <c r="C22" i="3"/>
  <c r="C24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tc={EAFA9667-7508-48A9-804B-3A9CBC5A0319}</author>
  </authors>
  <commentList>
    <comment ref="E18" authorId="0" shapeId="0" xr:uid="{EAFA9667-7508-48A9-804B-3A9CBC5A0319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highlighted in yellow - ovarian 
Reply:
    note added, highlight removed</t>
      </text>
    </comment>
  </commentList>
</comments>
</file>

<file path=xl/sharedStrings.xml><?xml version="1.0" encoding="utf-8"?>
<sst xmlns="http://schemas.openxmlformats.org/spreadsheetml/2006/main" count="785" uniqueCount="311">
  <si>
    <t>Rejected</t>
  </si>
  <si>
    <t>Sample origin</t>
  </si>
  <si>
    <t>Tissue Pathway</t>
  </si>
  <si>
    <t>Specimen Notes</t>
  </si>
  <si>
    <t>Specimen number</t>
  </si>
  <si>
    <t>NHS numbers</t>
  </si>
  <si>
    <t>Additional patient info</t>
  </si>
  <si>
    <t>DOB</t>
  </si>
  <si>
    <t>Gender</t>
  </si>
  <si>
    <t>Dissent Y/N</t>
  </si>
  <si>
    <t>Consent</t>
  </si>
  <si>
    <t>Form Incomplete</t>
  </si>
  <si>
    <t>Form missing</t>
  </si>
  <si>
    <t>No. small slides from CellNass</t>
  </si>
  <si>
    <t>No. large slides from CellNass</t>
  </si>
  <si>
    <t>Total no. of slides received from CellNass</t>
  </si>
  <si>
    <t>Slides Collected</t>
  </si>
  <si>
    <t>CoPath (SC)</t>
  </si>
  <si>
    <t>Slides Missing (if any…)</t>
  </si>
  <si>
    <t>X</t>
  </si>
  <si>
    <t>P1</t>
  </si>
  <si>
    <t>P2</t>
  </si>
  <si>
    <t>P3</t>
  </si>
  <si>
    <t>P4</t>
  </si>
  <si>
    <t>P5</t>
  </si>
  <si>
    <t>M1</t>
  </si>
  <si>
    <t>M2</t>
  </si>
  <si>
    <t>M3</t>
  </si>
  <si>
    <t>M4</t>
  </si>
  <si>
    <t>M5</t>
  </si>
  <si>
    <t>N</t>
  </si>
  <si>
    <t>S</t>
  </si>
  <si>
    <t>Selected Slides Notes</t>
  </si>
  <si>
    <t>CoPath Slide Returns (Post Scan)</t>
  </si>
  <si>
    <t>X Block present</t>
  </si>
  <si>
    <t>Blocks Missing</t>
  </si>
  <si>
    <t>Blocks received from CellNass</t>
  </si>
  <si>
    <t>Number of blocks received from CellNass</t>
  </si>
  <si>
    <t>PB1</t>
  </si>
  <si>
    <t>PB2</t>
  </si>
  <si>
    <t>MB1</t>
  </si>
  <si>
    <t>MB2</t>
  </si>
  <si>
    <t>NB1</t>
  </si>
  <si>
    <t>NB2</t>
  </si>
  <si>
    <t>CoPath (BC)</t>
  </si>
  <si>
    <t>CoPath Block Returns</t>
  </si>
  <si>
    <t>CoPath (Tristar)</t>
  </si>
  <si>
    <t>CoPath (TriStar returns)</t>
  </si>
  <si>
    <t>Archive</t>
  </si>
  <si>
    <t>Gynaecological tract</t>
  </si>
  <si>
    <t>LH26-00169</t>
  </si>
  <si>
    <t>F</t>
  </si>
  <si>
    <t>A 1-25, B 1-4, C 1-2, D 1-5</t>
  </si>
  <si>
    <t>Yes</t>
  </si>
  <si>
    <t>A17</t>
  </si>
  <si>
    <t>A16</t>
  </si>
  <si>
    <t/>
  </si>
  <si>
    <t>LH26-03037</t>
  </si>
  <si>
    <t>A 1- 19, B1-4, C1-6, D 1-8, E1-7, F 1-2, G1-2</t>
  </si>
  <si>
    <t>A11</t>
  </si>
  <si>
    <t>A13</t>
  </si>
  <si>
    <t>A12</t>
  </si>
  <si>
    <t>LH26-07467</t>
  </si>
  <si>
    <t>A 1-22</t>
  </si>
  <si>
    <t>A15</t>
  </si>
  <si>
    <t>A20</t>
  </si>
  <si>
    <t>A21</t>
  </si>
  <si>
    <t>A22</t>
  </si>
  <si>
    <t xml:space="preserve">Contains both resection and biopsy </t>
  </si>
  <si>
    <t>LH26-07470</t>
  </si>
  <si>
    <t>A 1-15,  B 1-4, C 1-2,  D 1-3, E 1-2, F1-2, G1, H2</t>
  </si>
  <si>
    <t>A7</t>
  </si>
  <si>
    <t>A8</t>
  </si>
  <si>
    <t>E1</t>
  </si>
  <si>
    <t>A11, A15</t>
  </si>
  <si>
    <t>H1</t>
  </si>
  <si>
    <t>H2</t>
  </si>
  <si>
    <t>LH26-08667</t>
  </si>
  <si>
    <t>A 2-19</t>
  </si>
  <si>
    <t>A6</t>
  </si>
  <si>
    <t>LH26-08670</t>
  </si>
  <si>
    <t>A 1-15</t>
  </si>
  <si>
    <t>A5</t>
  </si>
  <si>
    <t>A9</t>
  </si>
  <si>
    <t>LH26-10213</t>
  </si>
  <si>
    <t>A1-22, B1-9, C1-6, D1-3, E1-3</t>
  </si>
  <si>
    <t>LH26-12049</t>
  </si>
  <si>
    <t>A1-20, B1-4, C15, D1-5,D1</t>
  </si>
  <si>
    <t>LH26-12861</t>
  </si>
  <si>
    <t>A1-56, B1-25, C1-14, D1-11, E1-11, F1-3, G1-20, H1-7, I1-6</t>
  </si>
  <si>
    <t>LH26-13355</t>
  </si>
  <si>
    <t>A1-21, B1-4, C1-2, D1-2, E1, G1, H1, I1-2</t>
  </si>
  <si>
    <t>A10</t>
  </si>
  <si>
    <t>LH26-13859</t>
  </si>
  <si>
    <t>A 1-20, B1-6, C 1-2, D1-2</t>
  </si>
  <si>
    <t>LH26-13909</t>
  </si>
  <si>
    <t>A 1-20,B 1-6, C 1-5, D 1-5</t>
  </si>
  <si>
    <t>A14</t>
  </si>
  <si>
    <t>LH26-14233</t>
  </si>
  <si>
    <t xml:space="preserve">A 1-23, B 1-6, C 1, D1, E 1-2 </t>
  </si>
  <si>
    <t>A1</t>
  </si>
  <si>
    <t>A23</t>
  </si>
  <si>
    <t>LH26-15123</t>
  </si>
  <si>
    <t>LH26-18276</t>
  </si>
  <si>
    <t>A 1-43, B 1</t>
  </si>
  <si>
    <t>A19,A11,A10,A18,A21,A24,A20,A8,A22,A25,A37,A28,A17,A16,A10,A9,A8,A7,A11,A4,A3,A20,A14,A2</t>
  </si>
  <si>
    <t>Separate images post scan (A2/3/4/28/37), rest are ovarian</t>
  </si>
  <si>
    <t>LH26-18878</t>
  </si>
  <si>
    <t>A 1-18</t>
  </si>
  <si>
    <t>LH26-19573</t>
  </si>
  <si>
    <t>A 1-35, B 1-5</t>
  </si>
  <si>
    <t>LH26-20879</t>
  </si>
  <si>
    <t>A 1-10</t>
  </si>
  <si>
    <t>A34</t>
  </si>
  <si>
    <t>A33</t>
  </si>
  <si>
    <t>LH26-21535</t>
  </si>
  <si>
    <t>A 1-26</t>
  </si>
  <si>
    <t>A26</t>
  </si>
  <si>
    <t>LH26-21745</t>
  </si>
  <si>
    <t>A 1-30, B 1-4, C 1-5, D 1- 6</t>
  </si>
  <si>
    <t>A27</t>
  </si>
  <si>
    <t>A28</t>
  </si>
  <si>
    <t>A29</t>
  </si>
  <si>
    <t>A30</t>
  </si>
  <si>
    <t>LH26-22230</t>
  </si>
  <si>
    <t>A 1-50, B 1-12, C 1-5,  D 1-3, E 1-5</t>
  </si>
  <si>
    <t>A35</t>
  </si>
  <si>
    <t>A43</t>
  </si>
  <si>
    <t>A39</t>
  </si>
  <si>
    <t>A31</t>
  </si>
  <si>
    <t>A38,A37,A36</t>
  </si>
  <si>
    <t>LH26-22995</t>
  </si>
  <si>
    <t>A 1-46, B 1-7</t>
  </si>
  <si>
    <t>A45</t>
  </si>
  <si>
    <t>A44</t>
  </si>
  <si>
    <t>A46</t>
  </si>
  <si>
    <t>A24</t>
  </si>
  <si>
    <t>A23,A29,A25,A26,A18,A17</t>
  </si>
  <si>
    <t>A28,A27,A21,A20,A19,A16</t>
  </si>
  <si>
    <t>LH26-02622</t>
  </si>
  <si>
    <t>A1-15, A16-18[L], A19-39, B1-5, C4, IHCx2</t>
  </si>
  <si>
    <t>A18[L]</t>
  </si>
  <si>
    <t>A19</t>
  </si>
  <si>
    <t>A38,A39,A37,A24,A22,A35,A32,A34,A25,A33,A31,A30,A29,A28,A26</t>
  </si>
  <si>
    <t>LH26-03714</t>
  </si>
  <si>
    <t>A1-13,A14-15 [L], A16-23</t>
  </si>
  <si>
    <t>A15[L]</t>
  </si>
  <si>
    <t>A14[L]</t>
  </si>
  <si>
    <t>A18</t>
  </si>
  <si>
    <t>LH26-05110</t>
  </si>
  <si>
    <t>A1-16, B1x3, C1x3, C2x3</t>
  </si>
  <si>
    <t>LH26-06243</t>
  </si>
  <si>
    <t>A1-14, A15[L[, A16-24, IHCx1</t>
  </si>
  <si>
    <t>A24,A23,A18</t>
  </si>
  <si>
    <t>LH26-08407</t>
  </si>
  <si>
    <t>A1-17, A18-21 [L], A22-30</t>
  </si>
  <si>
    <t>A29,A26,A22,A28,A27,A25,A24,A23</t>
  </si>
  <si>
    <t>LH26-10072</t>
  </si>
  <si>
    <t>A2-7, A8x2, A9-19, A20 [L], A21-32, B1-5, C1-19, D1-6, E1-10, IHCx9</t>
  </si>
  <si>
    <t>A20[L]</t>
  </si>
  <si>
    <t>A2</t>
  </si>
  <si>
    <t>A25</t>
  </si>
  <si>
    <t>A22,A30,A23,A32,A31,A21,A24</t>
  </si>
  <si>
    <t>LH26-11929</t>
  </si>
  <si>
    <t>A1-16, A17 [L], A18-27, B1-5, C1x3, C2x3, D1x3, D2x3, IHCx16</t>
  </si>
  <si>
    <t>A17[L]</t>
  </si>
  <si>
    <t>LH26-13112</t>
  </si>
  <si>
    <t>A1-18, A19-20 [L], A21-63, B1x3, B2x3, B3x3, C1X3, C2, IHCx16</t>
  </si>
  <si>
    <t>A55</t>
  </si>
  <si>
    <t>A42</t>
  </si>
  <si>
    <t>A41</t>
  </si>
  <si>
    <t>A56</t>
  </si>
  <si>
    <t>LH26-15122</t>
  </si>
  <si>
    <t>A1-15, A16x2 [L], A17x3 [L], A18-26, IHCx8</t>
  </si>
  <si>
    <t>A16[L]</t>
  </si>
  <si>
    <t>LH26-15930</t>
  </si>
  <si>
    <t>A1-50, B1-6, C1-6, D1, E1-3, IHCx8</t>
  </si>
  <si>
    <t>A47</t>
  </si>
  <si>
    <t>A40</t>
  </si>
  <si>
    <t>A49</t>
  </si>
  <si>
    <t>A14,A42,A44,A48,A41,A20,A19,A43,A13,A10,A16,A11</t>
  </si>
  <si>
    <t>A17,A12,A8</t>
  </si>
  <si>
    <t>LH26-16060</t>
  </si>
  <si>
    <t>A1-4, A5x3, A6-9, A10x3, A11-12, A13-14 [L], A15-23, A25-30, B1, C1, IHCx14</t>
  </si>
  <si>
    <t>A13[L]</t>
  </si>
  <si>
    <t>A28,A20,A15,A11,A12,A30,A29,A16,A23,A18</t>
  </si>
  <si>
    <t>A21,A22</t>
  </si>
  <si>
    <t>LH26-20487</t>
  </si>
  <si>
    <t>A1-9,B1x3, B2x3, B3x3, C1x3, C2x3, C3x3, IHCx18</t>
  </si>
  <si>
    <t>LH26-23883</t>
  </si>
  <si>
    <t>A1-16, A17x4, A18-19, A20-23 [L], A24-29, B1x3, C1x3, C2x3, C3x3, IHCx34</t>
  </si>
  <si>
    <t>A22[L]</t>
  </si>
  <si>
    <t>A21[L]</t>
  </si>
  <si>
    <t>A23[L]</t>
  </si>
  <si>
    <t>A25,A29,A28,A17,A16,A15</t>
  </si>
  <si>
    <t>LH26-24152</t>
  </si>
  <si>
    <t>A1-6, A7x3, A8x2, A9-10, A11x2, A12-19, A21-28, IHCx12</t>
  </si>
  <si>
    <t>LH26-26138</t>
  </si>
  <si>
    <t>A1-7, A8x2, A9-15, A16x3, A17x3, A18-19, IHCx1</t>
  </si>
  <si>
    <t>A3,A17</t>
  </si>
  <si>
    <t>NHS</t>
  </si>
  <si>
    <t>LH Rx</t>
  </si>
  <si>
    <t>Matched Bx</t>
  </si>
  <si>
    <t>Slides selected</t>
  </si>
  <si>
    <t>CoPath (post scan)</t>
  </si>
  <si>
    <t>LH25-10496</t>
  </si>
  <si>
    <t>LH25-11635</t>
  </si>
  <si>
    <t>A1x2</t>
  </si>
  <si>
    <t>Y</t>
  </si>
  <si>
    <t>A1(AfHE), A1(HE)</t>
  </si>
  <si>
    <t>y</t>
  </si>
  <si>
    <t>LH25-24336</t>
  </si>
  <si>
    <t>LH25-40432</t>
  </si>
  <si>
    <t>A1x7</t>
  </si>
  <si>
    <t>A1(AfHE)</t>
  </si>
  <si>
    <t>LH25-44189</t>
  </si>
  <si>
    <t>A1x2, B1x5</t>
  </si>
  <si>
    <t>A1, B1 (HE)</t>
  </si>
  <si>
    <t>LH25-45144</t>
  </si>
  <si>
    <t>A1, B1</t>
  </si>
  <si>
    <t>LH25-47856</t>
  </si>
  <si>
    <t>A1 (AfHE)</t>
  </si>
  <si>
    <t>LH25-49452</t>
  </si>
  <si>
    <t>A1x3</t>
  </si>
  <si>
    <t>A1 (HE)</t>
  </si>
  <si>
    <t>LH25-50867</t>
  </si>
  <si>
    <t>LH25-51461</t>
  </si>
  <si>
    <t>LH25-53413</t>
  </si>
  <si>
    <t>A1x2, B1</t>
  </si>
  <si>
    <t>A1 (BHE), B1</t>
  </si>
  <si>
    <t>LH25-53623</t>
  </si>
  <si>
    <t>A1x5,A2-4</t>
  </si>
  <si>
    <t>A1(BHE), A3, A4</t>
  </si>
  <si>
    <t>LH25-54617</t>
  </si>
  <si>
    <t>LH25-56119</t>
  </si>
  <si>
    <t>LH25-57306</t>
  </si>
  <si>
    <t>A1, A2x2, A3x2, A4, A5x3</t>
  </si>
  <si>
    <t>A1, A2 (HE), A3 (HE), A4, A5 (HE)</t>
  </si>
  <si>
    <t>LH26-00058</t>
  </si>
  <si>
    <t>A1, A2, A3x3, B1</t>
  </si>
  <si>
    <t>A1, A2, A3 (BHE), B1</t>
  </si>
  <si>
    <t>LH26-00694</t>
  </si>
  <si>
    <t>A1,B1x3</t>
  </si>
  <si>
    <t>B1 (BHE)</t>
  </si>
  <si>
    <t>LH26-01154</t>
  </si>
  <si>
    <t>A1x3, B1</t>
  </si>
  <si>
    <t>A1(BHE)</t>
  </si>
  <si>
    <t>LH26-02775</t>
  </si>
  <si>
    <t>LH26-03175</t>
  </si>
  <si>
    <t>A1x2, A2x2, A3x2</t>
  </si>
  <si>
    <t>A1 (L2), A2(L2), A3 (L2)</t>
  </si>
  <si>
    <t>LH26-04659</t>
  </si>
  <si>
    <t>LH26-05491</t>
  </si>
  <si>
    <t>A1x4</t>
  </si>
  <si>
    <t>LH26-05517</t>
  </si>
  <si>
    <t>LH26-05852</t>
  </si>
  <si>
    <t xml:space="preserve">A1 (BHE) </t>
  </si>
  <si>
    <t>LH26-05856</t>
  </si>
  <si>
    <t>LH26-06496</t>
  </si>
  <si>
    <t>LH26-06756</t>
  </si>
  <si>
    <t>LH26-08089</t>
  </si>
  <si>
    <t>A1x3, A2</t>
  </si>
  <si>
    <t>A1(AfHE), A2(HE)</t>
  </si>
  <si>
    <t>LH26-08301</t>
  </si>
  <si>
    <t>A1(HE)</t>
  </si>
  <si>
    <t>LH26-12365</t>
  </si>
  <si>
    <t>LH26-14479</t>
  </si>
  <si>
    <t>LH26-14881</t>
  </si>
  <si>
    <t>LH26-15811</t>
  </si>
  <si>
    <t>LH26-16263</t>
  </si>
  <si>
    <t>LH26-16360</t>
  </si>
  <si>
    <t>A1x5</t>
  </si>
  <si>
    <t>LH26-19403</t>
  </si>
  <si>
    <t>N/A</t>
  </si>
  <si>
    <t>QC check</t>
  </si>
  <si>
    <t>Part Number</t>
  </si>
  <si>
    <t>Type</t>
  </si>
  <si>
    <t>1st</t>
  </si>
  <si>
    <t>2nd</t>
  </si>
  <si>
    <t>Number of cases</t>
  </si>
  <si>
    <t>Primary tumour blocks</t>
  </si>
  <si>
    <t>Metastatic tumour blocks</t>
  </si>
  <si>
    <t>Normal tissue blocks</t>
  </si>
  <si>
    <t>Total number of blocks</t>
  </si>
  <si>
    <t>Box number</t>
  </si>
  <si>
    <t>No. of  small slides returned to CellNass</t>
  </si>
  <si>
    <t>No. of  large slides returned to CellNass</t>
  </si>
  <si>
    <t>Total No. of  slides returned to CellNass</t>
  </si>
  <si>
    <t>Full case return?</t>
  </si>
  <si>
    <t>Cohort</t>
  </si>
  <si>
    <t>Discrepancy</t>
  </si>
  <si>
    <t>Tissue pathway</t>
  </si>
  <si>
    <t>Bone and soft tissue</t>
  </si>
  <si>
    <t>Breast</t>
  </si>
  <si>
    <t>Cancer of unknown primary and malignancy of unknown primary origin</t>
  </si>
  <si>
    <t>Cardiovascular system</t>
  </si>
  <si>
    <t>Central nervous system</t>
  </si>
  <si>
    <t>Cytopathology</t>
  </si>
  <si>
    <t>Endocrine system</t>
  </si>
  <si>
    <t>Eye</t>
  </si>
  <si>
    <t>Gastrointestinal tract</t>
  </si>
  <si>
    <t>Head &amp; Neck</t>
  </si>
  <si>
    <t>Lung and thorax</t>
  </si>
  <si>
    <t>Lymph node and bone marrow</t>
  </si>
  <si>
    <t>Paediatric</t>
  </si>
  <si>
    <t>Skin</t>
  </si>
  <si>
    <t>Urinary tract and testis</t>
  </si>
  <si>
    <t>Total no. of blocks received from CellNass</t>
  </si>
  <si>
    <t>No. of  small blocks returned to CellNass</t>
  </si>
  <si>
    <t>No. of  large blocks returned to CellNass</t>
  </si>
  <si>
    <t>Total No. of  blocks returned to CellNass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</si>
</sst>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809]dd\ mmmm\ yyyy;@"/>
  </numFmts>
  <fonts count="24"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6"/>
      <color rgb="FF7030A0"/>
      <name val="Calibri Light"/>
      <family val="2"/>
      <scheme val="major"/>
    </font>
    <font>
      <b/>
      <u/>
      <sz val="11"/>
      <color theme="1"/>
      <name val="Calibri Light"/>
      <family val="2"/>
      <scheme val="major"/>
    </font>
    <font>
      <b/>
      <u/>
      <sz val="11"/>
      <color rgb="FF000000"/>
      <name val="Calibri Light"/>
      <family val="2"/>
      <scheme val="maj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color rgb="FF000000"/>
      <name val="Calibri"/>
      <scheme val="minor"/>
    </font>
    <font>
      <b/>
      <sz val="10"/>
      <color theme="1"/>
      <name val="Calibri Light"/>
      <family val="2"/>
      <scheme val="major"/>
    </font>
    <font>
      <sz val="11"/>
      <color rgb="FF000000"/>
      <name val="Calibri"/>
      <family val="2"/>
    </font>
    <font>
      <sz val="10"/>
      <color rgb="FF000000"/>
      <name val="Calibri Light"/>
      <family val="2"/>
      <scheme val="major"/>
    </font>
    <font>
      <sz val="10"/>
      <color theme="1"/>
      <name val="Calibri Light"/>
      <scheme val="major"/>
    </font>
    <font>
      <b/>
      <u/>
      <sz val="10"/>
      <color theme="1"/>
      <name val="Calibri Light"/>
      <scheme val="major"/>
    </font>
    <font>
      <sz val="10"/>
      <color rgb="FF000000"/>
      <name val="Calibri Light"/>
      <scheme val="major"/>
    </font>
    <font>
      <sz val="10"/>
      <color rgb="FFFF0000"/>
      <name val="Calibri Light"/>
      <scheme val="major"/>
    </font>
    <font>
      <b/>
      <sz val="10"/>
      <color theme="1"/>
      <name val="Calibri Light"/>
      <scheme val="major"/>
    </font>
    <font>
      <sz val="10"/>
      <color theme="1" tint="4.9989318521683403E-2"/>
      <name val="Calibri Light"/>
      <family val="2"/>
      <scheme val="major"/>
    </font>
    <font>
      <sz val="10"/>
      <color rgb="FF0D0D0D"/>
      <name val="Calibri Light"/>
      <scheme val="major"/>
    </font>
    <font>
      <sz val="10"/>
      <color theme="1" tint="4.9989318521683403E-2"/>
      <name val="Calibri Light"/>
      <scheme val="major"/>
    </font>
  </fonts>
  <fills count="9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40BDC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0" fillId="0" borderId="0"/>
  </cellStyleXfs>
  <cellXfs count="46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Protection="1">
      <protection locked="0"/>
    </xf>
    <xf numFmtId="164" fontId="5" fillId="0" borderId="0" xfId="0" applyNumberFormat="1" applyFont="1" applyProtection="1">
      <protection locked="0"/>
    </xf>
    <xf numFmtId="164" fontId="5" fillId="0" borderId="0" xfId="0" applyNumberFormat="1" applyFont="1"/>
    <xf numFmtId="0" fontId="6" fillId="0" borderId="0" xfId="0" applyFont="1"/>
    <xf numFmtId="0" fontId="1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8" fillId="5" borderId="2" xfId="0" quotePrefix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164" fontId="8" fillId="6" borderId="2" xfId="0" applyNumberFormat="1" applyFont="1" applyFill="1" applyBorder="1" applyAlignment="1">
      <alignment horizontal="center" vertical="center" wrapText="1"/>
    </xf>
    <xf numFmtId="0" fontId="13" fillId="0" borderId="1" xfId="0" applyFont="1" applyBorder="1"/>
    <xf numFmtId="0" fontId="14" fillId="0" borderId="0" xfId="0" applyFont="1"/>
    <xf numFmtId="0" fontId="5" fillId="0" borderId="0" xfId="0" applyFont="1" applyAlignment="1" applyProtection="1">
      <alignment horizontal="right"/>
      <protection locked="0"/>
    </xf>
    <xf numFmtId="0" fontId="5" fillId="0" borderId="4" xfId="0" applyFont="1" applyBorder="1" applyProtection="1">
      <protection locked="0"/>
    </xf>
    <xf numFmtId="0" fontId="15" fillId="8" borderId="0" xfId="0" applyFont="1" applyFill="1" applyProtection="1">
      <protection locked="0"/>
    </xf>
    <xf numFmtId="0" fontId="5" fillId="8" borderId="0" xfId="0" applyFont="1" applyFill="1" applyProtection="1">
      <protection locked="0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6" fillId="0" borderId="0" xfId="0" applyFont="1" applyAlignment="1">
      <alignment horizontal="center"/>
    </xf>
    <xf numFmtId="0" fontId="19" fillId="0" borderId="0" xfId="0" applyFont="1"/>
    <xf numFmtId="0" fontId="20" fillId="0" borderId="1" xfId="0" applyFont="1" applyBorder="1"/>
    <xf numFmtId="0" fontId="17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20" fillId="0" borderId="1" xfId="0" applyFont="1" applyBorder="1" applyAlignment="1">
      <alignment horizontal="left"/>
    </xf>
    <xf numFmtId="0" fontId="21" fillId="0" borderId="0" xfId="0" applyFont="1"/>
    <xf numFmtId="0" fontId="23" fillId="0" borderId="0" xfId="0" applyFont="1"/>
    <xf numFmtId="0" fontId="22" fillId="0" borderId="0" xfId="0" applyFo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3" xfId="1" xr:uid="{F65F14EB-4DA5-4D36-9C88-49B63D030095}"/>
  </cellStyles>
  <dxfs count="92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Calibri"/>
        <scheme val="minor"/>
      </font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Calibri"/>
        <scheme val="minor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0"/>
        <name val="Calibri Light"/>
        <scheme val="major"/>
      </font>
      <alignment horizontal="left"/>
    </dxf>
    <dxf>
      <font>
        <sz val="10"/>
        <name val="Calibri Light"/>
        <scheme val="major"/>
      </font>
    </dxf>
    <dxf>
      <font>
        <sz val="10"/>
        <name val="Calibri Light"/>
        <scheme val="major"/>
      </font>
      <alignment horizontal="left" vertical="bottom" textRotation="0" wrapText="0" indent="0" justifyLastLine="0" shrinkToFit="0" readingOrder="0"/>
    </dxf>
    <dxf>
      <font>
        <sz val="10"/>
        <name val="Calibri Light"/>
        <scheme val="major"/>
      </font>
    </dxf>
    <dxf>
      <font>
        <sz val="10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alignment horizontal="left"/>
    </dxf>
    <dxf>
      <font>
        <sz val="10"/>
        <name val="Calibri Light"/>
        <scheme val="maj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theme="1"/>
        <name val="Calibri Light"/>
        <scheme val="major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0" formatCode="General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[$-809]dd\ mmmm\ 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70957E05-AB34-4AAC-A938-26D2871358FC}"/>
  </tableStyles>
  <colors>
    <mruColors>
      <color rgb="FFB9FF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NNETT, Nicholas (LEEDS TEACHING HOSPITALS NHS TRUST)" id="{5835D0C7-6A33-4FA1-9BD7-89484FA3676D}" userId="S::n.bennett7@nhs.net::7f79b6ca-9579-41c7-ac49-041a823c0562" providerId="AD"/>
  <person displayName="MCIVER, Rosie (LEEDS TEACHING HOSPITALS NHS TRUST)" id="{CB05D175-5A39-42E6-ACD2-E8B628CB8E73}" userId="S::rosie.mciver@nhs.net::2fa707c5-6591-4ba9-bdb7-4693674f03c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B45E67-EE19-4C84-AA27-8AA0C7478BCB}" name="Table1" displayName="Table1" ref="A3:AV40" totalsRowShown="0" headerRowDxfId="88" dataDxfId="87" headerRowBorderDxfId="86">
  <autoFilter ref="A3:AV40" xr:uid="{1CB45E67-EE19-4C84-AA27-8AA0C7478BCB}"/>
  <tableColumns count="48">
    <tableColumn id="1" xr3:uid="{971E6262-2315-44B2-B71F-9D0593792DA7}" name="Rejected" dataDxfId="85"/>
    <tableColumn id="31" xr3:uid="{149D1C03-E26E-4EB2-91E8-7B643458B76C}" name="Sample origin" dataDxfId="84"/>
    <tableColumn id="47" xr3:uid="{15F6707C-744A-428A-80C9-B7D210377196}" name="Tissue Pathway" dataDxfId="83"/>
    <tableColumn id="5" xr3:uid="{43EF7685-2727-427B-8613-903A395A3CBF}" name="Specimen Notes" dataDxfId="82"/>
    <tableColumn id="44" xr3:uid="{9060051B-A70F-4E7F-89EE-9516CE18EB53}" name="Specimen number" dataDxfId="81"/>
    <tableColumn id="46" xr3:uid="{8EE095B2-95B7-4D68-9210-95ADBD1E9F70}" name="NHS numbers" dataDxfId="80"/>
    <tableColumn id="3" xr3:uid="{378DF7D1-D427-4B62-BD0A-892A5E8DBFEB}" name="Additional patient info" dataDxfId="79"/>
    <tableColumn id="6" xr3:uid="{C2BBB61D-8BD7-4D23-BD7E-AB738310038B}" name="DOB" dataDxfId="78"/>
    <tableColumn id="7" xr3:uid="{8350A74B-13C4-4F3F-947E-34CF40191714}" name="Gender" dataDxfId="77"/>
    <tableColumn id="8" xr3:uid="{32933D10-A8E8-42E6-B5FF-4C4AD4AD40D2}" name="Dissent Y/N" dataDxfId="76"/>
    <tableColumn id="9" xr3:uid="{1B93F356-3408-46DC-A9EF-5E05E644726F}" name="Consent" dataDxfId="75"/>
    <tableColumn id="10" xr3:uid="{A0F6C7A9-A4B1-4012-B89A-71D00AD5EDEF}" name="Form Incomplete" dataDxfId="74"/>
    <tableColumn id="11" xr3:uid="{6F8AC06C-3F7C-43FB-B443-434DC692C79D}" name="Form missing" dataDxfId="73"/>
    <tableColumn id="12" xr3:uid="{29B55F6C-1571-4498-99E7-7FA1C3F32019}" name="No. small slides from CellNass" dataDxfId="72"/>
    <tableColumn id="13" xr3:uid="{0447CD09-087E-43F8-BF4D-E050C062F5D0}" name="No. large slides from CellNass" dataDxfId="71"/>
    <tableColumn id="14" xr3:uid="{E04A1A3D-D0F0-49A3-889F-6FF4212A9CD2}" name="Total no. of slides received from CellNass" dataDxfId="70">
      <calculatedColumnFormula>Table1[[#This Row],[No. small slides from CellNass]]+Table1[[#This Row],[No. large slides from CellNass]]</calculatedColumnFormula>
    </tableColumn>
    <tableColumn id="15" xr3:uid="{0C508936-44E5-4C13-8BC5-A09A33BF46E3}" name="Slides Collected" dataDxfId="69"/>
    <tableColumn id="16" xr3:uid="{01801408-C667-4F3E-A61F-520679A87852}" name="CoPath (SC)" dataDxfId="68"/>
    <tableColumn id="17" xr3:uid="{51B8E23F-F8C8-4D8A-8FD0-741E7290E6F0}" name="Slides Missing (if any…)" dataDxfId="67"/>
    <tableColumn id="4" xr3:uid="{E2667071-4FC4-4B21-AD6A-F585DE4A716F}" name="X" dataDxfId="66"/>
    <tableColumn id="18" xr3:uid="{84743F78-0C3E-4435-9C5B-90D9E49CD13E}" name="P1" dataDxfId="65"/>
    <tableColumn id="19" xr3:uid="{1A4A741D-6F28-4D46-AB34-A4AD3C3D58B5}" name="P2" dataDxfId="64"/>
    <tableColumn id="20" xr3:uid="{523BB813-1FC4-4961-9871-00C3BB3114F8}" name="P3" dataDxfId="63"/>
    <tableColumn id="21" xr3:uid="{8961B0A8-3CF9-4DD7-AF1E-24D547B94389}" name="P4" dataDxfId="62"/>
    <tableColumn id="72" xr3:uid="{46AC09E6-DB7E-4DED-AB5B-8D35654AE7D2}" name="P5" dataDxfId="61"/>
    <tableColumn id="23" xr3:uid="{997D72AC-AC90-4D8B-B93C-D4C4951BBD04}" name="M1" dataDxfId="60"/>
    <tableColumn id="24" xr3:uid="{8D2A7B78-7D88-47D0-B238-8F6B6729B7A6}" name="M2" dataDxfId="59"/>
    <tableColumn id="25" xr3:uid="{08E4DCBE-5D01-4601-9263-5DE66303196F}" name="M3" dataDxfId="58"/>
    <tableColumn id="26" xr3:uid="{18894227-15DC-4383-90F0-E86269A04543}" name="M4" dataDxfId="57"/>
    <tableColumn id="27" xr3:uid="{87A6B9ED-3453-4B6E-993B-37AF30BDFB95}" name="M5" dataDxfId="56"/>
    <tableColumn id="28" xr3:uid="{EC70D995-044B-4860-9006-7C58CD9922D1}" name="N" dataDxfId="55"/>
    <tableColumn id="29" xr3:uid="{B03FDE41-54FB-4329-816F-4B0C2A799E6A}" name="S" dataDxfId="54"/>
    <tableColumn id="32" xr3:uid="{6D1F164F-A5E0-4E94-B2B9-535BD1B2A912}" name="Selected Slides Notes" dataDxfId="53"/>
    <tableColumn id="36" xr3:uid="{A16591B2-D385-4AE8-B458-32FEBF3E0852}" name="CoPath Slide Returns (Post Scan)" dataDxfId="52"/>
    <tableColumn id="33" xr3:uid="{0502673B-E897-48CF-B76E-F3151E3B4D3A}" name="X Block present" dataDxfId="51"/>
    <tableColumn id="34" xr3:uid="{696C34AE-3D6C-488F-89AB-984DCBF9CD40}" name="Blocks Missing" dataDxfId="50"/>
    <tableColumn id="35" xr3:uid="{C1074AAC-25F7-4733-BAD2-61CED611D650}" name="Blocks received from CellNass" dataDxfId="49"/>
    <tableColumn id="45" xr3:uid="{8B3747E6-3F37-4D2A-872F-30A4AE1797D2}" name="Number of blocks received from CellNass" dataDxfId="48"/>
    <tableColumn id="37" xr3:uid="{0FB581D3-22E7-449F-90AB-A964E9EBEA1E}" name="PB1" dataDxfId="47"/>
    <tableColumn id="38" xr3:uid="{336033A0-9395-4F4B-A97F-E04E33D770CC}" name="PB2" dataDxfId="46"/>
    <tableColumn id="39" xr3:uid="{892D1592-A61A-4995-BBE2-7D1FAE0EA31E}" name="MB1" dataDxfId="45"/>
    <tableColumn id="40" xr3:uid="{04DB3397-365D-4480-8985-7B7366769029}" name="MB2" dataDxfId="44"/>
    <tableColumn id="41" xr3:uid="{084AF8C6-EB1A-459E-A804-92320873904F}" name="NB1" dataDxfId="43"/>
    <tableColumn id="49" xr3:uid="{EB335460-8400-4D97-A9E9-8BF66E059DDC}" name="NB2" dataDxfId="42"/>
    <tableColumn id="42" xr3:uid="{6C7E9304-D5AC-4BC5-8FFD-BAC86D73092D}" name="CoPath (BC)" dataDxfId="41"/>
    <tableColumn id="30" xr3:uid="{B2EC4BDB-60A7-486A-990B-8C45BF7D7B82}" name="CoPath Block Returns" dataDxfId="40"/>
    <tableColumn id="43" xr3:uid="{DB56A819-9A19-43F4-AE68-C56EAEE92B68}" name="CoPath (Tristar)" dataDxfId="39"/>
    <tableColumn id="48" xr3:uid="{E1026304-CC47-49DD-B4A0-90DC7E15A3E8}" name="CoPath (TriStar returns)" dataDxfId="38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51B3FE-3300-4FE9-B8A3-0F74A9C6FD8F}" name="Table4" displayName="Table4" ref="A1:G41" totalsRowShown="0" headerRowDxfId="36" dataDxfId="35">
  <autoFilter ref="A1:G41" xr:uid="{3651B3FE-3300-4FE9-B8A3-0F74A9C6FD8F}">
    <filterColumn colId="2">
      <filters>
        <filter val="LH25-10496"/>
        <filter val="LH25-11635"/>
        <filter val="LH25-24336"/>
        <filter val="LH25-40432"/>
        <filter val="LH25-44189"/>
        <filter val="LH25-45144"/>
        <filter val="LH25-47856"/>
        <filter val="LH25-49452"/>
        <filter val="LH25-50867"/>
        <filter val="LH25-51461"/>
        <filter val="LH25-53413"/>
        <filter val="LH25-53623"/>
        <filter val="LH25-54617"/>
        <filter val="LH25-56119"/>
        <filter val="LH25-57306"/>
        <filter val="LH26-00058"/>
        <filter val="LH26-00694"/>
        <filter val="LH26-01154"/>
        <filter val="LH26-02775"/>
        <filter val="LH26-03175"/>
        <filter val="LH26-04659"/>
        <filter val="LH26-05491"/>
        <filter val="LH26-05517"/>
        <filter val="LH26-05852"/>
        <filter val="LH26-05856"/>
        <filter val="LH26-06496"/>
        <filter val="LH26-06756"/>
        <filter val="LH26-08089"/>
        <filter val="LH26-08301"/>
        <filter val="LH26-12365"/>
        <filter val="LH26-14479"/>
        <filter val="LH26-14881"/>
        <filter val="LH26-15811"/>
        <filter val="LH26-16263"/>
        <filter val="LH26-16360"/>
        <filter val="LH26-19403"/>
      </filters>
    </filterColumn>
  </autoFilter>
  <sortState xmlns:xlrd2="http://schemas.microsoft.com/office/spreadsheetml/2017/richdata2" ref="A2:G41">
    <sortCondition ref="C2:C41"/>
  </sortState>
  <tableColumns count="7">
    <tableColumn id="7" xr3:uid="{A5F162EF-64A5-4CB6-8FB6-A21B47AEDB50}" name="NHS" dataDxfId="34"/>
    <tableColumn id="1" xr3:uid="{791B77AB-18ED-4447-A481-455BD3A2E803}" name="LH Rx" dataDxfId="33"/>
    <tableColumn id="2" xr3:uid="{6E4D0BFF-3EFE-4F3E-8ED5-4A183E7779A1}" name="Matched Bx" dataDxfId="32"/>
    <tableColumn id="3" xr3:uid="{CF83E546-6EAA-4C51-827B-47D5E54D0B1D}" name="Slides Collected" dataDxfId="31"/>
    <tableColumn id="4" xr3:uid="{FAC17724-B733-40FC-8C5A-F454305B3D82}" name="CoPath (SC)" dataDxfId="30"/>
    <tableColumn id="5" xr3:uid="{C3D4BFB9-A672-4FD7-A897-1F4BC40721CE}" name="Slides selected" dataDxfId="29"/>
    <tableColumn id="6" xr3:uid="{6F8DE0E9-A996-4783-9562-2786A977FF72}" name="CoPath (post scan)" dataDxfId="28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546527-53C7-47E2-BC08-B054986F040C}" name="Table2" displayName="Table2" ref="A1:I2" totalsRowShown="0" headerRowDxfId="25" dataDxfId="24" headerRowBorderDxfId="22" tableBorderDxfId="23">
  <autoFilter ref="A1:I2" xr:uid="{63546527-53C7-47E2-BC08-B054986F040C}"/>
  <tableColumns count="9">
    <tableColumn id="1" xr3:uid="{D319AC88-9BCD-4212-8170-BE4AF6C36795}" name="Box number" dataDxfId="21"/>
    <tableColumn id="2" xr3:uid="{2EB5A7E0-FF6A-4EDF-A0DD-3FC9A2FCA3CA}" name="Specimen number" dataDxfId="20"/>
    <tableColumn id="3" xr3:uid="{F7A2B23E-99A9-42F2-BF80-D5CACF81EE4C}" name="Total no. of slides received from CellNass" dataDxfId="19"/>
    <tableColumn id="4" xr3:uid="{39DD3DE2-2FFB-4674-AA17-A0B548268CEA}" name="No. of  small slides returned to CellNass" dataDxfId="18"/>
    <tableColumn id="5" xr3:uid="{BD4B186F-FEE3-476E-9C28-9C4BEABDEFE5}" name="No. of  large slides returned to CellNass" dataDxfId="17"/>
    <tableColumn id="6" xr3:uid="{441204AE-3262-49DC-B770-EA2325736810}" name="Total No. of  slides returned to CellNass" dataDxfId="16">
      <calculatedColumnFormula>D2+E2</calculatedColumnFormula>
    </tableColumn>
    <tableColumn id="7" xr3:uid="{BD4B78F5-6109-4A52-9B65-92D61A862C97}" name="Full case return?" dataDxfId="15"/>
    <tableColumn id="8" xr3:uid="{A902D676-5564-4107-98E1-7FD1451174F1}" name="Cohort" dataDxfId="14"/>
    <tableColumn id="9" xr3:uid="{0B775EDB-7758-408D-8172-E67779EB2A6E}" name="Discrepancy" dataDxfId="13">
      <calculatedColumnFormula>F2-C2</calculatedColumnFormula>
    </tableColumn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D468CE-35BE-4A88-A36E-97B4BE290BEB}" name="Table24" displayName="Table24" ref="A1:I2" totalsRowShown="0" headerRowDxfId="12" dataDxfId="11" headerRowBorderDxfId="9" tableBorderDxfId="10">
  <autoFilter ref="A1:I2" xr:uid="{63546527-53C7-47E2-BC08-B054986F040C}"/>
  <tableColumns count="9">
    <tableColumn id="1" xr3:uid="{FEA097A4-8419-4FA3-B430-A3AED1A4E0F0}" name="Box number" dataDxfId="8"/>
    <tableColumn id="2" xr3:uid="{D5344D92-6E56-48A3-AFDC-FEF73EAF2E79}" name="Specimen number" dataDxfId="7"/>
    <tableColumn id="3" xr3:uid="{97C2950E-0FA9-49A7-820E-2697BC246950}" name="Total no. of blocks received from CellNass" dataDxfId="6"/>
    <tableColumn id="4" xr3:uid="{819859D3-2636-4C80-8DCD-1BEE9676909E}" name="No. of  small blocks returned to CellNass" dataDxfId="5"/>
    <tableColumn id="5" xr3:uid="{1C580E21-7BCE-4621-BCEF-4334748E3249}" name="No. of  large blocks returned to CellNass" dataDxfId="4"/>
    <tableColumn id="6" xr3:uid="{48C4EBDB-37F3-4672-A5FF-66CB3363CE07}" name="Total No. of  blocks returned to CellNass" dataDxfId="3">
      <calculatedColumnFormula>D2+E2</calculatedColumnFormula>
    </tableColumn>
    <tableColumn id="7" xr3:uid="{418AB477-2598-45B7-B69A-8333159D21CE}" name="Full case return?" dataDxfId="2"/>
    <tableColumn id="8" xr3:uid="{59575229-F777-4106-91E1-C7D45541F5CA}" name="Cohort" dataDxfId="1"/>
    <tableColumn id="9" xr3:uid="{4579804F-832F-4B30-9115-5E3A1729AD7C}" name="Discrepancy" dataDxfId="0">
      <calculatedColumnFormula>F2-C2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8" dT="2026-08-04T08:48:37.28" personId="{CB05D175-5A39-42E6-ACD2-E8B628CB8E73}" id="{EAFA9667-7508-48A9-804B-3A9CBC5A0319}">
    <text xml:space="preserve">highlighted in yellow - ovarian </text>
  </threadedComment>
  <threadedComment ref="E18" dT="2026-10-05T07:12:48.06" personId="{5835D0C7-6A33-4FA1-9BD7-89484FA3676D}" id="{778C126B-1284-4731-BF47-7CA91C5F2070}" parentId="{EAFA9667-7508-48A9-804B-3A9CBC5A0319}">
    <text>note added, highlight removed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V61"/>
  <sheetViews>
    <sheetView tabSelected="1" zoomScale="110" zoomScaleNormal="110" workbookViewId="0">
      <pane xSplit="6" ySplit="3" topLeftCell="P14" activePane="bottomRight" state="frozen"/>
      <selection pane="bottomRight" activeCell="E34" sqref="E34"/>
      <selection pane="bottomLeft"/>
      <selection pane="topRight"/>
    </sheetView>
  </sheetViews>
  <sheetFormatPr defaultColWidth="9" defaultRowHeight="15" customHeight="1"/>
  <cols>
    <col min="1" max="1" width="12.5" style="6" customWidth="1"/>
    <col min="2" max="2" width="16.875" style="6" customWidth="1"/>
    <col min="3" max="3" width="18.5" style="6" customWidth="1"/>
    <col min="4" max="4" width="19.125" style="6" bestFit="1" customWidth="1"/>
    <col min="5" max="5" width="13.375" style="6" bestFit="1" customWidth="1"/>
    <col min="6" max="6" width="16.875" style="6" bestFit="1" customWidth="1"/>
    <col min="7" max="7" width="20.875" style="6" bestFit="1" customWidth="1"/>
    <col min="8" max="8" width="15.25" style="6" bestFit="1" customWidth="1"/>
    <col min="9" max="9" width="11.375" style="6" bestFit="1" customWidth="1"/>
    <col min="10" max="10" width="14.5" style="6" bestFit="1" customWidth="1"/>
    <col min="11" max="11" width="12.25" style="6" bestFit="1" customWidth="1"/>
    <col min="12" max="12" width="14.875" style="6" bestFit="1" customWidth="1"/>
    <col min="13" max="13" width="16.625" style="6" bestFit="1" customWidth="1"/>
    <col min="14" max="14" width="23.5" style="6" bestFit="1" customWidth="1"/>
    <col min="15" max="15" width="23.25" style="6" bestFit="1" customWidth="1"/>
    <col min="16" max="16" width="40.75" style="6" bestFit="1" customWidth="1"/>
    <col min="17" max="17" width="57.25" style="6" bestFit="1" customWidth="1"/>
    <col min="18" max="18" width="15.25" style="6" hidden="1" customWidth="1"/>
    <col min="19" max="19" width="25.5" style="6" hidden="1" customWidth="1"/>
    <col min="20" max="20" width="6.25" style="6" hidden="1" customWidth="1"/>
    <col min="21" max="24" width="7.375" style="6" hidden="1" customWidth="1"/>
    <col min="25" max="25" width="72.25" style="6" hidden="1" customWidth="1"/>
    <col min="26" max="30" width="8" style="6" hidden="1" customWidth="1"/>
    <col min="31" max="31" width="7.375" style="6" hidden="1" customWidth="1"/>
    <col min="32" max="32" width="19.875" style="6" hidden="1" customWidth="1"/>
    <col min="33" max="33" width="44.25" style="6" hidden="1" customWidth="1"/>
    <col min="34" max="34" width="18.5" style="6" customWidth="1"/>
    <col min="35" max="35" width="18.625" style="6" bestFit="1" customWidth="1"/>
    <col min="36" max="36" width="17.875" style="6" bestFit="1" customWidth="1"/>
    <col min="37" max="37" width="23.25" style="6" bestFit="1" customWidth="1"/>
    <col min="38" max="38" width="28.5" style="6" bestFit="1" customWidth="1"/>
    <col min="39" max="40" width="8.5" style="6" bestFit="1" customWidth="1"/>
    <col min="41" max="42" width="9.125" style="6" bestFit="1" customWidth="1"/>
    <col min="43" max="44" width="8.75" style="6" bestFit="1" customWidth="1"/>
    <col min="45" max="45" width="15.375" style="6" bestFit="1" customWidth="1"/>
    <col min="46" max="46" width="16.5" style="6" bestFit="1" customWidth="1"/>
    <col min="47" max="47" width="18.875" style="6" bestFit="1" customWidth="1"/>
    <col min="48" max="48" width="18.375" style="6" bestFit="1" customWidth="1"/>
    <col min="49" max="16384" width="9" style="6"/>
  </cols>
  <sheetData>
    <row r="1" spans="1:48" s="10" customFormat="1" ht="21">
      <c r="A1"/>
      <c r="B1"/>
      <c r="AG1" s="44"/>
      <c r="AH1" s="44"/>
      <c r="AI1" s="44"/>
      <c r="AJ1" s="44"/>
      <c r="AK1" s="44"/>
      <c r="AL1" s="44"/>
      <c r="AM1" s="44"/>
      <c r="AN1" s="44"/>
      <c r="AO1" s="44"/>
      <c r="AP1" s="44"/>
    </row>
    <row r="2" spans="1:48" ht="12.75"/>
    <row r="3" spans="1:48" s="23" customFormat="1" ht="31.5" customHeight="1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7" t="s">
        <v>6</v>
      </c>
      <c r="H3" s="25" t="s">
        <v>7</v>
      </c>
      <c r="I3" s="17" t="s">
        <v>8</v>
      </c>
      <c r="J3" s="18" t="s">
        <v>9</v>
      </c>
      <c r="K3" s="18" t="s">
        <v>10</v>
      </c>
      <c r="L3" s="18" t="s">
        <v>11</v>
      </c>
      <c r="M3" s="18" t="s">
        <v>12</v>
      </c>
      <c r="N3" s="19" t="s">
        <v>13</v>
      </c>
      <c r="O3" s="19" t="s">
        <v>14</v>
      </c>
      <c r="P3" s="19" t="s">
        <v>15</v>
      </c>
      <c r="Q3" s="20" t="s">
        <v>16</v>
      </c>
      <c r="R3" s="20" t="s">
        <v>17</v>
      </c>
      <c r="S3" s="20" t="s">
        <v>18</v>
      </c>
      <c r="T3" s="20" t="s">
        <v>19</v>
      </c>
      <c r="U3" s="20" t="s">
        <v>20</v>
      </c>
      <c r="V3" s="20" t="s">
        <v>21</v>
      </c>
      <c r="W3" s="20" t="s">
        <v>22</v>
      </c>
      <c r="X3" s="20" t="s">
        <v>23</v>
      </c>
      <c r="Y3" s="20" t="s">
        <v>24</v>
      </c>
      <c r="Z3" s="20" t="s">
        <v>25</v>
      </c>
      <c r="AA3" s="20" t="s">
        <v>26</v>
      </c>
      <c r="AB3" s="20" t="s">
        <v>27</v>
      </c>
      <c r="AC3" s="20" t="s">
        <v>28</v>
      </c>
      <c r="AD3" s="20" t="s">
        <v>29</v>
      </c>
      <c r="AE3" s="20" t="s">
        <v>30</v>
      </c>
      <c r="AF3" s="20" t="s">
        <v>31</v>
      </c>
      <c r="AG3" s="20" t="s">
        <v>32</v>
      </c>
      <c r="AH3" s="20" t="s">
        <v>33</v>
      </c>
      <c r="AI3" s="21" t="s">
        <v>34</v>
      </c>
      <c r="AJ3" s="21" t="s">
        <v>35</v>
      </c>
      <c r="AK3" s="21" t="s">
        <v>36</v>
      </c>
      <c r="AL3" s="21" t="s">
        <v>37</v>
      </c>
      <c r="AM3" s="22" t="s">
        <v>38</v>
      </c>
      <c r="AN3" s="22" t="s">
        <v>39</v>
      </c>
      <c r="AO3" s="22" t="s">
        <v>40</v>
      </c>
      <c r="AP3" s="22" t="s">
        <v>41</v>
      </c>
      <c r="AQ3" s="22" t="s">
        <v>42</v>
      </c>
      <c r="AR3" s="22" t="s">
        <v>43</v>
      </c>
      <c r="AS3" s="22" t="s">
        <v>44</v>
      </c>
      <c r="AT3" s="22" t="s">
        <v>45</v>
      </c>
      <c r="AU3" s="22" t="s">
        <v>46</v>
      </c>
      <c r="AV3" s="22" t="s">
        <v>47</v>
      </c>
    </row>
    <row r="4" spans="1:48" ht="15" customHeight="1">
      <c r="B4" s="6" t="s">
        <v>48</v>
      </c>
      <c r="C4" s="7" t="s">
        <v>49</v>
      </c>
      <c r="D4" s="7"/>
      <c r="E4" s="7" t="s">
        <v>50</v>
      </c>
      <c r="F4" s="7">
        <v>6285599742</v>
      </c>
      <c r="G4" s="7"/>
      <c r="H4" s="8">
        <v>20549</v>
      </c>
      <c r="I4" s="7" t="s">
        <v>51</v>
      </c>
      <c r="J4" s="6" t="s">
        <v>30</v>
      </c>
      <c r="M4" s="6" t="s">
        <v>19</v>
      </c>
      <c r="P4" s="6">
        <f>Table1[[#This Row],[No. small slides from CellNass]]+Table1[[#This Row],[No. large slides from CellNass]]</f>
        <v>0</v>
      </c>
      <c r="Q4" s="6" t="s">
        <v>52</v>
      </c>
      <c r="R4" s="6" t="s">
        <v>53</v>
      </c>
      <c r="T4" s="6" t="s">
        <v>54</v>
      </c>
      <c r="U4" s="41" t="s">
        <v>55</v>
      </c>
      <c r="Y4" s="6" t="s">
        <v>56</v>
      </c>
      <c r="AH4" s="6" t="s">
        <v>53</v>
      </c>
    </row>
    <row r="5" spans="1:48" ht="15" customHeight="1">
      <c r="B5" s="6" t="s">
        <v>48</v>
      </c>
      <c r="C5" s="7" t="s">
        <v>49</v>
      </c>
      <c r="D5" s="7"/>
      <c r="E5" s="7" t="s">
        <v>57</v>
      </c>
      <c r="F5" s="7">
        <v>4043847211</v>
      </c>
      <c r="G5" s="8"/>
      <c r="H5" s="9">
        <v>26459</v>
      </c>
      <c r="I5" s="7" t="s">
        <v>51</v>
      </c>
      <c r="J5" s="6" t="s">
        <v>30</v>
      </c>
      <c r="L5" s="6" t="s">
        <v>19</v>
      </c>
      <c r="P5" s="6">
        <f>Table1[[#This Row],[No. small slides from CellNass]]+Table1[[#This Row],[No. large slides from CellNass]]</f>
        <v>0</v>
      </c>
      <c r="Q5" s="6" t="s">
        <v>58</v>
      </c>
      <c r="R5" s="6" t="s">
        <v>53</v>
      </c>
      <c r="T5" s="6" t="s">
        <v>59</v>
      </c>
      <c r="U5" s="6" t="s">
        <v>60</v>
      </c>
      <c r="V5" s="6" t="s">
        <v>61</v>
      </c>
      <c r="Y5" s="6" t="s">
        <v>56</v>
      </c>
      <c r="AH5" s="6" t="s">
        <v>53</v>
      </c>
    </row>
    <row r="6" spans="1:48" ht="15" customHeight="1">
      <c r="B6" s="6" t="s">
        <v>48</v>
      </c>
      <c r="C6" s="7" t="s">
        <v>49</v>
      </c>
      <c r="D6" s="7"/>
      <c r="E6" s="7" t="s">
        <v>62</v>
      </c>
      <c r="F6" s="7">
        <v>4269779721</v>
      </c>
      <c r="G6" s="8"/>
      <c r="H6" s="9">
        <v>15472</v>
      </c>
      <c r="I6" s="7" t="s">
        <v>51</v>
      </c>
      <c r="J6" s="6" t="s">
        <v>30</v>
      </c>
      <c r="L6" s="6" t="s">
        <v>19</v>
      </c>
      <c r="P6" s="6">
        <f>Table1[[#This Row],[No. small slides from CellNass]]+Table1[[#This Row],[No. large slides from CellNass]]</f>
        <v>0</v>
      </c>
      <c r="Q6" s="6" t="s">
        <v>63</v>
      </c>
      <c r="R6" s="6" t="s">
        <v>53</v>
      </c>
      <c r="T6" s="6" t="s">
        <v>54</v>
      </c>
      <c r="U6" s="6" t="s">
        <v>55</v>
      </c>
      <c r="V6" s="6" t="s">
        <v>64</v>
      </c>
      <c r="W6" s="6" t="s">
        <v>65</v>
      </c>
      <c r="X6" s="6" t="s">
        <v>66</v>
      </c>
      <c r="Y6" s="6" t="s">
        <v>67</v>
      </c>
      <c r="AH6" s="6" t="s">
        <v>53</v>
      </c>
    </row>
    <row r="7" spans="1:48" ht="15" customHeight="1">
      <c r="B7" s="6" t="s">
        <v>48</v>
      </c>
      <c r="C7" s="7" t="s">
        <v>49</v>
      </c>
      <c r="D7" s="7" t="s">
        <v>68</v>
      </c>
      <c r="E7" s="7" t="s">
        <v>69</v>
      </c>
      <c r="F7" s="7">
        <v>4123051790</v>
      </c>
      <c r="G7" s="8"/>
      <c r="H7" s="9">
        <v>33795</v>
      </c>
      <c r="I7" s="7" t="s">
        <v>51</v>
      </c>
      <c r="J7" s="6" t="s">
        <v>30</v>
      </c>
      <c r="M7" s="6" t="s">
        <v>19</v>
      </c>
      <c r="P7" s="6">
        <f>Table1[[#This Row],[No. small slides from CellNass]]+Table1[[#This Row],[No. large slides from CellNass]]</f>
        <v>0</v>
      </c>
      <c r="Q7" s="6" t="s">
        <v>70</v>
      </c>
      <c r="R7" s="6" t="s">
        <v>53</v>
      </c>
      <c r="T7" s="6" t="s">
        <v>71</v>
      </c>
      <c r="U7" s="6" t="s">
        <v>72</v>
      </c>
      <c r="Y7" s="6" t="s">
        <v>56</v>
      </c>
      <c r="Z7" s="6" t="s">
        <v>73</v>
      </c>
      <c r="AE7" s="32" t="s">
        <v>74</v>
      </c>
      <c r="AH7" s="6" t="s">
        <v>53</v>
      </c>
      <c r="AM7" s="6" t="s">
        <v>75</v>
      </c>
      <c r="AN7" s="6" t="s">
        <v>76</v>
      </c>
    </row>
    <row r="8" spans="1:48" ht="15" customHeight="1">
      <c r="B8" s="6" t="s">
        <v>48</v>
      </c>
      <c r="C8" s="7" t="s">
        <v>49</v>
      </c>
      <c r="D8" s="7"/>
      <c r="E8" s="7" t="s">
        <v>77</v>
      </c>
      <c r="F8" s="7">
        <v>4586077271</v>
      </c>
      <c r="G8" s="8"/>
      <c r="H8" s="9">
        <v>20938</v>
      </c>
      <c r="I8" s="7" t="s">
        <v>51</v>
      </c>
      <c r="J8" s="6" t="s">
        <v>30</v>
      </c>
      <c r="K8" s="6" t="s">
        <v>19</v>
      </c>
      <c r="P8" s="6">
        <f>Table1[[#This Row],[No. small slides from CellNass]]+Table1[[#This Row],[No. large slides from CellNass]]</f>
        <v>0</v>
      </c>
      <c r="Q8" s="6" t="s">
        <v>78</v>
      </c>
      <c r="R8" s="6" t="s">
        <v>53</v>
      </c>
      <c r="T8" s="6" t="s">
        <v>79</v>
      </c>
      <c r="Y8" s="6" t="s">
        <v>56</v>
      </c>
      <c r="AH8" s="6" t="s">
        <v>53</v>
      </c>
    </row>
    <row r="9" spans="1:48" ht="15" customHeight="1">
      <c r="B9" s="6" t="s">
        <v>48</v>
      </c>
      <c r="C9" s="7" t="s">
        <v>49</v>
      </c>
      <c r="D9" s="7"/>
      <c r="E9" s="7" t="s">
        <v>80</v>
      </c>
      <c r="F9" s="7">
        <v>6306070052</v>
      </c>
      <c r="G9" s="8"/>
      <c r="H9" s="9">
        <v>22031</v>
      </c>
      <c r="I9" s="7" t="s">
        <v>51</v>
      </c>
      <c r="J9" s="6" t="s">
        <v>30</v>
      </c>
      <c r="K9" s="6" t="s">
        <v>19</v>
      </c>
      <c r="P9" s="6">
        <f>Table1[[#This Row],[No. small slides from CellNass]]+Table1[[#This Row],[No. large slides from CellNass]]</f>
        <v>0</v>
      </c>
      <c r="Q9" s="6" t="s">
        <v>81</v>
      </c>
      <c r="R9" s="6" t="s">
        <v>53</v>
      </c>
      <c r="T9" s="6" t="s">
        <v>82</v>
      </c>
      <c r="U9" s="6" t="s">
        <v>72</v>
      </c>
      <c r="V9" s="6" t="s">
        <v>71</v>
      </c>
      <c r="W9" s="6" t="s">
        <v>83</v>
      </c>
      <c r="Y9" s="6" t="s">
        <v>56</v>
      </c>
      <c r="AE9" s="6" t="s">
        <v>59</v>
      </c>
      <c r="AH9" s="6" t="s">
        <v>53</v>
      </c>
    </row>
    <row r="10" spans="1:48" ht="15" customHeight="1">
      <c r="B10" s="6" t="s">
        <v>48</v>
      </c>
      <c r="C10" s="7" t="s">
        <v>49</v>
      </c>
      <c r="D10" s="7"/>
      <c r="E10" s="7" t="s">
        <v>84</v>
      </c>
      <c r="F10" s="7">
        <v>4520945275</v>
      </c>
      <c r="G10" s="8"/>
      <c r="H10" s="9">
        <v>18808</v>
      </c>
      <c r="I10" s="7" t="s">
        <v>51</v>
      </c>
      <c r="J10" s="6" t="s">
        <v>30</v>
      </c>
      <c r="L10" s="6" t="s">
        <v>19</v>
      </c>
      <c r="P10" s="6">
        <f>Table1[[#This Row],[No. small slides from CellNass]]+Table1[[#This Row],[No. large slides from CellNass]]</f>
        <v>0</v>
      </c>
      <c r="Q10" s="6" t="s">
        <v>85</v>
      </c>
      <c r="R10" s="6" t="s">
        <v>53</v>
      </c>
      <c r="T10" s="6" t="s">
        <v>71</v>
      </c>
      <c r="Y10" s="6" t="s">
        <v>56</v>
      </c>
      <c r="AH10" s="6" t="s">
        <v>53</v>
      </c>
    </row>
    <row r="11" spans="1:48" ht="15" customHeight="1">
      <c r="B11" s="6" t="s">
        <v>48</v>
      </c>
      <c r="C11" s="7" t="s">
        <v>49</v>
      </c>
      <c r="D11" s="7"/>
      <c r="E11" s="7" t="s">
        <v>86</v>
      </c>
      <c r="F11" s="7">
        <v>4583840004</v>
      </c>
      <c r="G11" s="8"/>
      <c r="H11" s="9">
        <v>20523</v>
      </c>
      <c r="I11" s="7" t="s">
        <v>51</v>
      </c>
      <c r="J11" s="6" t="s">
        <v>30</v>
      </c>
      <c r="L11" s="6" t="s">
        <v>19</v>
      </c>
      <c r="P11" s="6">
        <f>Table1[[#This Row],[No. small slides from CellNass]]+Table1[[#This Row],[No. large slides from CellNass]]</f>
        <v>0</v>
      </c>
      <c r="Q11" s="6" t="s">
        <v>87</v>
      </c>
      <c r="R11" s="6" t="s">
        <v>53</v>
      </c>
      <c r="T11" s="6" t="s">
        <v>55</v>
      </c>
      <c r="U11" s="6" t="s">
        <v>64</v>
      </c>
      <c r="Y11" s="6" t="s">
        <v>56</v>
      </c>
      <c r="AH11" s="6" t="s">
        <v>53</v>
      </c>
    </row>
    <row r="12" spans="1:48" ht="15" customHeight="1">
      <c r="B12" s="6" t="s">
        <v>48</v>
      </c>
      <c r="C12" s="7" t="s">
        <v>49</v>
      </c>
      <c r="D12" s="7"/>
      <c r="E12" s="30" t="s">
        <v>88</v>
      </c>
      <c r="F12" s="7">
        <v>4582868010</v>
      </c>
      <c r="G12" s="8"/>
      <c r="H12" s="9">
        <v>20727</v>
      </c>
      <c r="I12" s="7" t="s">
        <v>51</v>
      </c>
      <c r="J12" s="6" t="s">
        <v>30</v>
      </c>
      <c r="M12" s="6" t="s">
        <v>19</v>
      </c>
      <c r="P12" s="6">
        <v>0</v>
      </c>
      <c r="Q12" s="6" t="s">
        <v>89</v>
      </c>
      <c r="R12" s="6" t="s">
        <v>53</v>
      </c>
      <c r="Y12" s="6" t="s">
        <v>56</v>
      </c>
      <c r="AH12" s="6" t="s">
        <v>53</v>
      </c>
    </row>
    <row r="13" spans="1:48" ht="15" customHeight="1">
      <c r="B13" s="6" t="s">
        <v>48</v>
      </c>
      <c r="C13" s="7" t="s">
        <v>49</v>
      </c>
      <c r="D13" s="7"/>
      <c r="E13" s="7" t="s">
        <v>90</v>
      </c>
      <c r="F13" s="7">
        <v>4126538801</v>
      </c>
      <c r="G13" s="8"/>
      <c r="H13" s="9">
        <v>25734</v>
      </c>
      <c r="I13" s="7" t="s">
        <v>51</v>
      </c>
      <c r="J13" s="6" t="s">
        <v>30</v>
      </c>
      <c r="L13" s="6" t="s">
        <v>19</v>
      </c>
      <c r="P13" s="6">
        <f>Table1[[#This Row],[No. small slides from CellNass]]+Table1[[#This Row],[No. large slides from CellNass]]</f>
        <v>0</v>
      </c>
      <c r="Q13" s="6" t="s">
        <v>91</v>
      </c>
      <c r="R13" s="6" t="s">
        <v>53</v>
      </c>
      <c r="T13" s="6" t="s">
        <v>71</v>
      </c>
      <c r="U13" s="6" t="s">
        <v>59</v>
      </c>
      <c r="V13" s="6" t="s">
        <v>72</v>
      </c>
      <c r="W13" s="6" t="s">
        <v>83</v>
      </c>
      <c r="X13" s="6" t="s">
        <v>92</v>
      </c>
      <c r="Y13" s="6" t="s">
        <v>61</v>
      </c>
      <c r="AH13" s="6" t="s">
        <v>53</v>
      </c>
    </row>
    <row r="14" spans="1:48" ht="15" customHeight="1">
      <c r="B14" s="6" t="s">
        <v>48</v>
      </c>
      <c r="C14" s="7" t="s">
        <v>49</v>
      </c>
      <c r="D14" s="7"/>
      <c r="E14" s="31" t="s">
        <v>93</v>
      </c>
      <c r="F14" s="7">
        <v>4387703970</v>
      </c>
      <c r="G14" s="7"/>
      <c r="H14" s="9">
        <v>16384</v>
      </c>
      <c r="I14" s="7" t="s">
        <v>51</v>
      </c>
      <c r="J14" s="6" t="s">
        <v>30</v>
      </c>
      <c r="M14" s="6" t="s">
        <v>19</v>
      </c>
      <c r="P14" s="6">
        <f>Table1[[#This Row],[No. small slides from CellNass]]+Table1[[#This Row],[No. large slides from CellNass]]</f>
        <v>0</v>
      </c>
      <c r="Q14" s="6" t="s">
        <v>94</v>
      </c>
      <c r="R14" s="6" t="s">
        <v>53</v>
      </c>
      <c r="Y14" s="6" t="s">
        <v>56</v>
      </c>
      <c r="AH14" s="6" t="s">
        <v>53</v>
      </c>
    </row>
    <row r="15" spans="1:48" ht="15" customHeight="1">
      <c r="B15" s="6" t="s">
        <v>48</v>
      </c>
      <c r="C15" s="7" t="s">
        <v>49</v>
      </c>
      <c r="D15" s="7"/>
      <c r="E15" s="7" t="s">
        <v>95</v>
      </c>
      <c r="F15" s="7">
        <v>4487072239</v>
      </c>
      <c r="G15" s="7"/>
      <c r="H15" s="9">
        <v>21084</v>
      </c>
      <c r="I15" s="7" t="s">
        <v>51</v>
      </c>
      <c r="J15" s="6" t="s">
        <v>30</v>
      </c>
      <c r="M15" s="6" t="s">
        <v>19</v>
      </c>
      <c r="P15" s="6">
        <f>Table1[[#This Row],[No. small slides from CellNass]]+Table1[[#This Row],[No. large slides from CellNass]]</f>
        <v>0</v>
      </c>
      <c r="Q15" s="6" t="s">
        <v>96</v>
      </c>
      <c r="R15" s="6" t="s">
        <v>53</v>
      </c>
      <c r="T15" s="6" t="s">
        <v>72</v>
      </c>
      <c r="U15" s="6" t="s">
        <v>97</v>
      </c>
      <c r="Y15" s="6" t="s">
        <v>56</v>
      </c>
      <c r="AH15" s="6" t="s">
        <v>53</v>
      </c>
    </row>
    <row r="16" spans="1:48" ht="15" customHeight="1">
      <c r="B16" s="6" t="s">
        <v>48</v>
      </c>
      <c r="C16" s="7" t="s">
        <v>49</v>
      </c>
      <c r="D16" s="7"/>
      <c r="E16" s="7" t="s">
        <v>98</v>
      </c>
      <c r="F16" s="7">
        <v>4583305931</v>
      </c>
      <c r="G16" s="7"/>
      <c r="H16" s="9">
        <v>20256</v>
      </c>
      <c r="I16" s="7" t="s">
        <v>51</v>
      </c>
      <c r="J16" s="6" t="s">
        <v>30</v>
      </c>
      <c r="L16" s="6" t="s">
        <v>19</v>
      </c>
      <c r="P16" s="6">
        <f>Table1[[#This Row],[No. small slides from CellNass]]+Table1[[#This Row],[No. large slides from CellNass]]</f>
        <v>0</v>
      </c>
      <c r="Q16" s="6" t="s">
        <v>99</v>
      </c>
      <c r="R16" s="6" t="s">
        <v>53</v>
      </c>
      <c r="T16" s="6" t="s">
        <v>100</v>
      </c>
      <c r="U16" s="6" t="s">
        <v>101</v>
      </c>
      <c r="Y16" s="6" t="s">
        <v>56</v>
      </c>
      <c r="AH16" s="6" t="s">
        <v>53</v>
      </c>
    </row>
    <row r="17" spans="2:34" ht="15" customHeight="1">
      <c r="B17" s="6" t="s">
        <v>48</v>
      </c>
      <c r="C17" s="7" t="s">
        <v>49</v>
      </c>
      <c r="D17" s="7"/>
      <c r="E17" s="7" t="s">
        <v>102</v>
      </c>
      <c r="F17" s="7">
        <v>4089465613</v>
      </c>
      <c r="G17" s="7"/>
      <c r="H17" s="9">
        <v>28132</v>
      </c>
      <c r="I17" s="7" t="s">
        <v>51</v>
      </c>
      <c r="J17" s="6" t="s">
        <v>30</v>
      </c>
      <c r="K17" s="6" t="s">
        <v>19</v>
      </c>
      <c r="P17" s="6">
        <f>Table1[[#This Row],[No. small slides from CellNass]]+Table1[[#This Row],[No. large slides from CellNass]]</f>
        <v>0</v>
      </c>
      <c r="Q17" s="6" t="s">
        <v>96</v>
      </c>
      <c r="R17" s="6" t="s">
        <v>53</v>
      </c>
      <c r="T17" s="6" t="s">
        <v>83</v>
      </c>
      <c r="U17" s="6" t="s">
        <v>60</v>
      </c>
      <c r="Y17" s="6" t="s">
        <v>56</v>
      </c>
      <c r="AH17" s="6" t="s">
        <v>53</v>
      </c>
    </row>
    <row r="18" spans="2:34" ht="15" customHeight="1">
      <c r="B18" s="6" t="s">
        <v>48</v>
      </c>
      <c r="C18" s="7" t="s">
        <v>49</v>
      </c>
      <c r="D18" s="7"/>
      <c r="E18" s="7" t="s">
        <v>103</v>
      </c>
      <c r="F18" s="7">
        <v>4387683619</v>
      </c>
      <c r="G18" s="7"/>
      <c r="H18" s="9">
        <v>15847</v>
      </c>
      <c r="I18" s="7" t="s">
        <v>51</v>
      </c>
      <c r="J18" s="6" t="s">
        <v>30</v>
      </c>
      <c r="M18" s="6" t="s">
        <v>19</v>
      </c>
      <c r="P18" s="6">
        <f>Table1[[#This Row],[No. small slides from CellNass]]+Table1[[#This Row],[No. large slides from CellNass]]</f>
        <v>0</v>
      </c>
      <c r="Q18" s="6" t="s">
        <v>104</v>
      </c>
      <c r="R18" s="6" t="s">
        <v>53</v>
      </c>
      <c r="T18" s="6" t="s">
        <v>61</v>
      </c>
      <c r="U18" s="6" t="s">
        <v>97</v>
      </c>
      <c r="V18" s="6" t="s">
        <v>83</v>
      </c>
      <c r="W18" s="6" t="s">
        <v>60</v>
      </c>
      <c r="X18" s="41" t="s">
        <v>64</v>
      </c>
      <c r="Y18" s="42" t="s">
        <v>105</v>
      </c>
      <c r="AG18" s="6" t="s">
        <v>106</v>
      </c>
      <c r="AH18" s="6" t="s">
        <v>53</v>
      </c>
    </row>
    <row r="19" spans="2:34" ht="15" customHeight="1">
      <c r="B19" s="6" t="s">
        <v>48</v>
      </c>
      <c r="C19" s="7" t="s">
        <v>49</v>
      </c>
      <c r="D19" s="7"/>
      <c r="E19" s="7" t="s">
        <v>107</v>
      </c>
      <c r="F19" s="7">
        <v>4681403520</v>
      </c>
      <c r="G19" s="7"/>
      <c r="H19" s="9">
        <v>13762</v>
      </c>
      <c r="I19" s="7" t="s">
        <v>51</v>
      </c>
      <c r="J19" s="6" t="s">
        <v>30</v>
      </c>
      <c r="K19" s="6" t="s">
        <v>19</v>
      </c>
      <c r="P19" s="6">
        <f>Table1[[#This Row],[No. small slides from CellNass]]+Table1[[#This Row],[No. large slides from CellNass]]</f>
        <v>0</v>
      </c>
      <c r="Q19" s="6" t="s">
        <v>108</v>
      </c>
      <c r="R19" s="6" t="s">
        <v>53</v>
      </c>
      <c r="T19" s="6" t="s">
        <v>71</v>
      </c>
      <c r="Y19" s="6" t="s">
        <v>56</v>
      </c>
      <c r="AH19" s="6" t="s">
        <v>53</v>
      </c>
    </row>
    <row r="20" spans="2:34" ht="15" customHeight="1">
      <c r="B20" s="6" t="s">
        <v>48</v>
      </c>
      <c r="C20" s="7" t="s">
        <v>49</v>
      </c>
      <c r="D20" s="7"/>
      <c r="E20" s="31" t="s">
        <v>109</v>
      </c>
      <c r="F20" s="7">
        <v>4849195636</v>
      </c>
      <c r="G20" s="7"/>
      <c r="H20" s="9">
        <v>22060</v>
      </c>
      <c r="I20" s="7" t="s">
        <v>51</v>
      </c>
      <c r="J20" s="6" t="s">
        <v>30</v>
      </c>
      <c r="M20" s="6" t="s">
        <v>19</v>
      </c>
      <c r="P20" s="6">
        <f>Table1[[#This Row],[No. small slides from CellNass]]+Table1[[#This Row],[No. large slides from CellNass]]</f>
        <v>0</v>
      </c>
      <c r="Q20" s="6" t="s">
        <v>110</v>
      </c>
      <c r="R20" s="6" t="s">
        <v>53</v>
      </c>
      <c r="Y20" s="6" t="s">
        <v>56</v>
      </c>
      <c r="AH20" s="6" t="s">
        <v>53</v>
      </c>
    </row>
    <row r="21" spans="2:34" ht="15" customHeight="1">
      <c r="B21" s="6" t="s">
        <v>48</v>
      </c>
      <c r="C21" s="7" t="s">
        <v>49</v>
      </c>
      <c r="D21" s="7"/>
      <c r="E21" s="7" t="s">
        <v>111</v>
      </c>
      <c r="F21" s="7">
        <v>4089644569</v>
      </c>
      <c r="G21" s="7"/>
      <c r="H21" s="9">
        <v>28172</v>
      </c>
      <c r="I21" s="7" t="s">
        <v>51</v>
      </c>
      <c r="J21" s="6" t="s">
        <v>30</v>
      </c>
      <c r="K21" s="6" t="s">
        <v>19</v>
      </c>
      <c r="P21" s="6">
        <f>Table1[[#This Row],[No. small slides from CellNass]]+Table1[[#This Row],[No. large slides from CellNass]]</f>
        <v>0</v>
      </c>
      <c r="Q21" s="6" t="s">
        <v>112</v>
      </c>
      <c r="R21" s="6" t="s">
        <v>53</v>
      </c>
      <c r="T21" s="6" t="s">
        <v>113</v>
      </c>
      <c r="U21" s="6" t="s">
        <v>114</v>
      </c>
      <c r="Y21" s="6" t="s">
        <v>56</v>
      </c>
      <c r="AH21" s="6" t="s">
        <v>53</v>
      </c>
    </row>
    <row r="22" spans="2:34" ht="15" customHeight="1">
      <c r="B22" s="6" t="s">
        <v>48</v>
      </c>
      <c r="C22" s="7" t="s">
        <v>49</v>
      </c>
      <c r="D22" s="7"/>
      <c r="E22" s="7" t="s">
        <v>115</v>
      </c>
      <c r="F22" s="7">
        <v>4125861110</v>
      </c>
      <c r="G22" s="7"/>
      <c r="H22" s="9">
        <v>24697</v>
      </c>
      <c r="I22" s="7" t="s">
        <v>51</v>
      </c>
      <c r="J22" s="6" t="s">
        <v>30</v>
      </c>
      <c r="K22" s="6" t="s">
        <v>19</v>
      </c>
      <c r="P22" s="6">
        <f>Table1[[#This Row],[No. small slides from CellNass]]+Table1[[#This Row],[No. large slides from CellNass]]</f>
        <v>0</v>
      </c>
      <c r="Q22" s="6" t="s">
        <v>116</v>
      </c>
      <c r="R22" s="6" t="s">
        <v>53</v>
      </c>
      <c r="T22" s="6" t="s">
        <v>117</v>
      </c>
      <c r="Y22" s="6" t="s">
        <v>56</v>
      </c>
      <c r="AH22" s="6" t="s">
        <v>53</v>
      </c>
    </row>
    <row r="23" spans="2:34" ht="15" customHeight="1">
      <c r="B23" s="6" t="s">
        <v>48</v>
      </c>
      <c r="C23" s="7" t="s">
        <v>49</v>
      </c>
      <c r="D23" s="7"/>
      <c r="E23" s="7" t="s">
        <v>118</v>
      </c>
      <c r="F23" s="7">
        <v>4509073534</v>
      </c>
      <c r="G23" s="7"/>
      <c r="H23" s="9">
        <v>17897</v>
      </c>
      <c r="I23" s="7" t="s">
        <v>51</v>
      </c>
      <c r="J23" s="6" t="s">
        <v>30</v>
      </c>
      <c r="M23" s="6" t="s">
        <v>19</v>
      </c>
      <c r="P23" s="6">
        <f>Table1[[#This Row],[No. small slides from CellNass]]+Table1[[#This Row],[No. large slides from CellNass]]</f>
        <v>0</v>
      </c>
      <c r="Q23" s="6" t="s">
        <v>119</v>
      </c>
      <c r="R23" s="6" t="s">
        <v>53</v>
      </c>
      <c r="T23" s="6" t="s">
        <v>117</v>
      </c>
      <c r="U23" s="6" t="s">
        <v>120</v>
      </c>
      <c r="V23" s="6" t="s">
        <v>121</v>
      </c>
      <c r="W23" s="6" t="s">
        <v>122</v>
      </c>
      <c r="X23" s="6" t="s">
        <v>123</v>
      </c>
      <c r="Y23" s="6" t="s">
        <v>56</v>
      </c>
      <c r="AH23" s="6" t="s">
        <v>53</v>
      </c>
    </row>
    <row r="24" spans="2:34" ht="15" customHeight="1">
      <c r="B24" s="6" t="s">
        <v>48</v>
      </c>
      <c r="C24" s="7" t="s">
        <v>49</v>
      </c>
      <c r="D24" s="7"/>
      <c r="E24" s="7" t="s">
        <v>124</v>
      </c>
      <c r="F24" s="7">
        <v>4849578608</v>
      </c>
      <c r="G24" s="7"/>
      <c r="H24" s="9">
        <v>22939</v>
      </c>
      <c r="I24" s="7" t="s">
        <v>51</v>
      </c>
      <c r="J24" s="6" t="s">
        <v>30</v>
      </c>
      <c r="M24" s="6" t="s">
        <v>19</v>
      </c>
      <c r="P24" s="6">
        <f>Table1[[#This Row],[No. small slides from CellNass]]+Table1[[#This Row],[No. large slides from CellNass]]</f>
        <v>0</v>
      </c>
      <c r="Q24" s="6" t="s">
        <v>125</v>
      </c>
      <c r="R24" s="6" t="s">
        <v>53</v>
      </c>
      <c r="T24" s="6" t="s">
        <v>126</v>
      </c>
      <c r="U24" s="6" t="s">
        <v>127</v>
      </c>
      <c r="V24" s="6" t="s">
        <v>113</v>
      </c>
      <c r="W24" s="6" t="s">
        <v>128</v>
      </c>
      <c r="X24" s="6" t="s">
        <v>129</v>
      </c>
      <c r="Y24" s="6" t="s">
        <v>130</v>
      </c>
      <c r="AH24" s="6" t="s">
        <v>53</v>
      </c>
    </row>
    <row r="25" spans="2:34" ht="15" customHeight="1">
      <c r="B25" s="6" t="s">
        <v>48</v>
      </c>
      <c r="C25" s="7" t="s">
        <v>49</v>
      </c>
      <c r="D25" s="7"/>
      <c r="E25" s="7" t="s">
        <v>131</v>
      </c>
      <c r="F25" s="7">
        <v>4681060224</v>
      </c>
      <c r="G25" s="7"/>
      <c r="H25" s="9">
        <v>15872</v>
      </c>
      <c r="I25" s="7" t="s">
        <v>51</v>
      </c>
      <c r="J25" s="6" t="s">
        <v>30</v>
      </c>
      <c r="K25" s="6" t="s">
        <v>19</v>
      </c>
      <c r="P25" s="6">
        <f>Table1[[#This Row],[No. small slides from CellNass]]+Table1[[#This Row],[No. large slides from CellNass]]</f>
        <v>0</v>
      </c>
      <c r="Q25" s="6" t="s">
        <v>132</v>
      </c>
      <c r="R25" s="6" t="s">
        <v>53</v>
      </c>
      <c r="T25" s="6" t="s">
        <v>133</v>
      </c>
      <c r="U25" s="6" t="s">
        <v>134</v>
      </c>
      <c r="V25" s="6" t="s">
        <v>135</v>
      </c>
      <c r="W25" s="6" t="s">
        <v>136</v>
      </c>
      <c r="X25" s="6" t="s">
        <v>67</v>
      </c>
      <c r="Y25" s="6" t="s">
        <v>137</v>
      </c>
      <c r="AF25" s="6" t="s">
        <v>138</v>
      </c>
      <c r="AH25" s="6" t="s">
        <v>53</v>
      </c>
    </row>
    <row r="26" spans="2:34" ht="15" customHeight="1">
      <c r="B26" s="6" t="s">
        <v>48</v>
      </c>
      <c r="C26" s="7" t="s">
        <v>49</v>
      </c>
      <c r="D26" s="7"/>
      <c r="E26" s="29" t="s">
        <v>139</v>
      </c>
      <c r="F26" s="28">
        <v>4521145515</v>
      </c>
      <c r="G26" s="7"/>
      <c r="H26" s="9">
        <v>19300</v>
      </c>
      <c r="I26" s="7" t="s">
        <v>51</v>
      </c>
      <c r="J26" s="6" t="s">
        <v>30</v>
      </c>
      <c r="L26" s="6" t="s">
        <v>19</v>
      </c>
      <c r="P26" s="6">
        <f>Table1[[#This Row],[No. small slides from CellNass]]+Table1[[#This Row],[No. large slides from CellNass]]</f>
        <v>0</v>
      </c>
      <c r="Q26" s="6" t="s">
        <v>140</v>
      </c>
      <c r="R26" s="6" t="s">
        <v>53</v>
      </c>
      <c r="T26" s="6" t="s">
        <v>141</v>
      </c>
      <c r="U26" s="6" t="s">
        <v>101</v>
      </c>
      <c r="V26" s="6" t="s">
        <v>142</v>
      </c>
      <c r="W26" s="6" t="s">
        <v>65</v>
      </c>
      <c r="X26" s="6" t="s">
        <v>120</v>
      </c>
      <c r="Y26" s="43" t="s">
        <v>143</v>
      </c>
      <c r="AF26" s="6" t="s">
        <v>66</v>
      </c>
      <c r="AH26" s="6" t="s">
        <v>53</v>
      </c>
    </row>
    <row r="27" spans="2:34" ht="15" customHeight="1">
      <c r="B27" s="6" t="s">
        <v>48</v>
      </c>
      <c r="C27" s="7" t="s">
        <v>49</v>
      </c>
      <c r="D27" s="7"/>
      <c r="E27" s="7" t="s">
        <v>144</v>
      </c>
      <c r="F27" s="28">
        <v>4583735545</v>
      </c>
      <c r="G27" s="7"/>
      <c r="H27" s="9">
        <v>20646</v>
      </c>
      <c r="I27" s="6" t="s">
        <v>51</v>
      </c>
      <c r="J27" s="6" t="s">
        <v>30</v>
      </c>
      <c r="L27" s="6" t="s">
        <v>19</v>
      </c>
      <c r="P27" s="6">
        <f>Table1[[#This Row],[No. small slides from CellNass]]+Table1[[#This Row],[No. large slides from CellNass]]</f>
        <v>0</v>
      </c>
      <c r="Q27" s="6" t="s">
        <v>145</v>
      </c>
      <c r="R27" s="6" t="s">
        <v>53</v>
      </c>
      <c r="T27" s="6" t="s">
        <v>146</v>
      </c>
      <c r="U27" s="6" t="s">
        <v>147</v>
      </c>
      <c r="V27" s="6" t="s">
        <v>55</v>
      </c>
      <c r="W27" s="6" t="s">
        <v>148</v>
      </c>
      <c r="X27" s="6" t="s">
        <v>142</v>
      </c>
      <c r="Y27" s="6" t="s">
        <v>66</v>
      </c>
      <c r="AH27" s="6" t="s">
        <v>53</v>
      </c>
    </row>
    <row r="28" spans="2:34" ht="15" customHeight="1">
      <c r="B28" s="6" t="s">
        <v>48</v>
      </c>
      <c r="C28" s="7" t="s">
        <v>49</v>
      </c>
      <c r="D28" s="7"/>
      <c r="E28" s="7" t="s">
        <v>149</v>
      </c>
      <c r="F28" s="28">
        <v>4866322748</v>
      </c>
      <c r="G28" s="7"/>
      <c r="H28" s="9">
        <v>18098</v>
      </c>
      <c r="I28" s="6" t="s">
        <v>51</v>
      </c>
      <c r="J28" s="6" t="s">
        <v>30</v>
      </c>
      <c r="M28" s="6" t="s">
        <v>19</v>
      </c>
      <c r="P28" s="6">
        <f>Table1[[#This Row],[No. small slides from CellNass]]+Table1[[#This Row],[No. large slides from CellNass]]</f>
        <v>0</v>
      </c>
      <c r="Q28" s="6" t="s">
        <v>150</v>
      </c>
      <c r="R28" s="6" t="s">
        <v>53</v>
      </c>
      <c r="T28" s="6" t="s">
        <v>92</v>
      </c>
      <c r="U28" s="6" t="s">
        <v>79</v>
      </c>
      <c r="V28" s="6" t="s">
        <v>72</v>
      </c>
      <c r="W28" s="6" t="s">
        <v>83</v>
      </c>
      <c r="Y28" s="6" t="s">
        <v>56</v>
      </c>
      <c r="AH28" s="6" t="s">
        <v>53</v>
      </c>
    </row>
    <row r="29" spans="2:34" ht="15" customHeight="1">
      <c r="B29" s="6" t="s">
        <v>48</v>
      </c>
      <c r="C29" s="7" t="s">
        <v>49</v>
      </c>
      <c r="D29" s="7"/>
      <c r="E29" s="7" t="s">
        <v>151</v>
      </c>
      <c r="F29" s="28">
        <v>4809479994</v>
      </c>
      <c r="G29" s="7"/>
      <c r="H29" s="9">
        <v>23137</v>
      </c>
      <c r="I29" s="6" t="s">
        <v>51</v>
      </c>
      <c r="J29" s="6" t="s">
        <v>30</v>
      </c>
      <c r="M29" s="6" t="s">
        <v>19</v>
      </c>
      <c r="P29" s="6">
        <f>Table1[[#This Row],[No. small slides from CellNass]]+Table1[[#This Row],[No. large slides from CellNass]]</f>
        <v>0</v>
      </c>
      <c r="Q29" s="6" t="s">
        <v>152</v>
      </c>
      <c r="R29" s="6" t="s">
        <v>53</v>
      </c>
      <c r="T29" s="6" t="s">
        <v>146</v>
      </c>
      <c r="U29" s="6" t="s">
        <v>54</v>
      </c>
      <c r="V29" s="6" t="s">
        <v>55</v>
      </c>
      <c r="W29" s="6" t="s">
        <v>66</v>
      </c>
      <c r="X29" s="6" t="s">
        <v>67</v>
      </c>
      <c r="Y29" s="6" t="s">
        <v>65</v>
      </c>
      <c r="AF29" s="6" t="s">
        <v>153</v>
      </c>
      <c r="AH29" s="6" t="s">
        <v>53</v>
      </c>
    </row>
    <row r="30" spans="2:34" ht="15" customHeight="1">
      <c r="B30" s="6" t="s">
        <v>48</v>
      </c>
      <c r="C30" s="7" t="s">
        <v>49</v>
      </c>
      <c r="D30" s="7"/>
      <c r="E30" s="7" t="s">
        <v>154</v>
      </c>
      <c r="F30" s="28">
        <v>7371532708</v>
      </c>
      <c r="G30" s="7"/>
      <c r="H30" s="9">
        <v>22647</v>
      </c>
      <c r="I30" s="6" t="s">
        <v>51</v>
      </c>
      <c r="J30" s="6" t="s">
        <v>30</v>
      </c>
      <c r="M30" s="6" t="s">
        <v>19</v>
      </c>
      <c r="P30" s="6">
        <f>Table1[[#This Row],[No. small slides from CellNass]]+Table1[[#This Row],[No. large slides from CellNass]]</f>
        <v>0</v>
      </c>
      <c r="Q30" s="6" t="s">
        <v>155</v>
      </c>
      <c r="R30" s="6" t="s">
        <v>53</v>
      </c>
      <c r="T30" s="6" t="s">
        <v>142</v>
      </c>
      <c r="U30" s="6" t="s">
        <v>65</v>
      </c>
      <c r="V30" s="6" t="s">
        <v>66</v>
      </c>
      <c r="W30" s="6" t="s">
        <v>148</v>
      </c>
      <c r="X30" s="6" t="s">
        <v>123</v>
      </c>
      <c r="Y30" s="6" t="s">
        <v>156</v>
      </c>
      <c r="AF30" s="6" t="s">
        <v>64</v>
      </c>
      <c r="AH30" s="6" t="s">
        <v>53</v>
      </c>
    </row>
    <row r="31" spans="2:34" ht="15" customHeight="1">
      <c r="B31" s="6" t="s">
        <v>48</v>
      </c>
      <c r="C31" s="7" t="s">
        <v>49</v>
      </c>
      <c r="D31" s="7"/>
      <c r="E31" s="7" t="s">
        <v>157</v>
      </c>
      <c r="F31" s="28">
        <v>4509345127</v>
      </c>
      <c r="G31" s="7"/>
      <c r="H31" s="9">
        <v>18381</v>
      </c>
      <c r="I31" s="6" t="s">
        <v>51</v>
      </c>
      <c r="J31" s="6" t="s">
        <v>30</v>
      </c>
      <c r="K31" s="6" t="s">
        <v>19</v>
      </c>
      <c r="P31" s="6">
        <f>Table1[[#This Row],[No. small slides from CellNass]]+Table1[[#This Row],[No. large slides from CellNass]]</f>
        <v>0</v>
      </c>
      <c r="Q31" s="6" t="s">
        <v>158</v>
      </c>
      <c r="R31" s="6" t="s">
        <v>53</v>
      </c>
      <c r="T31" s="6" t="s">
        <v>159</v>
      </c>
      <c r="U31" s="6" t="s">
        <v>160</v>
      </c>
      <c r="V31" s="6" t="s">
        <v>122</v>
      </c>
      <c r="W31" s="6" t="s">
        <v>161</v>
      </c>
      <c r="X31" s="6" t="s">
        <v>120</v>
      </c>
      <c r="Y31" s="6" t="s">
        <v>162</v>
      </c>
      <c r="AH31" s="6" t="s">
        <v>53</v>
      </c>
    </row>
    <row r="32" spans="2:34" ht="15" customHeight="1">
      <c r="B32" s="6" t="s">
        <v>48</v>
      </c>
      <c r="C32" s="7" t="s">
        <v>49</v>
      </c>
      <c r="D32" s="7"/>
      <c r="E32" s="7" t="s">
        <v>163</v>
      </c>
      <c r="F32" s="28">
        <v>4160603211</v>
      </c>
      <c r="G32" s="7"/>
      <c r="H32" s="9">
        <v>24300</v>
      </c>
      <c r="I32" s="6" t="s">
        <v>51</v>
      </c>
      <c r="J32" s="6" t="s">
        <v>30</v>
      </c>
      <c r="M32" s="6" t="s">
        <v>19</v>
      </c>
      <c r="P32" s="6">
        <f>Table1[[#This Row],[No. small slides from CellNass]]+Table1[[#This Row],[No. large slides from CellNass]]</f>
        <v>0</v>
      </c>
      <c r="Q32" s="6" t="s">
        <v>164</v>
      </c>
      <c r="R32" s="6" t="s">
        <v>53</v>
      </c>
      <c r="T32" s="6" t="s">
        <v>165</v>
      </c>
      <c r="Y32" s="6" t="s">
        <v>56</v>
      </c>
      <c r="AH32" s="6" t="s">
        <v>53</v>
      </c>
    </row>
    <row r="33" spans="1:48" ht="15" customHeight="1">
      <c r="B33" s="6" t="s">
        <v>48</v>
      </c>
      <c r="C33" s="7" t="s">
        <v>49</v>
      </c>
      <c r="D33" s="7"/>
      <c r="E33" s="7" t="s">
        <v>166</v>
      </c>
      <c r="F33" s="28">
        <v>6506618779</v>
      </c>
      <c r="G33" s="7"/>
      <c r="H33" s="9">
        <v>19054</v>
      </c>
      <c r="I33" s="6" t="s">
        <v>51</v>
      </c>
      <c r="J33" s="6" t="s">
        <v>30</v>
      </c>
      <c r="L33" s="6" t="s">
        <v>19</v>
      </c>
      <c r="P33" s="6">
        <f>Table1[[#This Row],[No. small slides from CellNass]]+Table1[[#This Row],[No. large slides from CellNass]]</f>
        <v>0</v>
      </c>
      <c r="Q33" s="6" t="s">
        <v>167</v>
      </c>
      <c r="R33" s="6" t="s">
        <v>53</v>
      </c>
      <c r="T33" s="6" t="s">
        <v>168</v>
      </c>
      <c r="U33" s="6" t="s">
        <v>169</v>
      </c>
      <c r="V33" s="6" t="s">
        <v>170</v>
      </c>
      <c r="Y33" s="6" t="s">
        <v>56</v>
      </c>
      <c r="AF33" s="6" t="s">
        <v>171</v>
      </c>
      <c r="AH33" s="6" t="s">
        <v>53</v>
      </c>
    </row>
    <row r="34" spans="1:48" ht="15" customHeight="1">
      <c r="B34" s="6" t="s">
        <v>48</v>
      </c>
      <c r="C34" s="7" t="s">
        <v>49</v>
      </c>
      <c r="D34" s="7"/>
      <c r="E34" s="7" t="s">
        <v>172</v>
      </c>
      <c r="F34" s="28">
        <v>4860644239</v>
      </c>
      <c r="G34" s="7"/>
      <c r="H34" s="9">
        <v>22514</v>
      </c>
      <c r="I34" s="6" t="s">
        <v>51</v>
      </c>
      <c r="J34" s="6" t="s">
        <v>30</v>
      </c>
      <c r="K34" s="6" t="s">
        <v>19</v>
      </c>
      <c r="P34" s="6">
        <f>Table1[[#This Row],[No. small slides from CellNass]]+Table1[[#This Row],[No. large slides from CellNass]]</f>
        <v>0</v>
      </c>
      <c r="Q34" s="6" t="s">
        <v>173</v>
      </c>
      <c r="R34" s="6" t="s">
        <v>53</v>
      </c>
      <c r="T34" s="6" t="s">
        <v>174</v>
      </c>
      <c r="U34" s="6" t="s">
        <v>165</v>
      </c>
      <c r="V34" s="6" t="s">
        <v>101</v>
      </c>
      <c r="Y34" s="6" t="s">
        <v>56</v>
      </c>
      <c r="AH34" s="6" t="s">
        <v>53</v>
      </c>
    </row>
    <row r="35" spans="1:48" ht="15" customHeight="1">
      <c r="B35" s="6" t="s">
        <v>48</v>
      </c>
      <c r="C35" s="7" t="s">
        <v>49</v>
      </c>
      <c r="D35" s="7"/>
      <c r="E35" s="7" t="s">
        <v>175</v>
      </c>
      <c r="F35" s="28">
        <v>4581702046</v>
      </c>
      <c r="G35" s="7"/>
      <c r="H35" s="9">
        <v>19326</v>
      </c>
      <c r="I35" s="6" t="s">
        <v>51</v>
      </c>
      <c r="J35" s="6" t="s">
        <v>30</v>
      </c>
      <c r="M35" s="6" t="s">
        <v>19</v>
      </c>
      <c r="P35" s="6">
        <f>Table1[[#This Row],[No. small slides from CellNass]]+Table1[[#This Row],[No. large slides from CellNass]]</f>
        <v>0</v>
      </c>
      <c r="Q35" s="6" t="s">
        <v>176</v>
      </c>
      <c r="R35" s="6" t="s">
        <v>53</v>
      </c>
      <c r="T35" s="6" t="s">
        <v>148</v>
      </c>
      <c r="U35" s="6" t="s">
        <v>64</v>
      </c>
      <c r="V35" s="6" t="s">
        <v>177</v>
      </c>
      <c r="W35" s="6" t="s">
        <v>178</v>
      </c>
      <c r="X35" s="6" t="s">
        <v>179</v>
      </c>
      <c r="Y35" s="6" t="s">
        <v>180</v>
      </c>
      <c r="AF35" s="6" t="s">
        <v>181</v>
      </c>
      <c r="AH35" s="6" t="s">
        <v>53</v>
      </c>
    </row>
    <row r="36" spans="1:48" ht="15" customHeight="1">
      <c r="B36" s="6" t="s">
        <v>48</v>
      </c>
      <c r="C36" s="7" t="s">
        <v>49</v>
      </c>
      <c r="D36" s="7"/>
      <c r="E36" s="7" t="s">
        <v>182</v>
      </c>
      <c r="F36" s="28">
        <v>4382773563</v>
      </c>
      <c r="G36" s="7"/>
      <c r="H36" s="9">
        <v>15170</v>
      </c>
      <c r="I36" s="6" t="s">
        <v>51</v>
      </c>
      <c r="J36" s="6" t="s">
        <v>30</v>
      </c>
      <c r="M36" s="6" t="s">
        <v>19</v>
      </c>
      <c r="P36" s="6">
        <f>Table1[[#This Row],[No. small slides from CellNass]]+Table1[[#This Row],[No. large slides from CellNass]]</f>
        <v>0</v>
      </c>
      <c r="Q36" s="6" t="s">
        <v>183</v>
      </c>
      <c r="R36" s="6" t="s">
        <v>53</v>
      </c>
      <c r="T36" s="6" t="s">
        <v>147</v>
      </c>
      <c r="U36" s="6" t="s">
        <v>184</v>
      </c>
      <c r="V36" s="6" t="s">
        <v>117</v>
      </c>
      <c r="W36" s="6" t="s">
        <v>161</v>
      </c>
      <c r="X36" s="6" t="s">
        <v>120</v>
      </c>
      <c r="Y36" s="6" t="s">
        <v>185</v>
      </c>
      <c r="AF36" s="6" t="s">
        <v>186</v>
      </c>
      <c r="AH36" s="6" t="s">
        <v>53</v>
      </c>
    </row>
    <row r="37" spans="1:48" ht="15" customHeight="1">
      <c r="B37" s="6" t="s">
        <v>48</v>
      </c>
      <c r="C37" s="7" t="s">
        <v>49</v>
      </c>
      <c r="D37" s="7"/>
      <c r="E37" s="7" t="s">
        <v>187</v>
      </c>
      <c r="F37" s="28">
        <v>4581555094</v>
      </c>
      <c r="G37" s="7"/>
      <c r="H37" s="9">
        <v>19430</v>
      </c>
      <c r="I37" s="6" t="s">
        <v>51</v>
      </c>
      <c r="J37" s="6" t="s">
        <v>30</v>
      </c>
      <c r="M37" s="6" t="s">
        <v>19</v>
      </c>
      <c r="P37" s="6">
        <f>Table1[[#This Row],[No. small slides from CellNass]]+Table1[[#This Row],[No. large slides from CellNass]]</f>
        <v>0</v>
      </c>
      <c r="Q37" s="6" t="s">
        <v>188</v>
      </c>
      <c r="R37" s="6" t="s">
        <v>53</v>
      </c>
      <c r="T37" s="6" t="s">
        <v>82</v>
      </c>
      <c r="U37" s="6" t="s">
        <v>79</v>
      </c>
      <c r="V37" s="6" t="s">
        <v>71</v>
      </c>
      <c r="W37" s="6" t="s">
        <v>72</v>
      </c>
      <c r="Y37" s="6" t="s">
        <v>56</v>
      </c>
      <c r="AH37" s="6" t="s">
        <v>53</v>
      </c>
    </row>
    <row r="38" spans="1:48" ht="15" customHeight="1">
      <c r="B38" s="6" t="s">
        <v>48</v>
      </c>
      <c r="C38" s="7" t="s">
        <v>49</v>
      </c>
      <c r="D38" s="7"/>
      <c r="E38" s="7" t="s">
        <v>189</v>
      </c>
      <c r="F38" s="28">
        <v>4387587997</v>
      </c>
      <c r="G38" s="7"/>
      <c r="H38" s="9">
        <v>16983</v>
      </c>
      <c r="I38" s="6" t="s">
        <v>51</v>
      </c>
      <c r="J38" s="6" t="s">
        <v>30</v>
      </c>
      <c r="L38" s="6" t="s">
        <v>19</v>
      </c>
      <c r="P38" s="6">
        <f>Table1[[#This Row],[No. small slides from CellNass]]+Table1[[#This Row],[No. large slides from CellNass]]</f>
        <v>0</v>
      </c>
      <c r="Q38" s="6" t="s">
        <v>190</v>
      </c>
      <c r="R38" s="6" t="s">
        <v>53</v>
      </c>
      <c r="T38" s="6" t="s">
        <v>159</v>
      </c>
      <c r="U38" s="6" t="s">
        <v>191</v>
      </c>
      <c r="V38" s="6" t="s">
        <v>192</v>
      </c>
      <c r="W38" s="6" t="s">
        <v>193</v>
      </c>
      <c r="X38" s="6" t="s">
        <v>117</v>
      </c>
      <c r="Y38" s="42" t="s">
        <v>194</v>
      </c>
      <c r="AH38" s="6" t="s">
        <v>53</v>
      </c>
    </row>
    <row r="39" spans="1:48" ht="15" customHeight="1">
      <c r="B39" s="6" t="s">
        <v>48</v>
      </c>
      <c r="C39" s="7" t="s">
        <v>49</v>
      </c>
      <c r="D39" s="7"/>
      <c r="E39" s="7" t="s">
        <v>195</v>
      </c>
      <c r="F39" s="28">
        <v>4583616562</v>
      </c>
      <c r="G39" s="7"/>
      <c r="H39" s="9">
        <v>20376</v>
      </c>
      <c r="I39" s="6" t="s">
        <v>51</v>
      </c>
      <c r="J39" s="6" t="s">
        <v>30</v>
      </c>
      <c r="K39" s="6" t="s">
        <v>19</v>
      </c>
      <c r="P39" s="6">
        <f>Table1[[#This Row],[No. small slides from CellNass]]+Table1[[#This Row],[No. large slides from CellNass]]</f>
        <v>0</v>
      </c>
      <c r="Q39" s="6" t="s">
        <v>196</v>
      </c>
      <c r="R39" s="6" t="s">
        <v>53</v>
      </c>
      <c r="T39" s="6" t="s">
        <v>101</v>
      </c>
      <c r="U39" s="6" t="s">
        <v>117</v>
      </c>
      <c r="V39" s="6" t="s">
        <v>121</v>
      </c>
      <c r="W39" s="6" t="s">
        <v>120</v>
      </c>
      <c r="X39" s="6" t="s">
        <v>161</v>
      </c>
      <c r="Y39" s="6" t="s">
        <v>67</v>
      </c>
      <c r="AH39" s="6" t="s">
        <v>53</v>
      </c>
    </row>
    <row r="40" spans="1:48" ht="15" customHeight="1">
      <c r="B40" s="6" t="s">
        <v>48</v>
      </c>
      <c r="C40" s="7" t="s">
        <v>49</v>
      </c>
      <c r="D40" s="7"/>
      <c r="E40" s="7" t="s">
        <v>197</v>
      </c>
      <c r="F40" s="28">
        <v>4568062527</v>
      </c>
      <c r="G40" s="7"/>
      <c r="H40" s="9">
        <v>20366</v>
      </c>
      <c r="I40" s="6" t="s">
        <v>51</v>
      </c>
      <c r="J40" s="6" t="s">
        <v>30</v>
      </c>
      <c r="K40" s="6" t="s">
        <v>19</v>
      </c>
      <c r="P40" s="6">
        <f>Table1[[#This Row],[No. small slides from CellNass]]+Table1[[#This Row],[No. large slides from CellNass]]</f>
        <v>0</v>
      </c>
      <c r="Q40" s="6" t="s">
        <v>198</v>
      </c>
      <c r="R40" s="6" t="s">
        <v>53</v>
      </c>
      <c r="T40" s="6" t="s">
        <v>55</v>
      </c>
      <c r="U40" s="6" t="s">
        <v>142</v>
      </c>
      <c r="V40" s="6" t="s">
        <v>148</v>
      </c>
      <c r="W40" s="6" t="s">
        <v>82</v>
      </c>
      <c r="Y40" s="6" t="s">
        <v>56</v>
      </c>
      <c r="AF40" s="6" t="s">
        <v>199</v>
      </c>
      <c r="AH40" s="6" t="s">
        <v>53</v>
      </c>
    </row>
    <row r="41" spans="1:48" ht="15" customHeight="1">
      <c r="A41" s="26">
        <f>COUNTA(Table1[Rejected])</f>
        <v>0</v>
      </c>
      <c r="B41" s="26">
        <f>COUNTA(Table1[Sample origin])</f>
        <v>37</v>
      </c>
      <c r="C41" s="26">
        <f>COUNTA(Table1[Tissue Pathway])</f>
        <v>37</v>
      </c>
      <c r="D41" s="26">
        <f>COUNTA(Table1[Specimen Notes])</f>
        <v>1</v>
      </c>
      <c r="E41" s="26">
        <f>COUNTA(Table1[Specimen number])</f>
        <v>37</v>
      </c>
      <c r="F41" s="26">
        <f>COUNTA(Table1[NHS numbers])</f>
        <v>37</v>
      </c>
      <c r="G41" s="26">
        <f>COUNTA(Table1[Additional patient info])</f>
        <v>0</v>
      </c>
      <c r="H41" s="26">
        <f>COUNTA(Table1[DOB])</f>
        <v>37</v>
      </c>
      <c r="I41" s="26">
        <f>COUNTA(Table1[Gender])</f>
        <v>37</v>
      </c>
      <c r="J41" s="26">
        <f>COUNTA(Table1[Dissent Y/N])</f>
        <v>37</v>
      </c>
      <c r="K41" s="26">
        <f>COUNTA(Table1[Consent])</f>
        <v>11</v>
      </c>
      <c r="L41" s="26">
        <f>COUNTA(Table1[Form Incomplete])</f>
        <v>10</v>
      </c>
      <c r="M41" s="26">
        <f>COUNTA(Table1[Form missing])</f>
        <v>16</v>
      </c>
      <c r="N41" s="26">
        <f>COUNTA(Table1[No. small slides from CellNass])</f>
        <v>0</v>
      </c>
      <c r="O41" s="26">
        <f>COUNTA(Table1[No. large slides from CellNass])</f>
        <v>0</v>
      </c>
      <c r="P41" s="26">
        <f>COUNTA(Table1[Total no. of slides received from CellNass])</f>
        <v>37</v>
      </c>
      <c r="Q41" s="26">
        <f>COUNTA(Table1[Slides Collected])</f>
        <v>37</v>
      </c>
      <c r="R41" s="26">
        <f>COUNTA(Table1[CoPath (SC)])</f>
        <v>37</v>
      </c>
      <c r="S41" s="26">
        <f>COUNTA(Table1[Slides Missing (if any…)])</f>
        <v>0</v>
      </c>
      <c r="T41" s="26">
        <f>COUNTA(Table1[X])</f>
        <v>34</v>
      </c>
      <c r="U41" s="26">
        <f>COUNTA(Table1[P1])</f>
        <v>29</v>
      </c>
      <c r="V41" s="26">
        <f>COUNTA(Table1[P2])</f>
        <v>22</v>
      </c>
      <c r="W41" s="26">
        <f>COUNTA(Table1[P3])</f>
        <v>19</v>
      </c>
      <c r="X41" s="26">
        <f>COUNTA(Table1[P4])</f>
        <v>15</v>
      </c>
      <c r="Y41" s="26"/>
      <c r="Z41" s="26">
        <f>COUNTA(Table1[M1])</f>
        <v>1</v>
      </c>
      <c r="AA41" s="26">
        <f>COUNTA(Table1[M2])</f>
        <v>0</v>
      </c>
      <c r="AB41" s="26">
        <f>COUNTA(Table1[M3])</f>
        <v>0</v>
      </c>
      <c r="AC41" s="26">
        <f>COUNTA(Table1[M4])</f>
        <v>0</v>
      </c>
      <c r="AD41" s="26">
        <f>COUNTA(Table1[M5])</f>
        <v>0</v>
      </c>
      <c r="AE41" s="26">
        <f>COUNTA(Table1[N])</f>
        <v>2</v>
      </c>
      <c r="AF41" s="26">
        <f>COUNTA(Table1[S])</f>
        <v>8</v>
      </c>
      <c r="AG41" s="26">
        <f>COUNTA(Table1[Selected Slides Notes])</f>
        <v>1</v>
      </c>
      <c r="AH41" s="26">
        <f>COUNTA(Table1[CoPath Slide Returns (Post Scan)])</f>
        <v>37</v>
      </c>
      <c r="AI41" s="26">
        <f>COUNTA(Table1[X Block present])</f>
        <v>0</v>
      </c>
      <c r="AJ41" s="26">
        <f>COUNTA(Table1[Blocks Missing])</f>
        <v>0</v>
      </c>
      <c r="AK41" s="26">
        <f>COUNTA(Table1[Blocks received from CellNass])</f>
        <v>0</v>
      </c>
      <c r="AL41" s="26">
        <f>COUNTA(Table1[Number of blocks received from CellNass])</f>
        <v>0</v>
      </c>
      <c r="AM41" s="26">
        <f>COUNTA(Table1[PB1])</f>
        <v>1</v>
      </c>
      <c r="AN41" s="26">
        <f>COUNTA(Table1[PB2])</f>
        <v>1</v>
      </c>
      <c r="AO41" s="26">
        <f>COUNTA(Table1[MB1])</f>
        <v>0</v>
      </c>
      <c r="AP41" s="26">
        <f>COUNTA(Table1[MB2])</f>
        <v>0</v>
      </c>
      <c r="AQ41" s="26">
        <f>COUNTA(Table1[NB1])</f>
        <v>0</v>
      </c>
      <c r="AR41" s="26">
        <f>COUNTA(Table1[NB2])</f>
        <v>0</v>
      </c>
      <c r="AS41" s="26">
        <f>COUNTA(Table1[CoPath (BC)])</f>
        <v>0</v>
      </c>
      <c r="AT41" s="26">
        <f>COUNTA(Table1[CoPath Block Returns])</f>
        <v>0</v>
      </c>
      <c r="AU41" s="26">
        <f>COUNTA(Table1[CoPath (Tristar)])</f>
        <v>0</v>
      </c>
      <c r="AV41" s="26">
        <f>COUNTA(Table1[CoPath (TriStar returns)])</f>
        <v>0</v>
      </c>
    </row>
    <row r="47" spans="1:48" ht="15" customHeight="1">
      <c r="E47" s="27"/>
    </row>
    <row r="48" spans="1:48" ht="15" customHeight="1">
      <c r="E48" s="27"/>
    </row>
    <row r="49" spans="5:5" ht="15" customHeight="1">
      <c r="E49" s="27"/>
    </row>
    <row r="50" spans="5:5" ht="15" customHeight="1">
      <c r="E50" s="27"/>
    </row>
    <row r="51" spans="5:5" ht="15" customHeight="1">
      <c r="E51" s="27"/>
    </row>
    <row r="52" spans="5:5" ht="15" customHeight="1">
      <c r="E52" s="27"/>
    </row>
    <row r="53" spans="5:5" ht="15" customHeight="1">
      <c r="E53" s="27"/>
    </row>
    <row r="54" spans="5:5" ht="15" customHeight="1">
      <c r="E54" s="27"/>
    </row>
    <row r="55" spans="5:5" ht="15" customHeight="1">
      <c r="E55" s="27"/>
    </row>
    <row r="56" spans="5:5" ht="15" customHeight="1">
      <c r="E56" s="27"/>
    </row>
    <row r="57" spans="5:5" ht="15" customHeight="1">
      <c r="E57" s="27"/>
    </row>
    <row r="58" spans="5:5" ht="15" customHeight="1">
      <c r="E58" s="27"/>
    </row>
    <row r="59" spans="5:5" ht="15" customHeight="1">
      <c r="E59" s="27"/>
    </row>
    <row r="60" spans="5:5" ht="15" customHeight="1">
      <c r="E60" s="27"/>
    </row>
    <row r="61" spans="5:5" ht="15" customHeight="1">
      <c r="E61" s="27"/>
    </row>
  </sheetData>
  <mergeCells count="1">
    <mergeCell ref="AG1:AP1"/>
  </mergeCells>
  <phoneticPr fontId="11" type="noConversion"/>
  <conditionalFormatting sqref="A1:A1048576 B41:AV41">
    <cfRule type="containsText" dxfId="91" priority="4" operator="containsText" text="Yes">
      <formula>NOT(ISERROR(SEARCH("Yes",A1)))</formula>
    </cfRule>
  </conditionalFormatting>
  <conditionalFormatting sqref="E3:F3">
    <cfRule type="duplicateValues" dxfId="90" priority="2"/>
  </conditionalFormatting>
  <conditionalFormatting sqref="E1:E1048576">
    <cfRule type="duplicateValues" dxfId="89" priority="1"/>
  </conditionalFormatting>
  <dataValidations count="2">
    <dataValidation type="list" allowBlank="1" showInputMessage="1" showErrorMessage="1" sqref="AT4:AU26 AH4:AH26 A4:A26" xr:uid="{035C691D-5357-45B4-83F9-5D7D5DD24BC7}">
      <formula1>" , Yes"</formula1>
    </dataValidation>
    <dataValidation type="list" allowBlank="1" showInputMessage="1" showErrorMessage="1" sqref="B4:B40" xr:uid="{C4F74FDD-A40A-49A5-A1AE-C15B2425F7FE}">
      <formula1>"  , CellNass, Archive"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9EA03-863C-4EB9-B4C5-498238BB5946}">
  <dimension ref="A1:G43"/>
  <sheetViews>
    <sheetView workbookViewId="0">
      <pane ySplit="1" topLeftCell="A2" activePane="bottomLeft" state="frozen"/>
      <selection pane="bottomLeft" activeCell="C17" sqref="C17"/>
    </sheetView>
  </sheetViews>
  <sheetFormatPr defaultRowHeight="12.75"/>
  <cols>
    <col min="1" max="1" width="10.125" style="39" bestFit="1" customWidth="1"/>
    <col min="2" max="2" width="21.875" style="32" bestFit="1" customWidth="1"/>
    <col min="3" max="3" width="34.875" style="32" bestFit="1" customWidth="1"/>
    <col min="4" max="4" width="19" style="35" bestFit="1" customWidth="1"/>
    <col min="5" max="5" width="13.25" style="39" customWidth="1"/>
    <col min="6" max="6" width="24.5" style="32" bestFit="1" customWidth="1"/>
    <col min="7" max="7" width="17.375" style="39" bestFit="1" customWidth="1"/>
    <col min="8" max="9" width="9" style="32"/>
    <col min="10" max="10" width="10.75" style="32" bestFit="1" customWidth="1"/>
    <col min="11" max="16384" width="9" style="32"/>
  </cols>
  <sheetData>
    <row r="1" spans="1:7">
      <c r="A1" s="38" t="s">
        <v>200</v>
      </c>
      <c r="B1" s="33" t="s">
        <v>201</v>
      </c>
      <c r="C1" s="33" t="s">
        <v>202</v>
      </c>
      <c r="D1" s="33" t="s">
        <v>16</v>
      </c>
      <c r="E1" s="38" t="s">
        <v>17</v>
      </c>
      <c r="F1" s="33" t="s">
        <v>203</v>
      </c>
      <c r="G1" s="38" t="s">
        <v>204</v>
      </c>
    </row>
    <row r="2" spans="1:7">
      <c r="A2" s="39">
        <v>4583735545</v>
      </c>
      <c r="B2" s="32" t="s">
        <v>144</v>
      </c>
      <c r="C2" s="32" t="s">
        <v>205</v>
      </c>
      <c r="D2" s="32"/>
    </row>
    <row r="3" spans="1:7">
      <c r="A3" s="39">
        <v>4586077271</v>
      </c>
      <c r="B3" s="34" t="s">
        <v>77</v>
      </c>
      <c r="C3" s="32" t="s">
        <v>206</v>
      </c>
      <c r="D3" s="32" t="s">
        <v>207</v>
      </c>
      <c r="E3" s="39" t="s">
        <v>208</v>
      </c>
      <c r="F3" s="32" t="s">
        <v>209</v>
      </c>
      <c r="G3" s="39" t="s">
        <v>210</v>
      </c>
    </row>
    <row r="4" spans="1:7">
      <c r="A4" s="39">
        <v>4809479994</v>
      </c>
      <c r="B4" s="32" t="s">
        <v>151</v>
      </c>
      <c r="C4" s="32" t="s">
        <v>211</v>
      </c>
      <c r="D4" s="32"/>
    </row>
    <row r="5" spans="1:7">
      <c r="A5" s="39">
        <v>4849578608</v>
      </c>
      <c r="B5" s="34" t="s">
        <v>124</v>
      </c>
      <c r="C5" s="32" t="s">
        <v>212</v>
      </c>
      <c r="D5" s="32" t="s">
        <v>213</v>
      </c>
      <c r="E5" s="39" t="s">
        <v>208</v>
      </c>
      <c r="F5" s="32" t="s">
        <v>214</v>
      </c>
      <c r="G5" s="39" t="s">
        <v>210</v>
      </c>
    </row>
    <row r="6" spans="1:7">
      <c r="A6" s="39">
        <v>6285599742</v>
      </c>
      <c r="B6" s="34" t="s">
        <v>50</v>
      </c>
      <c r="C6" s="32" t="s">
        <v>215</v>
      </c>
      <c r="D6" s="32" t="s">
        <v>216</v>
      </c>
      <c r="E6" s="39" t="s">
        <v>208</v>
      </c>
      <c r="F6" s="32" t="s">
        <v>217</v>
      </c>
      <c r="G6" s="39" t="s">
        <v>210</v>
      </c>
    </row>
    <row r="7" spans="1:7">
      <c r="A7" s="39">
        <v>4586077271</v>
      </c>
      <c r="B7" s="34" t="s">
        <v>77</v>
      </c>
      <c r="C7" s="32" t="s">
        <v>218</v>
      </c>
      <c r="D7" s="32" t="s">
        <v>219</v>
      </c>
      <c r="E7" s="39" t="s">
        <v>208</v>
      </c>
      <c r="F7" s="32" t="s">
        <v>100</v>
      </c>
      <c r="G7" s="39" t="s">
        <v>210</v>
      </c>
    </row>
    <row r="8" spans="1:7">
      <c r="A8" s="39">
        <v>4521145515</v>
      </c>
      <c r="B8" s="32" t="s">
        <v>139</v>
      </c>
      <c r="C8" s="32" t="s">
        <v>220</v>
      </c>
      <c r="D8" s="32" t="s">
        <v>207</v>
      </c>
      <c r="E8" s="39" t="s">
        <v>208</v>
      </c>
      <c r="F8" s="32" t="s">
        <v>221</v>
      </c>
      <c r="G8" s="39" t="s">
        <v>210</v>
      </c>
    </row>
    <row r="9" spans="1:7">
      <c r="A9" s="39">
        <v>4043847211</v>
      </c>
      <c r="B9" s="34" t="s">
        <v>57</v>
      </c>
      <c r="C9" s="32" t="s">
        <v>222</v>
      </c>
      <c r="D9" s="32" t="s">
        <v>223</v>
      </c>
      <c r="E9" s="39" t="s">
        <v>208</v>
      </c>
      <c r="F9" s="32" t="s">
        <v>224</v>
      </c>
      <c r="G9" s="39" t="s">
        <v>210</v>
      </c>
    </row>
    <row r="10" spans="1:7">
      <c r="A10" s="39">
        <v>6306070052</v>
      </c>
      <c r="B10" s="34" t="s">
        <v>80</v>
      </c>
      <c r="C10" s="32" t="s">
        <v>225</v>
      </c>
      <c r="D10" s="32" t="s">
        <v>207</v>
      </c>
      <c r="E10" s="39" t="s">
        <v>208</v>
      </c>
      <c r="F10" s="32" t="s">
        <v>224</v>
      </c>
      <c r="G10" s="39" t="s">
        <v>210</v>
      </c>
    </row>
    <row r="11" spans="1:7">
      <c r="A11" s="39">
        <v>4521145515</v>
      </c>
      <c r="B11" s="32" t="s">
        <v>139</v>
      </c>
      <c r="C11" s="32" t="s">
        <v>226</v>
      </c>
      <c r="D11" s="32"/>
    </row>
    <row r="12" spans="1:7">
      <c r="A12" s="39">
        <v>4269779721</v>
      </c>
      <c r="B12" s="34" t="s">
        <v>62</v>
      </c>
      <c r="C12" s="32" t="s">
        <v>227</v>
      </c>
      <c r="D12" s="32" t="s">
        <v>228</v>
      </c>
      <c r="E12" s="39" t="s">
        <v>208</v>
      </c>
      <c r="F12" s="32" t="s">
        <v>229</v>
      </c>
      <c r="G12" s="39" t="s">
        <v>210</v>
      </c>
    </row>
    <row r="13" spans="1:7">
      <c r="A13" s="39">
        <v>6506618779</v>
      </c>
      <c r="B13" s="32" t="s">
        <v>166</v>
      </c>
      <c r="C13" s="32" t="s">
        <v>230</v>
      </c>
      <c r="D13" s="32" t="s">
        <v>231</v>
      </c>
      <c r="E13" s="39" t="s">
        <v>208</v>
      </c>
      <c r="F13" s="32" t="s">
        <v>232</v>
      </c>
      <c r="G13" s="39" t="s">
        <v>210</v>
      </c>
    </row>
    <row r="14" spans="1:7">
      <c r="A14" s="39">
        <v>4089465613</v>
      </c>
      <c r="B14" s="34" t="s">
        <v>102</v>
      </c>
      <c r="C14" s="32" t="s">
        <v>233</v>
      </c>
      <c r="D14" s="32" t="s">
        <v>223</v>
      </c>
      <c r="E14" s="39" t="s">
        <v>208</v>
      </c>
      <c r="F14" s="32" t="s">
        <v>221</v>
      </c>
      <c r="G14" s="39" t="s">
        <v>210</v>
      </c>
    </row>
    <row r="15" spans="1:7">
      <c r="A15" s="39">
        <v>4866322748</v>
      </c>
      <c r="B15" s="32" t="s">
        <v>149</v>
      </c>
      <c r="C15" s="32" t="s">
        <v>234</v>
      </c>
      <c r="D15" s="32"/>
    </row>
    <row r="16" spans="1:7">
      <c r="A16" s="39">
        <v>4581702046</v>
      </c>
      <c r="B16" s="32" t="s">
        <v>175</v>
      </c>
      <c r="C16" s="32" t="s">
        <v>235</v>
      </c>
      <c r="D16" s="32" t="s">
        <v>236</v>
      </c>
      <c r="E16" s="39" t="s">
        <v>208</v>
      </c>
      <c r="F16" s="32" t="s">
        <v>237</v>
      </c>
      <c r="G16" s="39" t="s">
        <v>210</v>
      </c>
    </row>
    <row r="17" spans="1:7">
      <c r="A17" s="39">
        <v>4583616562</v>
      </c>
      <c r="B17" s="32" t="s">
        <v>195</v>
      </c>
      <c r="C17" s="32" t="s">
        <v>238</v>
      </c>
      <c r="D17" s="32" t="s">
        <v>239</v>
      </c>
      <c r="E17" s="39" t="s">
        <v>208</v>
      </c>
      <c r="F17" s="32" t="s">
        <v>240</v>
      </c>
      <c r="G17" s="39" t="s">
        <v>210</v>
      </c>
    </row>
    <row r="18" spans="1:7">
      <c r="A18" s="39">
        <v>4860644239</v>
      </c>
      <c r="B18" s="32" t="s">
        <v>172</v>
      </c>
      <c r="C18" s="32" t="s">
        <v>241</v>
      </c>
      <c r="D18" s="32" t="s">
        <v>242</v>
      </c>
      <c r="E18" s="39" t="s">
        <v>208</v>
      </c>
      <c r="F18" s="32" t="s">
        <v>243</v>
      </c>
      <c r="G18" s="39" t="s">
        <v>210</v>
      </c>
    </row>
    <row r="19" spans="1:7">
      <c r="A19" s="39">
        <v>4681403520</v>
      </c>
      <c r="B19" s="34" t="s">
        <v>107</v>
      </c>
      <c r="C19" s="32" t="s">
        <v>244</v>
      </c>
      <c r="D19" s="32" t="s">
        <v>245</v>
      </c>
      <c r="E19" s="39" t="s">
        <v>208</v>
      </c>
      <c r="F19" s="32" t="s">
        <v>246</v>
      </c>
      <c r="G19" s="39" t="s">
        <v>210</v>
      </c>
    </row>
    <row r="20" spans="1:7">
      <c r="A20" s="39">
        <v>4520945275</v>
      </c>
      <c r="B20" s="34" t="s">
        <v>84</v>
      </c>
      <c r="C20" s="32" t="s">
        <v>247</v>
      </c>
      <c r="D20" s="32"/>
    </row>
    <row r="21" spans="1:7">
      <c r="A21" s="39">
        <v>4582868010</v>
      </c>
      <c r="B21" s="36" t="s">
        <v>88</v>
      </c>
      <c r="C21" s="36" t="s">
        <v>248</v>
      </c>
      <c r="D21" s="32" t="s">
        <v>249</v>
      </c>
      <c r="E21" s="39" t="s">
        <v>208</v>
      </c>
      <c r="F21" s="32" t="s">
        <v>250</v>
      </c>
      <c r="G21" s="39" t="s">
        <v>210</v>
      </c>
    </row>
    <row r="22" spans="1:7">
      <c r="A22" s="39">
        <v>4509345127</v>
      </c>
      <c r="B22" s="32" t="s">
        <v>157</v>
      </c>
      <c r="C22" s="32" t="s">
        <v>251</v>
      </c>
      <c r="D22" s="32"/>
    </row>
    <row r="23" spans="1:7">
      <c r="A23" s="39">
        <v>7371532708</v>
      </c>
      <c r="B23" s="32" t="s">
        <v>154</v>
      </c>
      <c r="C23" s="32" t="s">
        <v>252</v>
      </c>
      <c r="D23" s="32" t="s">
        <v>253</v>
      </c>
      <c r="E23" s="39" t="s">
        <v>208</v>
      </c>
      <c r="F23" s="32" t="s">
        <v>221</v>
      </c>
      <c r="G23" s="39" t="s">
        <v>210</v>
      </c>
    </row>
    <row r="24" spans="1:7">
      <c r="A24" s="39">
        <v>4126538801</v>
      </c>
      <c r="B24" s="34" t="s">
        <v>90</v>
      </c>
      <c r="C24" s="32" t="s">
        <v>254</v>
      </c>
      <c r="D24" s="32" t="s">
        <v>245</v>
      </c>
      <c r="E24" s="39" t="s">
        <v>208</v>
      </c>
      <c r="F24" s="32" t="s">
        <v>221</v>
      </c>
      <c r="G24" s="39" t="s">
        <v>210</v>
      </c>
    </row>
    <row r="25" spans="1:7">
      <c r="A25" s="39">
        <v>4160603211</v>
      </c>
      <c r="B25" s="32" t="s">
        <v>163</v>
      </c>
      <c r="C25" s="32" t="s">
        <v>255</v>
      </c>
      <c r="D25" s="32" t="s">
        <v>253</v>
      </c>
      <c r="E25" s="39" t="s">
        <v>208</v>
      </c>
      <c r="F25" s="32" t="s">
        <v>256</v>
      </c>
      <c r="G25" s="39" t="s">
        <v>210</v>
      </c>
    </row>
    <row r="26" spans="1:7">
      <c r="A26" s="39">
        <v>7371532708</v>
      </c>
      <c r="B26" s="32" t="s">
        <v>154</v>
      </c>
      <c r="C26" s="32" t="s">
        <v>257</v>
      </c>
      <c r="D26" s="32"/>
    </row>
    <row r="27" spans="1:7">
      <c r="A27" s="39">
        <v>4583840004</v>
      </c>
      <c r="B27" s="34" t="s">
        <v>86</v>
      </c>
      <c r="C27" s="32" t="s">
        <v>258</v>
      </c>
      <c r="D27" s="32"/>
    </row>
    <row r="28" spans="1:7">
      <c r="A28" s="39">
        <v>4387703970</v>
      </c>
      <c r="B28" s="36" t="s">
        <v>93</v>
      </c>
      <c r="C28" s="36" t="s">
        <v>259</v>
      </c>
      <c r="D28" s="32" t="s">
        <v>245</v>
      </c>
      <c r="E28" s="39" t="s">
        <v>208</v>
      </c>
      <c r="F28" s="32" t="s">
        <v>246</v>
      </c>
      <c r="G28" s="39" t="s">
        <v>210</v>
      </c>
    </row>
    <row r="29" spans="1:7">
      <c r="A29" s="39">
        <v>4487072239</v>
      </c>
      <c r="B29" s="34" t="s">
        <v>95</v>
      </c>
      <c r="C29" s="32" t="s">
        <v>260</v>
      </c>
      <c r="D29" s="32" t="s">
        <v>261</v>
      </c>
      <c r="E29" s="39" t="s">
        <v>208</v>
      </c>
      <c r="F29" s="32" t="s">
        <v>262</v>
      </c>
      <c r="G29" s="39" t="s">
        <v>210</v>
      </c>
    </row>
    <row r="30" spans="1:7">
      <c r="A30" s="39">
        <v>4583305931</v>
      </c>
      <c r="B30" s="34" t="s">
        <v>98</v>
      </c>
      <c r="C30" s="32" t="s">
        <v>263</v>
      </c>
      <c r="D30" s="32" t="s">
        <v>223</v>
      </c>
      <c r="E30" s="39" t="s">
        <v>208</v>
      </c>
      <c r="F30" s="32" t="s">
        <v>264</v>
      </c>
      <c r="G30" s="39" t="s">
        <v>210</v>
      </c>
    </row>
    <row r="31" spans="1:7">
      <c r="A31" s="39">
        <v>4125861110</v>
      </c>
      <c r="B31" s="34" t="s">
        <v>115</v>
      </c>
      <c r="C31" s="32" t="s">
        <v>265</v>
      </c>
      <c r="D31" s="32" t="s">
        <v>245</v>
      </c>
      <c r="E31" s="39" t="s">
        <v>208</v>
      </c>
      <c r="F31" s="32" t="s">
        <v>264</v>
      </c>
      <c r="G31" s="39" t="s">
        <v>210</v>
      </c>
    </row>
    <row r="32" spans="1:7">
      <c r="A32" s="39">
        <v>4382773563</v>
      </c>
      <c r="B32" s="32" t="s">
        <v>182</v>
      </c>
      <c r="C32" s="32" t="s">
        <v>266</v>
      </c>
      <c r="D32" s="32"/>
    </row>
    <row r="33" spans="1:7">
      <c r="A33" s="39">
        <v>4681060224</v>
      </c>
      <c r="B33" s="34" t="s">
        <v>131</v>
      </c>
      <c r="C33" s="32" t="s">
        <v>267</v>
      </c>
      <c r="D33" s="32" t="s">
        <v>223</v>
      </c>
      <c r="E33" s="39" t="s">
        <v>208</v>
      </c>
      <c r="F33" s="32" t="s">
        <v>221</v>
      </c>
      <c r="G33" s="39" t="s">
        <v>210</v>
      </c>
    </row>
    <row r="34" spans="1:7">
      <c r="A34" s="39">
        <v>4089644569</v>
      </c>
      <c r="B34" s="34" t="s">
        <v>111</v>
      </c>
      <c r="C34" s="32" t="s">
        <v>268</v>
      </c>
      <c r="D34" s="32"/>
    </row>
    <row r="35" spans="1:7">
      <c r="A35" s="39">
        <v>4387587997</v>
      </c>
      <c r="B35" s="32" t="s">
        <v>189</v>
      </c>
      <c r="C35" s="32" t="s">
        <v>269</v>
      </c>
      <c r="D35" s="32" t="s">
        <v>253</v>
      </c>
      <c r="E35" s="39" t="s">
        <v>208</v>
      </c>
      <c r="F35" s="32" t="s">
        <v>256</v>
      </c>
      <c r="G35" s="39" t="s">
        <v>210</v>
      </c>
    </row>
    <row r="36" spans="1:7">
      <c r="A36" s="39">
        <v>4568062527</v>
      </c>
      <c r="B36" s="32" t="s">
        <v>197</v>
      </c>
      <c r="C36" s="32" t="s">
        <v>270</v>
      </c>
      <c r="D36" s="32" t="s">
        <v>271</v>
      </c>
      <c r="E36" s="39" t="s">
        <v>208</v>
      </c>
      <c r="F36" s="32" t="s">
        <v>224</v>
      </c>
      <c r="G36" s="39" t="s">
        <v>210</v>
      </c>
    </row>
    <row r="37" spans="1:7">
      <c r="A37" s="39">
        <v>4509073534</v>
      </c>
      <c r="B37" s="34" t="s">
        <v>118</v>
      </c>
      <c r="C37" s="32" t="s">
        <v>272</v>
      </c>
      <c r="D37" s="32"/>
    </row>
    <row r="38" spans="1:7">
      <c r="A38" s="39">
        <v>4123051790</v>
      </c>
      <c r="B38" s="34" t="s">
        <v>69</v>
      </c>
      <c r="C38" s="32" t="s">
        <v>273</v>
      </c>
      <c r="D38" s="32"/>
    </row>
    <row r="39" spans="1:7">
      <c r="A39" s="39">
        <v>4387683619</v>
      </c>
      <c r="B39" s="34" t="s">
        <v>103</v>
      </c>
      <c r="C39" s="32" t="s">
        <v>273</v>
      </c>
      <c r="D39" s="32"/>
    </row>
    <row r="40" spans="1:7">
      <c r="A40" s="39">
        <v>4849195636</v>
      </c>
      <c r="B40" s="36" t="s">
        <v>109</v>
      </c>
      <c r="C40" s="36" t="s">
        <v>273</v>
      </c>
      <c r="D40" s="32"/>
    </row>
    <row r="41" spans="1:7">
      <c r="A41" s="39">
        <v>4581555094</v>
      </c>
      <c r="B41" s="32" t="s">
        <v>187</v>
      </c>
      <c r="C41" s="32" t="s">
        <v>273</v>
      </c>
      <c r="D41" s="32"/>
    </row>
    <row r="43" spans="1:7">
      <c r="A43" s="40">
        <f>COUNTA(Table4[LH Rx])</f>
        <v>40</v>
      </c>
      <c r="B43" s="37">
        <f>COUNTA(Table4[Matched Bx])</f>
        <v>40</v>
      </c>
      <c r="C43" s="37">
        <f>COUNTA(Table4[Slides Collected])</f>
        <v>25</v>
      </c>
      <c r="D43" s="37">
        <f>COUNTA(Table4[CoPath (SC)])</f>
        <v>25</v>
      </c>
      <c r="E43" s="40">
        <f>COUNTA(Table4[Slides selected])</f>
        <v>25</v>
      </c>
      <c r="F43" s="37">
        <f>COUNTA(Table4[CoPath (post scan)])</f>
        <v>25</v>
      </c>
      <c r="G43" s="40">
        <f>COUNTA(Table4[NHS])</f>
        <v>40</v>
      </c>
    </row>
  </sheetData>
  <conditionalFormatting sqref="A1:A1048576">
    <cfRule type="duplicateValues" dxfId="37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24"/>
  <sheetViews>
    <sheetView workbookViewId="0">
      <selection activeCell="K26" sqref="K26"/>
    </sheetView>
  </sheetViews>
  <sheetFormatPr defaultRowHeight="15.75"/>
  <cols>
    <col min="1" max="1" width="21" customWidth="1"/>
    <col min="2" max="2" width="11.875" customWidth="1"/>
  </cols>
  <sheetData>
    <row r="1" spans="1:5">
      <c r="B1" s="1"/>
      <c r="C1" s="1"/>
      <c r="D1" s="45" t="s">
        <v>274</v>
      </c>
      <c r="E1" s="45"/>
    </row>
    <row r="2" spans="1:5">
      <c r="A2" s="11" t="s">
        <v>4</v>
      </c>
      <c r="B2" s="1" t="s">
        <v>275</v>
      </c>
      <c r="C2" s="1" t="s">
        <v>276</v>
      </c>
      <c r="D2" s="2" t="s">
        <v>277</v>
      </c>
      <c r="E2" s="2" t="s">
        <v>278</v>
      </c>
    </row>
    <row r="3" spans="1:5">
      <c r="A3" s="14"/>
      <c r="B3" s="14"/>
    </row>
    <row r="4" spans="1:5">
      <c r="A4" s="14"/>
      <c r="B4" s="14"/>
    </row>
    <row r="5" spans="1:5">
      <c r="A5" s="14"/>
      <c r="B5" s="14"/>
    </row>
    <row r="6" spans="1:5">
      <c r="A6" s="14"/>
      <c r="B6" s="14"/>
    </row>
    <row r="7" spans="1:5">
      <c r="A7" s="14"/>
      <c r="B7" s="14"/>
    </row>
    <row r="8" spans="1:5">
      <c r="A8" s="14"/>
      <c r="B8" s="14"/>
    </row>
    <row r="9" spans="1:5">
      <c r="A9" s="14"/>
      <c r="B9" s="14"/>
    </row>
    <row r="10" spans="1:5">
      <c r="A10" s="14"/>
      <c r="B10" s="14"/>
    </row>
    <row r="11" spans="1:5">
      <c r="A11" s="14"/>
      <c r="B11" s="14"/>
    </row>
    <row r="12" spans="1:5">
      <c r="B12" s="14"/>
    </row>
    <row r="18" spans="1:3">
      <c r="A18" s="3" t="s">
        <v>279</v>
      </c>
      <c r="C18" s="4">
        <f>COUNTA(_xlfn.UNIQUE(A3:A11))</f>
        <v>1</v>
      </c>
    </row>
    <row r="20" spans="1:3">
      <c r="A20" s="3" t="s">
        <v>280</v>
      </c>
      <c r="C20" s="4" t="e">
        <f>COUNTIF(#REF!, "Primary")</f>
        <v>#REF!</v>
      </c>
    </row>
    <row r="21" spans="1:3">
      <c r="A21" s="3" t="s">
        <v>281</v>
      </c>
      <c r="C21" s="4" t="e">
        <f>COUNTIF(#REF!, "Metastatic")</f>
        <v>#REF!</v>
      </c>
    </row>
    <row r="22" spans="1:3">
      <c r="A22" s="3" t="s">
        <v>282</v>
      </c>
      <c r="C22" s="4" t="e">
        <f>COUNTIF(#REF!, "Normal")</f>
        <v>#REF!</v>
      </c>
    </row>
    <row r="23" spans="1:3">
      <c r="A23" s="5"/>
      <c r="C23" s="12"/>
    </row>
    <row r="24" spans="1:3">
      <c r="A24" s="3" t="s">
        <v>283</v>
      </c>
      <c r="C24" s="13" t="e">
        <f>SUM(C20:C22)</f>
        <v>#REF!</v>
      </c>
    </row>
  </sheetData>
  <mergeCells count="1">
    <mergeCell ref="D1:E1"/>
  </mergeCells>
  <conditionalFormatting sqref="A2">
    <cfRule type="duplicateValues" dxfId="27" priority="5"/>
  </conditionalFormatting>
  <conditionalFormatting sqref="A18 C18">
    <cfRule type="duplicateValues" dxfId="26" priority="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EA68-BD1E-48F7-80A7-9B6EB10B5950}">
  <dimension ref="A1:I2"/>
  <sheetViews>
    <sheetView topLeftCell="A14" workbookViewId="0">
      <selection activeCell="C17" sqref="C17"/>
    </sheetView>
  </sheetViews>
  <sheetFormatPr defaultRowHeight="15.75"/>
  <cols>
    <col min="1" max="1" width="11.125" customWidth="1"/>
    <col min="2" max="2" width="15.25" customWidth="1"/>
    <col min="3" max="3" width="30.5" customWidth="1"/>
    <col min="4" max="4" width="29.75" customWidth="1"/>
    <col min="5" max="6" width="29.625" customWidth="1"/>
    <col min="7" max="7" width="14" customWidth="1"/>
    <col min="8" max="8" width="16.625" customWidth="1"/>
    <col min="9" max="9" width="10.75" customWidth="1"/>
  </cols>
  <sheetData>
    <row r="1" spans="1:9" ht="31.5" customHeight="1">
      <c r="A1" s="24" t="s">
        <v>284</v>
      </c>
      <c r="B1" s="24" t="s">
        <v>4</v>
      </c>
      <c r="C1" s="24" t="s">
        <v>15</v>
      </c>
      <c r="D1" s="24" t="s">
        <v>285</v>
      </c>
      <c r="E1" s="24" t="s">
        <v>286</v>
      </c>
      <c r="F1" s="24" t="s">
        <v>287</v>
      </c>
      <c r="G1" s="24" t="s">
        <v>288</v>
      </c>
      <c r="H1" s="24" t="s">
        <v>289</v>
      </c>
      <c r="I1" s="24" t="s">
        <v>290</v>
      </c>
    </row>
    <row r="2" spans="1:9">
      <c r="F2">
        <f>D2+E2</f>
        <v>0</v>
      </c>
      <c r="I2">
        <f>F2-C2</f>
        <v>0</v>
      </c>
    </row>
  </sheetData>
  <dataValidations count="1">
    <dataValidation type="list" allowBlank="1" showInputMessage="1" showErrorMessage="1" sqref="G2" xr:uid="{B3B1FAF4-FD36-4DBB-A9C2-4DF3894FF39C}">
      <formula1>" , Yes, No"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9926-5CC2-41A7-A269-CF9ADBFAE9C1}">
  <sheetPr codeName="Sheet4"/>
  <dimension ref="A1"/>
  <sheetViews>
    <sheetView workbookViewId="0">
      <selection activeCell="F21" sqref="F21"/>
    </sheetView>
  </sheetViews>
  <sheetFormatPr defaultRowHeight="15.7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10203-4E36-42D5-9BBE-19F2173DECDE}">
  <dimension ref="A1:A17"/>
  <sheetViews>
    <sheetView workbookViewId="0">
      <selection activeCell="A11" sqref="A11"/>
    </sheetView>
  </sheetViews>
  <sheetFormatPr defaultRowHeight="15.75"/>
  <sheetData>
    <row r="1" spans="1:1">
      <c r="A1" s="15" t="s">
        <v>291</v>
      </c>
    </row>
    <row r="2" spans="1:1">
      <c r="A2" t="s">
        <v>292</v>
      </c>
    </row>
    <row r="3" spans="1:1">
      <c r="A3" t="s">
        <v>293</v>
      </c>
    </row>
    <row r="4" spans="1:1">
      <c r="A4" t="s">
        <v>294</v>
      </c>
    </row>
    <row r="5" spans="1:1">
      <c r="A5" t="s">
        <v>295</v>
      </c>
    </row>
    <row r="6" spans="1:1">
      <c r="A6" t="s">
        <v>296</v>
      </c>
    </row>
    <row r="7" spans="1:1">
      <c r="A7" t="s">
        <v>297</v>
      </c>
    </row>
    <row r="8" spans="1:1">
      <c r="A8" t="s">
        <v>298</v>
      </c>
    </row>
    <row r="9" spans="1:1">
      <c r="A9" t="s">
        <v>299</v>
      </c>
    </row>
    <row r="10" spans="1:1">
      <c r="A10" t="s">
        <v>300</v>
      </c>
    </row>
    <row r="11" spans="1:1">
      <c r="A11" t="s">
        <v>49</v>
      </c>
    </row>
    <row r="12" spans="1:1">
      <c r="A12" t="s">
        <v>301</v>
      </c>
    </row>
    <row r="13" spans="1:1">
      <c r="A13" t="s">
        <v>302</v>
      </c>
    </row>
    <row r="14" spans="1:1">
      <c r="A14" t="s">
        <v>303</v>
      </c>
    </row>
    <row r="15" spans="1:1">
      <c r="A15" t="s">
        <v>304</v>
      </c>
    </row>
    <row r="16" spans="1:1">
      <c r="A16" t="s">
        <v>305</v>
      </c>
    </row>
    <row r="17" spans="1:1">
      <c r="A17" t="s">
        <v>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A579-4ACC-4DAE-921B-A018D5532CD8}">
  <dimension ref="A1:I2"/>
  <sheetViews>
    <sheetView workbookViewId="0">
      <selection activeCell="E22" sqref="E22"/>
    </sheetView>
  </sheetViews>
  <sheetFormatPr defaultRowHeight="15.75"/>
  <cols>
    <col min="1" max="1" width="11.125" customWidth="1"/>
    <col min="2" max="2" width="15.25" customWidth="1"/>
    <col min="3" max="3" width="30.5" customWidth="1"/>
    <col min="4" max="4" width="29.75" customWidth="1"/>
    <col min="5" max="6" width="29.625" customWidth="1"/>
    <col min="7" max="7" width="14" customWidth="1"/>
    <col min="8" max="8" width="16.625" customWidth="1"/>
    <col min="9" max="9" width="10.75" customWidth="1"/>
  </cols>
  <sheetData>
    <row r="1" spans="1:9" ht="31.5" customHeight="1">
      <c r="A1" s="24" t="s">
        <v>284</v>
      </c>
      <c r="B1" s="24" t="s">
        <v>4</v>
      </c>
      <c r="C1" s="24" t="s">
        <v>307</v>
      </c>
      <c r="D1" s="24" t="s">
        <v>308</v>
      </c>
      <c r="E1" s="24" t="s">
        <v>309</v>
      </c>
      <c r="F1" s="24" t="s">
        <v>310</v>
      </c>
      <c r="G1" s="24" t="s">
        <v>288</v>
      </c>
      <c r="H1" s="24" t="s">
        <v>289</v>
      </c>
      <c r="I1" s="24" t="s">
        <v>290</v>
      </c>
    </row>
    <row r="2" spans="1:9">
      <c r="F2">
        <f>D2+E2</f>
        <v>0</v>
      </c>
      <c r="I2">
        <f>F2-C2</f>
        <v>0</v>
      </c>
    </row>
  </sheetData>
  <dataValidations count="1">
    <dataValidation type="list" allowBlank="1" showInputMessage="1" showErrorMessage="1" sqref="G2" xr:uid="{6F76B222-0648-43EB-9EA5-877B82B48577}">
      <formula1>" , Yes, 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MCCARTHY, Charlie (LEEDS TEACHING HOSPITALS NHS TRUST)</cp:lastModifiedBy>
  <cp:revision/>
  <dcterms:created xsi:type="dcterms:W3CDTF">2022-06-16T21:28:15Z</dcterms:created>
  <dcterms:modified xsi:type="dcterms:W3CDTF">2026-10-19T09:26:02Z</dcterms:modified>
  <cp:category/>
  <cp:contentStatus/>
</cp:coreProperties>
</file>