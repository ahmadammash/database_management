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Bone 1/"/>
    </mc:Choice>
  </mc:AlternateContent>
  <xr:revisionPtr revIDLastSave="2922" documentId="8_{3140DFD2-7C3F-451A-B46B-7BECFA569EE1}" xr6:coauthVersionLast="47" xr6:coauthVersionMax="47" xr10:uidLastSave="{118F895C-AE42-4E6B-B75A-8BACC35F6E70}"/>
  <bookViews>
    <workbookView xWindow="-110" yWindow="-110" windowWidth="38620" windowHeight="21820" xr2:uid="{00000000-000D-0000-FFFF-FFFF00000000}"/>
  </bookViews>
  <sheets>
    <sheet name="Bone 1 (S1) Follow up" sheetId="1" r:id="rId1"/>
    <sheet name="Bone 1 (S1) Supplementary" sheetId="4" r:id="rId2"/>
    <sheet name="Mets" sheetId="5" r:id="rId3"/>
    <sheet name="Calculations &amp; Lists" sheetId="2" r:id="rId4"/>
    <sheet name="TTE Error Lo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4" l="1"/>
  <c r="Y11" i="4"/>
  <c r="Y10" i="4"/>
  <c r="Q12" i="4"/>
  <c r="R12" i="4"/>
  <c r="S12" i="4"/>
  <c r="T12" i="4"/>
  <c r="T11" i="4"/>
  <c r="Q11" i="4"/>
  <c r="R11" i="4"/>
  <c r="S11" i="4"/>
  <c r="T10" i="4"/>
  <c r="S10" i="4"/>
  <c r="R10" i="4"/>
  <c r="Q10" i="4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 a="1"/>
  <c r="HH5" i="1"/>
  <c r="HI5" i="1"/>
  <c r="HJ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H6" i="1" s="1"/>
  <c r="HC6" i="1"/>
  <c r="HJ6" i="1" s="1"/>
  <c r="HD6" i="1"/>
  <c r="HE6" i="1"/>
  <c r="HF6" i="1" s="1"/>
  <c r="HG6" i="1" a="1"/>
  <c r="HI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HB7" i="1" s="1"/>
  <c r="HG7" i="1" s="1" a="1"/>
  <c r="GZ7" i="1"/>
  <c r="HA7" i="1"/>
  <c r="HC7" i="1"/>
  <c r="HJ7" i="1" s="1"/>
  <c r="HD7" i="1"/>
  <c r="HE7" i="1"/>
  <c r="HF7" i="1"/>
  <c r="HI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G8" i="1" s="1" a="1"/>
  <c r="HC8" i="1"/>
  <c r="HD8" i="1"/>
  <c r="HE8" i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H9" i="1" s="1"/>
  <c r="HC9" i="1"/>
  <c r="HD9" i="1"/>
  <c r="HE9" i="1"/>
  <c r="HI9" i="1"/>
  <c r="HJ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HB10" i="1" s="1"/>
  <c r="GZ10" i="1"/>
  <c r="HA10" i="1"/>
  <c r="HC10" i="1"/>
  <c r="HD10" i="1"/>
  <c r="HE10" i="1"/>
  <c r="HF10" i="1"/>
  <c r="HI10" i="1"/>
  <c r="HJ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HB11" i="1" s="1"/>
  <c r="GZ11" i="1"/>
  <c r="HA11" i="1"/>
  <c r="HC11" i="1"/>
  <c r="HD11" i="1"/>
  <c r="HE11" i="1"/>
  <c r="HF11" i="1"/>
  <c r="HI11" i="1"/>
  <c r="HJ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J12" i="1" s="1"/>
  <c r="HD12" i="1"/>
  <c r="HE12" i="1"/>
  <c r="HF12" i="1"/>
  <c r="HG12" i="1" a="1"/>
  <c r="HH12" i="1"/>
  <c r="HI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G13" i="1" s="1" a="1"/>
  <c r="HC13" i="1"/>
  <c r="HJ13" i="1" s="1"/>
  <c r="HD13" i="1"/>
  <c r="HE13" i="1"/>
  <c r="HF13" i="1"/>
  <c r="HI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G14" i="1" s="1" a="1"/>
  <c r="HC14" i="1"/>
  <c r="HD14" i="1"/>
  <c r="HE14" i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HB15" i="1" s="1"/>
  <c r="HG15" i="1" s="1" a="1"/>
  <c r="GZ15" i="1"/>
  <c r="HA15" i="1"/>
  <c r="HC15" i="1"/>
  <c r="HD15" i="1"/>
  <c r="HE15" i="1"/>
  <c r="HI15" i="1"/>
  <c r="HJ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HB16" i="1" s="1"/>
  <c r="GZ16" i="1"/>
  <c r="HA16" i="1"/>
  <c r="HC16" i="1"/>
  <c r="HD16" i="1"/>
  <c r="HE16" i="1"/>
  <c r="HF16" i="1" s="1"/>
  <c r="HI16" i="1"/>
  <c r="HJ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HB17" i="1" s="1"/>
  <c r="GZ17" i="1"/>
  <c r="HA17" i="1"/>
  <c r="HC17" i="1"/>
  <c r="HD17" i="1"/>
  <c r="HE17" i="1"/>
  <c r="HF17" i="1" s="1"/>
  <c r="HI17" i="1"/>
  <c r="HJ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G18" i="1" a="1"/>
  <c r="HH18" i="1"/>
  <c r="HI18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HB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HF14" i="1" l="1"/>
  <c r="HK18" i="1"/>
  <c r="HK5" i="1"/>
  <c r="HK6" i="1"/>
  <c r="HF8" i="1"/>
  <c r="HF9" i="1"/>
  <c r="HF15" i="1"/>
  <c r="HK12" i="1"/>
  <c r="HK9" i="1"/>
  <c r="HJ18" i="1"/>
  <c r="HF18" i="1"/>
  <c r="HG11" i="1" a="1"/>
  <c r="HH11" i="1"/>
  <c r="HK11" i="1" s="1"/>
  <c r="HG16" i="1" a="1"/>
  <c r="HH16" i="1"/>
  <c r="HK16" i="1" s="1"/>
  <c r="HH10" i="1"/>
  <c r="HK10" i="1" s="1"/>
  <c r="HG10" i="1" a="1"/>
  <c r="HH17" i="1"/>
  <c r="HK17" i="1" s="1"/>
  <c r="HG17" i="1" a="1"/>
  <c r="HH15" i="1"/>
  <c r="HK15" i="1" s="1"/>
  <c r="HJ14" i="1"/>
  <c r="HH14" i="1"/>
  <c r="HK14" i="1" s="1"/>
  <c r="HG9" i="1" a="1"/>
  <c r="HH8" i="1"/>
  <c r="HK8" i="1" s="1"/>
  <c r="HJ8" i="1"/>
  <c r="HH13" i="1"/>
  <c r="HK13" i="1" s="1"/>
  <c r="HH7" i="1"/>
  <c r="HK7" i="1" s="1"/>
  <c r="HI4" i="1"/>
  <c r="HH4" i="1" l="1"/>
  <c r="HG4" i="1" a="1"/>
  <c r="HJ4" i="1"/>
  <c r="HF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tc={E88789A8-6ACF-478F-ADA4-7FBFF843301F}</author>
    <author>tc={DEB86D7B-9A3F-4664-9C51-0CC253ED8600}</author>
  </authors>
  <commentList>
    <comment ref="A13" authorId="0" shapeId="0" xr:uid="{E88789A8-6ACF-478F-ADA4-7FBFF843301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B1 isn't supposed to have any tumour in it - could Nic check
Reply:
    B1 removed after re-review</t>
      </text>
    </comment>
    <comment ref="CQ13" authorId="1" shapeId="0" xr:uid="{DEB86D7B-9A3F-4664-9C51-0CC253ED860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<sst xmlns="http://schemas.openxmlformats.org/spreadsheetml/2006/main" count="4117" uniqueCount="1178">
  <si>
    <t>PLEASE BE AWARE COLUMNS MAY BE 'HIDDEN' OR 'COLLAPSED'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</si>
  <si>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</si>
  <si>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</si>
  <si>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</si>
  <si>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</si>
  <si>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</si>
  <si>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</si>
  <si>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</si>
  <si>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</si>
  <si>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</si>
  <si>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</si>
  <si>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</si>
  <si>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</si>
  <si>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</si>
  <si>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</si>
  <si>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</si>
  <si>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</si>
  <si>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</si>
  <si>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</si>
  <si>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</si>
  <si>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</si>
  <si>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</si>
  <si>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</si>
  <si>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</si>
  <si>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</si>
  <si>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</si>
  <si>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</si>
  <si>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</si>
  <si>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</si>
  <si>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</si>
  <si>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</si>
  <si>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</si>
  <si>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</si>
  <si>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</si>
  <si>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</si>
  <si>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</si>
  <si>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</si>
  <si>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</si>
  <si>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</si>
  <si>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</si>
  <si>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</si>
  <si>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</si>
  <si>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</si>
  <si>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</si>
  <si>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</si>
  <si>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</si>
  <si>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</si>
  <si>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</si>
  <si>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</si>
  <si>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</si>
  <si>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</si>
  <si>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</si>
  <si>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</si>
  <si>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</si>
  <si>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</si>
  <si>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</si>
  <si>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</si>
  <si>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</si>
  <si>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</si>
  <si>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</si>
  <si>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</si>
  <si>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</si>
  <si>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</si>
  <si>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</si>
  <si>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</si>
  <si>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</si>
  <si>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</si>
  <si>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</si>
  <si>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</si>
  <si>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</si>
  <si>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</si>
  <si>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</si>
  <si>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</si>
  <si>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</si>
  <si>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</si>
  <si>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</si>
  <si>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</si>
  <si>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</si>
  <si>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</si>
  <si>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</si>
  <si>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</si>
  <si>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</si>
  <si>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</si>
  <si>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</si>
  <si>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</si>
  <si>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</si>
  <si>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</si>
  <si>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</si>
  <si>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</si>
  <si>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</si>
  <si>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</si>
  <si>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</si>
  <si>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</si>
  <si>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</si>
  <si>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</si>
  <si>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</si>
  <si>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</si>
  <si>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</si>
  <si>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</si>
  <si>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</si>
  <si>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</si>
  <si>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</si>
  <si>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</si>
  <si>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</si>
  <si>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</si>
  <si>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</si>
  <si>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</si>
  <si>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</si>
  <si>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</si>
  <si>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</si>
  <si>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</si>
  <si>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</si>
  <si>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</si>
  <si>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</si>
  <si>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</si>
  <si>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</si>
  <si>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</si>
  <si>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</si>
  <si>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</si>
  <si>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</si>
  <si>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</si>
  <si>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</si>
  <si>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</si>
  <si>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</si>
  <si>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</si>
  <si>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</si>
  <si>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</si>
  <si>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</si>
  <si>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</si>
  <si>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</si>
  <si>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</si>
  <si>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</si>
  <si>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</si>
  <si>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</si>
  <si>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</si>
  <si>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</si>
  <si>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</si>
  <si>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</si>
  <si>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</si>
  <si>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</si>
  <si>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</si>
  <si>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</si>
  <si>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</si>
  <si>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</si>
  <si>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</si>
  <si>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</si>
  <si>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</si>
  <si>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</si>
  <si>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</si>
  <si>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</si>
  <si>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</si>
  <si>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</si>
  <si>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</si>
  <si>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</si>
  <si>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</si>
  <si>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</si>
  <si>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</si>
  <si>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</si>
  <si>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</si>
  <si>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</si>
  <si>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</si>
  <si>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</si>
  <si>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</si>
  <si>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</si>
  <si>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</si>
  <si>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</si>
  <si>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</si>
  <si>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</si>
  <si>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</si>
  <si>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</si>
  <si>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</si>
  <si>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</si>
  <si>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</si>
  <si>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</si>
  <si>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</si>
  <si>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</si>
  <si>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</si>
  <si>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</si>
  <si>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</si>
  <si>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</si>
  <si>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</si>
  <si>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</si>
  <si>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</si>
  <si>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</si>
  <si>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</si>
  <si>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</si>
  <si>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</si>
  <si>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</si>
  <si>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</si>
  <si>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</si>
  <si>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</si>
  <si>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</si>
  <si>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</si>
  <si>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</si>
  <si>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</si>
  <si>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</si>
  <si>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</si>
  <si>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</si>
  <si>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</si>
  <si>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</si>
  <si>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</si>
  <si>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</si>
  <si>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</si>
  <si>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</si>
  <si>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</si>
  <si>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</si>
  <si>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</si>
  <si>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</si>
  <si>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</si>
  <si>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</si>
  <si>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</si>
  <si>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</si>
  <si>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</si>
  <si>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</si>
  <si>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</si>
  <si>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</si>
  <si>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</si>
  <si>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</si>
  <si>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</si>
  <si>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</si>
  <si>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Yes</t>
  </si>
  <si>
    <t>N/A</t>
  </si>
  <si>
    <t>No</t>
  </si>
  <si>
    <t>resection / decompression of spine mets</t>
  </si>
  <si>
    <t>Left kidney</t>
  </si>
  <si>
    <t>LH21-03704</t>
  </si>
  <si>
    <t>B1</t>
  </si>
  <si>
    <t>Bone: T9 vertebra</t>
  </si>
  <si>
    <t>Treatment naïve</t>
  </si>
  <si>
    <t>F</t>
  </si>
  <si>
    <t>Metastatic clear cell carcinoma</t>
  </si>
  <si>
    <t>Specimen</t>
  </si>
  <si>
    <t>1 (bone)</t>
  </si>
  <si>
    <t>TXN1M1</t>
  </si>
  <si>
    <t>NR</t>
  </si>
  <si>
    <t>AJCC 8</t>
  </si>
  <si>
    <t>IV</t>
  </si>
  <si>
    <t>Mixed therapy</t>
  </si>
  <si>
    <t>Avelumab, axitinib (4 cycles)</t>
  </si>
  <si>
    <t>PD</t>
  </si>
  <si>
    <t>Radiotherapy</t>
  </si>
  <si>
    <t>30Gy in 10# (mid thoracic spine)</t>
  </si>
  <si>
    <t>Bone (new &amp; larger mets)</t>
  </si>
  <si>
    <t>Other</t>
  </si>
  <si>
    <t>Cabozantinib (3 cycles)</t>
  </si>
  <si>
    <t>Deceased</t>
  </si>
  <si>
    <t>Primary decompression of thoracic spinal cord and fusion of joint of thoracic spine</t>
  </si>
  <si>
    <t>Prostate</t>
  </si>
  <si>
    <t>LH22-15778</t>
  </si>
  <si>
    <t>A3</t>
  </si>
  <si>
    <t>Bone: T1 vertebra</t>
  </si>
  <si>
    <t>A1</t>
  </si>
  <si>
    <t>M</t>
  </si>
  <si>
    <t>Metastatic adenocarcinoma from prostate</t>
  </si>
  <si>
    <t>1 (pelvic lymph nodes, bone)</t>
  </si>
  <si>
    <t>T3bN1M1</t>
  </si>
  <si>
    <t>Hormone therapy</t>
  </si>
  <si>
    <t xml:space="preserve">Degarelix </t>
  </si>
  <si>
    <t>PSA 1.7 ug/L down from 351 ug/L</t>
  </si>
  <si>
    <t>LHRH analogue, NOS plus enzalutamide (indefinite)</t>
  </si>
  <si>
    <t>PSA 0.02 ug/L dwown from 1.7 ug/L</t>
  </si>
  <si>
    <t>36Gy in 6# (prostate)</t>
  </si>
  <si>
    <t>Alive</t>
  </si>
  <si>
    <t>Proximal femoral replacement</t>
  </si>
  <si>
    <t>Right breast</t>
  </si>
  <si>
    <t>LH22-20320</t>
  </si>
  <si>
    <t>Bone: Left proximal femur</t>
  </si>
  <si>
    <t>Immunotherapy naïve</t>
  </si>
  <si>
    <t>B3</t>
  </si>
  <si>
    <t>Metastatic breast cancer (primary was invasive lobular carcinoma)</t>
  </si>
  <si>
    <t>Primary tumour</t>
  </si>
  <si>
    <t>x</t>
  </si>
  <si>
    <t>T3N3M0</t>
  </si>
  <si>
    <t>AJCC 7</t>
  </si>
  <si>
    <t>IIIC</t>
  </si>
  <si>
    <t>Chemotherapy</t>
  </si>
  <si>
    <t>Epirubicin, cyclophosphamide (3 cycles)</t>
  </si>
  <si>
    <t>Docetaxel (4 cycles)</t>
  </si>
  <si>
    <t>40Gy in 15# (breast, lymph nodes)</t>
  </si>
  <si>
    <t>Tamoxifen (2.5 years)</t>
  </si>
  <si>
    <t>Anastrazole (6 years)</t>
  </si>
  <si>
    <t>Zolendronic acid (5 cycles)</t>
  </si>
  <si>
    <t>Abdomen, pelvis (widespread metastatic disease)</t>
  </si>
  <si>
    <t>Paclitaxel (1 cycle)</t>
  </si>
  <si>
    <t>PHESGO (trastuzamab, pertuzamab), Docetaxel (6 cycles)</t>
  </si>
  <si>
    <t>PR</t>
  </si>
  <si>
    <t>Exemestane (indefinite)</t>
  </si>
  <si>
    <t>PHESGO (pertuzumab, trastuzumab) (5 cycles)</t>
  </si>
  <si>
    <t>Zolendronic acid (2 cycles)</t>
  </si>
  <si>
    <t>Antibody-drug-conjugates</t>
  </si>
  <si>
    <t>Trastuzumab emtansine (2 cycles)</t>
  </si>
  <si>
    <t>8Gy in 1# (spine)</t>
  </si>
  <si>
    <t>1a) Metastatic breast cancer 2) Pathological fracture, left femur</t>
  </si>
  <si>
    <t>Note disease ERpos PRneg HER2pos at relapse</t>
  </si>
  <si>
    <t xml:space="preserve">Right cemented proximal femoral replacement (hemiarthroplasty) </t>
  </si>
  <si>
    <t>Skin, left knee</t>
  </si>
  <si>
    <t>LH22-28326</t>
  </si>
  <si>
    <t>Bone: Right proximal femur</t>
  </si>
  <si>
    <t>A2</t>
  </si>
  <si>
    <t>Metastatic melanoma</t>
  </si>
  <si>
    <t>3b</t>
  </si>
  <si>
    <t>T3bN0M0</t>
  </si>
  <si>
    <t>AJCC 6</t>
  </si>
  <si>
    <t>IIB</t>
  </si>
  <si>
    <t>Skin, left leg (metastatic deposit)</t>
  </si>
  <si>
    <t>Patient also diagnosed with stage IIIC serous carcinoma of ovary shortly after melanoma recurrence (treated with  bevacizumab, paclitaxel, carboplatin)</t>
  </si>
  <si>
    <t>Excision, cervical vertebra</t>
  </si>
  <si>
    <t>LH23-04961</t>
  </si>
  <si>
    <t>Bone: Cervical vertebra</t>
  </si>
  <si>
    <t>A4</t>
  </si>
  <si>
    <t>Metastatic carcinoma consistent with prostate as primary site</t>
  </si>
  <si>
    <t>Other specimen</t>
  </si>
  <si>
    <t>Zoladex (10.8 mg 3-monthly injection with 1 month bicalutamide cover)</t>
  </si>
  <si>
    <t>PSA 13.65 ug/L (down from 46 ug/L)</t>
  </si>
  <si>
    <t>Bicalutamide (50 ug/L) added to Zoladex</t>
  </si>
  <si>
    <t>PSA 0.9 ug/L (down from 13.65 ug/L)</t>
  </si>
  <si>
    <t>PSA rise 28 ug/L; CT: local recurrence)</t>
  </si>
  <si>
    <t>Enzalutamide added to Zoladex</t>
  </si>
  <si>
    <t>PSA 25 ug/L (down from 28 ug/L)</t>
  </si>
  <si>
    <t>Darolutamide (in addition to Zoladex)</t>
  </si>
  <si>
    <t>PSA 7.8 ug/L down from 25 ug/L</t>
  </si>
  <si>
    <t>8Gy in 1# (cervical spine)</t>
  </si>
  <si>
    <t>TURP - Gleason 4+5 (=9); 4.5 years after dx</t>
  </si>
  <si>
    <t>Sampling of bone,  pathological fracture, left ulna</t>
  </si>
  <si>
    <t>Kidney</t>
  </si>
  <si>
    <t>LH23-09726</t>
  </si>
  <si>
    <t>Bone: Left ulna, proximal segment</t>
  </si>
  <si>
    <t>Metastatic clear cell renal cell carcinoma</t>
  </si>
  <si>
    <t>2a</t>
  </si>
  <si>
    <t>T2aN0M0</t>
  </si>
  <si>
    <t>II</t>
  </si>
  <si>
    <t>Lung (new mets), Hilar lymph nodes (new mets)</t>
  </si>
  <si>
    <t>8Gy in 1# (elbow)</t>
  </si>
  <si>
    <t>Right VATS inspection; Resection of right 5th rib lesion</t>
  </si>
  <si>
    <t>Thyroid</t>
  </si>
  <si>
    <t>LH23-19815</t>
  </si>
  <si>
    <t>Bone: Right 5th rib</t>
  </si>
  <si>
    <t>A5</t>
  </si>
  <si>
    <t>Metastatic thyroid carcinoma (Hurthle cell carcinoma)</t>
  </si>
  <si>
    <t>T3N0M0</t>
  </si>
  <si>
    <t>III</t>
  </si>
  <si>
    <t>Iodine 125</t>
  </si>
  <si>
    <t>Right rib (new met)</t>
  </si>
  <si>
    <t>T12 decompression and stabilisation</t>
  </si>
  <si>
    <t>Breast (occult primary)</t>
  </si>
  <si>
    <t>LH23-25106</t>
  </si>
  <si>
    <t>Bone: T12 vertebra</t>
  </si>
  <si>
    <t>Metastatic carcinoma, consistent with breast origin</t>
  </si>
  <si>
    <t>T0N0M1</t>
  </si>
  <si>
    <t>Letrozole</t>
  </si>
  <si>
    <t>SD</t>
  </si>
  <si>
    <t>30Gy in 10# (thoracic spine)</t>
  </si>
  <si>
    <t>Palbociclib (8 cycles)</t>
  </si>
  <si>
    <t>T12 vertebra (larger met)</t>
  </si>
  <si>
    <t>Left breast</t>
  </si>
  <si>
    <t>LH23-29005</t>
  </si>
  <si>
    <t>B4[L]</t>
  </si>
  <si>
    <t>C1</t>
  </si>
  <si>
    <t>Bone: Right femur</t>
  </si>
  <si>
    <t>Metastatic high grade carcinoma consistent with breast origin (primary was invasive ductal carcinoma)</t>
  </si>
  <si>
    <t>TxN0M0</t>
  </si>
  <si>
    <t>Letrozole (10 years)</t>
  </si>
  <si>
    <t>Right proximal femur (new met)</t>
  </si>
  <si>
    <t>Also ERpos PRneg HER2neg at dx</t>
  </si>
  <si>
    <t>C7 Corpectomy and C5-T2 posterior instrumented fusion</t>
  </si>
  <si>
    <t xml:space="preserve">Left renal pelvis </t>
  </si>
  <si>
    <t>LH23-30362</t>
  </si>
  <si>
    <t>Bone: C7 bone body</t>
  </si>
  <si>
    <t>Metastatic transitional cell carcinoma</t>
  </si>
  <si>
    <t>T4N0M0</t>
  </si>
  <si>
    <t>Gemcitabine, carboplatin (4 cycles)</t>
  </si>
  <si>
    <t>C7 vertebra  (new met)</t>
  </si>
  <si>
    <t>30Gy in 10# (cervical/thoracic spine)</t>
  </si>
  <si>
    <t>Immunotherapy</t>
  </si>
  <si>
    <t>Azetolizumab (2 cycles)</t>
  </si>
  <si>
    <t>Azetolizumab</t>
  </si>
  <si>
    <t>Primary anterior corpectomy of cervical spine with reconstruction</t>
  </si>
  <si>
    <t>LH23-35183</t>
  </si>
  <si>
    <t>Bone: C5 vertebra</t>
  </si>
  <si>
    <t>Metastatic prostate adenocarcinoma</t>
  </si>
  <si>
    <t>TXN0M1</t>
  </si>
  <si>
    <t>Degarelix (240 mg 1 monthly injections)</t>
  </si>
  <si>
    <t xml:space="preserve">SD </t>
  </si>
  <si>
    <t>30Gy in 10# (cervical spine)</t>
  </si>
  <si>
    <t>Enzalutamide added to degerelix</t>
  </si>
  <si>
    <t>Bone (multiple new mets)</t>
  </si>
  <si>
    <t>8Gy in 1# (pelvic bone)</t>
  </si>
  <si>
    <t>PSA measurements not done: non-PSA secreting tumour</t>
  </si>
  <si>
    <t>T1 corpectomy with expandable cage C7-T3 with biopsy</t>
  </si>
  <si>
    <t>Right lung</t>
  </si>
  <si>
    <t>LH23-50042</t>
  </si>
  <si>
    <t>Metastatic lung adenocarcinoma</t>
  </si>
  <si>
    <t>1c (multiple bone mets)</t>
  </si>
  <si>
    <t>T4N2M1c</t>
  </si>
  <si>
    <t>IVB</t>
  </si>
  <si>
    <t>Osimertinib</t>
  </si>
  <si>
    <t>Pleural effusions (increased), Lungs (increased disease) (Slow progression)</t>
  </si>
  <si>
    <t>Posterior thoracic stabilisation and decompression for T10 tumour</t>
  </si>
  <si>
    <t>Unknown</t>
  </si>
  <si>
    <t>LH24-43742</t>
  </si>
  <si>
    <t>Bone: T10 vertebra (extradural tumour)</t>
  </si>
  <si>
    <t>Bone: T10 vertebra (bone)</t>
  </si>
  <si>
    <t>Metastatic poorly differentiated carcinoma showing possible neuroendocrine differentiation</t>
  </si>
  <si>
    <t>1 (bone, liver, pleural effusion, mediastinum, hilar lymph nodes)</t>
  </si>
  <si>
    <t>TXNXM1</t>
  </si>
  <si>
    <t>P</t>
  </si>
  <si>
    <t>Progression (liver, pleural effusion, mediastinal mass)</t>
  </si>
  <si>
    <t>Possible thymic carcinoma in view of mediastinal mass but uncertain</t>
  </si>
  <si>
    <t>Right lung, upper lobe</t>
  </si>
  <si>
    <t>LH25-05142</t>
  </si>
  <si>
    <t>Bone: Proximal femur</t>
  </si>
  <si>
    <t>Metastatic adenocarcinoma; immunoprofile indicative of lung origin</t>
  </si>
  <si>
    <t>M1b (bone - 1 site)</t>
  </si>
  <si>
    <t>T3N1/2M1b</t>
  </si>
  <si>
    <t>IVA</t>
  </si>
  <si>
    <t>Tepotinib (6 cycles)</t>
  </si>
  <si>
    <t>Thyroid (new met) Neck lymph nodes (new mets), Gluteal muscle (new &amp; larger mets) Spine (new/larger met)</t>
  </si>
  <si>
    <t>20Gy in 5# (hip); 20Gy in 5# (thyroid), 8Gy in 1# (spine)</t>
  </si>
  <si>
    <t>Pemetrexed, carboplatin (1 cycle)</t>
  </si>
  <si>
    <t>Prophylactic intramedullary nailing left femur</t>
  </si>
  <si>
    <t>LH25-05660</t>
  </si>
  <si>
    <t>A6</t>
  </si>
  <si>
    <t>Metastatic breast carcinoma (primary was invasive ductal carcinoma)</t>
  </si>
  <si>
    <t>1c</t>
  </si>
  <si>
    <t>T1cN0M0</t>
  </si>
  <si>
    <t>IA</t>
  </si>
  <si>
    <t>40Gy in 5# plus 5Gy boost</t>
  </si>
  <si>
    <t>Tamoxifen (approx 3 years)</t>
  </si>
  <si>
    <t>Goserelin (5 cycles) then leuprorelin (21 cycles- indefinite)</t>
  </si>
  <si>
    <t>Zolendronate (added to goserelin) - indefinite</t>
  </si>
  <si>
    <t>20Gy in 5# (body of sacrum), 8Gy in 1# (spine)</t>
  </si>
  <si>
    <t>Palbociclib (2 cycles) and letrozole added to goserelin</t>
  </si>
  <si>
    <t>Ribociclib (3 cycles) replaces palbociclib</t>
  </si>
  <si>
    <t>Abemaciclib (27 cycles) replaces ribociclib</t>
  </si>
  <si>
    <t>Fulvestrant (12 cycles) and alpelisib (12 cycles) replacing letrozole and abemaciclib</t>
  </si>
  <si>
    <t>Capecitabine (10 cycles)</t>
  </si>
  <si>
    <t>6Gy in 1# (rib)</t>
  </si>
  <si>
    <t>20Gy in 5# (femur)</t>
  </si>
  <si>
    <t>Elacestrant (3 cycles)</t>
  </si>
  <si>
    <t>8Gy in 1# (spine); 2 dose points</t>
  </si>
  <si>
    <t>Paclitaxel (7 cycles)</t>
  </si>
  <si>
    <t>Specimen ERpos PRpos HER2neg</t>
  </si>
  <si>
    <t>Post treatment specimen 1 anonymised ID</t>
  </si>
  <si>
    <t>Last treatment prior to specimen 1 surgery</t>
  </si>
  <si>
    <t>Indication</t>
  </si>
  <si>
    <t>Renal cell carcinoma</t>
  </si>
  <si>
    <t>Thyroid carcinoma</t>
  </si>
  <si>
    <t>Urinary tract carcinoma (other)</t>
  </si>
  <si>
    <t>Carcinoma of unknown primary</t>
  </si>
  <si>
    <t>Details provided for:</t>
  </si>
  <si>
    <t xml:space="preserve">Gleason score </t>
  </si>
  <si>
    <t>PSA (ug/L)</t>
  </si>
  <si>
    <t>Androgen deprivation therapy (ADT)</t>
  </si>
  <si>
    <r>
      <t xml:space="preserve">Biochemical Relapse </t>
    </r>
    <r>
      <rPr>
        <i/>
        <sz val="10"/>
        <color rgb="FF000000"/>
        <rFont val="Calibri Light"/>
        <family val="2"/>
        <scheme val="major"/>
      </rPr>
      <t>during</t>
    </r>
    <r>
      <rPr>
        <sz val="10"/>
        <color rgb="FF000000"/>
        <rFont val="Calibri Light"/>
        <family val="2"/>
        <scheme val="major"/>
      </rPr>
      <t xml:space="preserve"> ADT</t>
    </r>
  </si>
  <si>
    <r>
      <t xml:space="preserve">Clinical relapse </t>
    </r>
    <r>
      <rPr>
        <i/>
        <sz val="10"/>
        <color rgb="FF000000"/>
        <rFont val="Calibri Light"/>
        <family val="2"/>
        <scheme val="major"/>
      </rPr>
      <t>during</t>
    </r>
    <r>
      <rPr>
        <sz val="10"/>
        <color rgb="FF000000"/>
        <rFont val="Calibri Light"/>
        <family val="2"/>
        <scheme val="major"/>
      </rPr>
      <t xml:space="preserve"> ADT </t>
    </r>
  </si>
  <si>
    <t>Castrate resistant prostate cancer (CRPC)</t>
  </si>
  <si>
    <t>PSA nadir (ug/L; detection limits vary)</t>
  </si>
  <si>
    <t>PSA when last followed up (ug/L; detection limits vary)</t>
  </si>
  <si>
    <t>Date diagnosis</t>
  </si>
  <si>
    <t>Date ADT therapy first initiated</t>
  </si>
  <si>
    <r>
      <t xml:space="preserve">Date biochemical recurrence/progression </t>
    </r>
    <r>
      <rPr>
        <i/>
        <sz val="10"/>
        <color rgb="FF000000"/>
        <rFont val="Calibri Light"/>
        <family val="2"/>
        <scheme val="major"/>
      </rPr>
      <t>during</t>
    </r>
    <r>
      <rPr>
        <sz val="10"/>
        <color rgb="FF000000"/>
        <rFont val="Calibri Light"/>
        <family val="2"/>
        <scheme val="major"/>
      </rPr>
      <t xml:space="preserve"> ADT</t>
    </r>
  </si>
  <si>
    <t xml:space="preserve">Details of biochemical recurrence </t>
  </si>
  <si>
    <r>
      <t xml:space="preserve">Date clinical recurrence/progression </t>
    </r>
    <r>
      <rPr>
        <i/>
        <sz val="10"/>
        <color rgb="FF000000"/>
        <rFont val="Calibri Light"/>
        <family val="2"/>
        <scheme val="major"/>
      </rPr>
      <t>during</t>
    </r>
    <r>
      <rPr>
        <sz val="10"/>
        <color rgb="FF000000"/>
        <rFont val="Calibri Light"/>
        <family val="2"/>
        <scheme val="major"/>
      </rPr>
      <t xml:space="preserve"> ADT</t>
    </r>
  </si>
  <si>
    <t>TTE CRPC (biochemical) (from ADT start date)</t>
  </si>
  <si>
    <t>TTE CRPC (clinical) (from ADT start date)</t>
  </si>
  <si>
    <t>TTE CRPC (biochemical) from date diagnosis</t>
  </si>
  <si>
    <t>TTE CRPC (clinical) from date diagnosis</t>
  </si>
  <si>
    <t>Castrate resistant disease at time of sample surgery</t>
  </si>
  <si>
    <t>Metastatic disease at diagnosis (distant mets/non-regional lymph nodes)</t>
  </si>
  <si>
    <t>Metastatic disease at time of sample surgery (distant mets/non-regional lymph nodes)</t>
  </si>
  <si>
    <t>Date progression to metastatic disease</t>
  </si>
  <si>
    <t>TTE progression to metastatic disease (from date of diagnosis)</t>
  </si>
  <si>
    <t>Disease status at sample surgery (metastatic/non-metastatic/castrate resistant/hormone sensitive)</t>
  </si>
  <si>
    <t>Notes</t>
  </si>
  <si>
    <t>&lt;0.02</t>
  </si>
  <si>
    <t>mHSPC</t>
  </si>
  <si>
    <t>Prostate carcinoma</t>
  </si>
  <si>
    <t>Prostate biopsy</t>
  </si>
  <si>
    <t>4+4=8</t>
  </si>
  <si>
    <t>PSA 28 ug/L</t>
  </si>
  <si>
    <t>mCRPC</t>
  </si>
  <si>
    <t>N/A (non-PSA secreting tumour)</t>
  </si>
  <si>
    <t>Specimen used for testing (if different)</t>
  </si>
  <si>
    <t>Block used for testing</t>
  </si>
  <si>
    <t>Oestrogen Receptor Status</t>
  </si>
  <si>
    <t>Progesterone Receptor Status</t>
  </si>
  <si>
    <t>HER2 IHC Score</t>
  </si>
  <si>
    <t>HER2 FISH score</t>
  </si>
  <si>
    <t>Nottingham Prognostic Index</t>
  </si>
  <si>
    <t>Pathogenic germline gene variants identified</t>
  </si>
  <si>
    <t>Genes tested</t>
  </si>
  <si>
    <t>Oncotype DX score (done on resection)</t>
  </si>
  <si>
    <t>LH12-44227</t>
  </si>
  <si>
    <t>Positive (&gt; or = 1%)</t>
  </si>
  <si>
    <t>Negative (0)</t>
  </si>
  <si>
    <t>Breast carcinoma</t>
  </si>
  <si>
    <t>Negative (&lt;1%)</t>
  </si>
  <si>
    <t>LH16-35471</t>
  </si>
  <si>
    <t>None</t>
  </si>
  <si>
    <t>BRCA1, BRCA2</t>
  </si>
  <si>
    <t>Tumour type (primary)</t>
  </si>
  <si>
    <t>Specimen number used for testing if different</t>
  </si>
  <si>
    <t>KRAS mutation</t>
  </si>
  <si>
    <t>NRAS mutation</t>
  </si>
  <si>
    <t>BRAF mutation</t>
  </si>
  <si>
    <t>Superficial spreading melanoma</t>
  </si>
  <si>
    <t>LH08-4447</t>
  </si>
  <si>
    <t>Not detected</t>
  </si>
  <si>
    <t>Malignant melanoma (cutaneous)</t>
  </si>
  <si>
    <t>PD-L1</t>
  </si>
  <si>
    <t>% positive cells (PD-L1)</t>
  </si>
  <si>
    <t>EGFR mutation</t>
  </si>
  <si>
    <t>ALK rearrangement/fusion</t>
  </si>
  <si>
    <t>Any other variants detected</t>
  </si>
  <si>
    <t>Negative</t>
  </si>
  <si>
    <t>&lt;1%</t>
  </si>
  <si>
    <t>Detected c.2573T&gt;G p.(Leu858Arg)</t>
  </si>
  <si>
    <t>Lung carcinoma (NSCLC)</t>
  </si>
  <si>
    <t>Positive</t>
  </si>
  <si>
    <t>MET c.3028G&gt;A variant (exon 14 skipping)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</si>
  <si>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</si>
  <si>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</si>
  <si>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</si>
  <si>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</si>
  <si>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</si>
  <si>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</si>
  <si>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</si>
  <si>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</si>
  <si>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</si>
  <si>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</si>
  <si>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</si>
  <si>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</si>
  <si>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LH21-04365</t>
  </si>
  <si>
    <t>LH21-23540</t>
  </si>
  <si>
    <t>LH21-28013</t>
  </si>
  <si>
    <t>LH21-40310</t>
  </si>
  <si>
    <t>LH22-04617</t>
  </si>
  <si>
    <t>LH22-13091</t>
  </si>
  <si>
    <t>LH22-43131</t>
  </si>
  <si>
    <t>LH23-30042</t>
  </si>
  <si>
    <t>LH23-44736</t>
  </si>
  <si>
    <t>LH24-09091</t>
  </si>
  <si>
    <t>LH24-16167</t>
  </si>
  <si>
    <t>LH24-20988</t>
  </si>
  <si>
    <t>LH24-48936</t>
  </si>
  <si>
    <t>LH25-06337</t>
  </si>
  <si>
    <t>LH25-17083</t>
  </si>
  <si>
    <t>LH25-30968</t>
  </si>
  <si>
    <t>LH25-37846</t>
  </si>
  <si>
    <t>LH25-45533</t>
  </si>
  <si>
    <t>LH25-45656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</si>
  <si>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</si>
  <si>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</si>
  <si>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</si>
  <si>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</si>
  <si>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</si>
  <si>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AJCC 5</t>
  </si>
  <si>
    <t>Header</t>
  </si>
  <si>
    <t>Column</t>
  </si>
  <si>
    <t>Immunotherapy only</t>
  </si>
  <si>
    <t>A</t>
  </si>
  <si>
    <t>Mixed treatment</t>
  </si>
  <si>
    <t>B</t>
  </si>
  <si>
    <t>Age at diagnosis</t>
  </si>
  <si>
    <t>=DATEDIF(DOB, DODx,"Y")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</si>
  <si>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</si>
  <si>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</si>
  <si>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</si>
  <si>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Figo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</si>
  <si>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</si>
  <si>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</si>
  <si>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</si>
  <si>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</si>
  <si>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</si>
  <si>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</si>
  <si>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</si>
  <si>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</si>
  <si>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</si>
  <si>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</si>
  <si>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</si>
  <si>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</si>
  <si>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</si>
  <si>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</si>
  <si>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</si>
  <si>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</si>
  <si>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</si>
  <si>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</si>
  <si>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</si>
  <si>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</si>
  <si>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</si>
  <si>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</si>
  <si>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</si>
  <si>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</si>
  <si>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</si>
  <si>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</si>
  <si>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</si>
  <si>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</si>
  <si>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</si>
  <si>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</si>
  <si>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</si>
  <si>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</si>
  <si>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</si>
  <si>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</si>
  <si>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</si>
  <si>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</si>
  <si>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</si>
  <si>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</si>
  <si>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</si>
  <si>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</si>
  <si>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</si>
  <si>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</si>
  <si>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</si>
  <si>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</si>
  <si>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</si>
  <si>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</si>
  <si>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</si>
  <si>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</si>
  <si>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</si>
  <si>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</si>
  <si>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</si>
  <si>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</si>
  <si>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</si>
  <si>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</si>
  <si>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</si>
  <si>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</si>
  <si>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</si>
  <si>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</si>
  <si>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</si>
  <si>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</si>
  <si>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</si>
  <si>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</si>
  <si>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</si>
  <si>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</si>
  <si>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</si>
  <si>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</si>
  <si>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</si>
  <si>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</si>
  <si>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</si>
  <si>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</si>
  <si>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</si>
  <si>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</si>
  <si>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</si>
  <si>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</si>
  <si>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</si>
  <si>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</si>
  <si>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</si>
  <si>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</si>
  <si>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</si>
  <si>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</si>
  <si>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</si>
  <si>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</si>
  <si>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</si>
  <si>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</si>
  <si>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</si>
  <si>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</si>
  <si>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</si>
  <si>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</si>
  <si>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</si>
  <si>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</si>
  <si>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</si>
  <si>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</si>
  <si>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</si>
  <si>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</si>
  <si>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</si>
  <si>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</si>
  <si>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</si>
  <si>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</si>
  <si>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</si>
  <si>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</si>
  <si>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</si>
  <si>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</si>
  <si>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</si>
  <si>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</si>
  <si>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</si>
  <si>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</si>
  <si>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</si>
  <si>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</si>
  <si>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</si>
  <si>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</si>
  <si>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</si>
  <si>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</si>
  <si>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</si>
  <si>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</si>
  <si>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</si>
  <si>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</si>
  <si>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</si>
  <si>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</si>
  <si>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</si>
  <si>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</si>
  <si>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</si>
  <si>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</si>
  <si>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</si>
  <si>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</si>
  <si>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</si>
  <si>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</si>
  <si>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</si>
  <si>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</si>
  <si>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</si>
  <si>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</si>
  <si>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</si>
  <si>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</si>
  <si>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</si>
  <si>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</si>
  <si>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</si>
  <si>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</si>
  <si>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</si>
  <si>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</si>
  <si>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</si>
  <si>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</si>
  <si>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</si>
  <si>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</si>
  <si>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</si>
  <si>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</si>
  <si>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</si>
  <si>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</si>
  <si>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</si>
  <si>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</si>
  <si>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</si>
  <si>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</si>
  <si>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</si>
  <si>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</si>
  <si>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</si>
  <si>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</si>
  <si>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</si>
  <si>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</si>
  <si>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</si>
  <si>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</si>
  <si>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</si>
  <si>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</si>
  <si>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</si>
  <si>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</si>
  <si>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</si>
  <si>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</si>
  <si>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</si>
  <si>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</si>
  <si>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</si>
  <si>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</si>
  <si>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</si>
  <si>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</si>
  <si>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</si>
  <si>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</si>
  <si>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</si>
  <si>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</si>
  <si>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</si>
  <si>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</si>
  <si>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</si>
  <si>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</si>
  <si>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</si>
  <si>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</si>
  <si>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</si>
  <si>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</si>
  <si>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</si>
  <si>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</si>
  <si>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</si>
  <si>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</si>
  <si>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</si>
  <si>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</si>
  <si>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</si>
  <si>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</si>
  <si>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</si>
  <si>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</si>
  <si>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</si>
  <si>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</si>
  <si>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</si>
  <si>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</si>
  <si>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</si>
  <si>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</si>
  <si>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</si>
  <si>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</si>
  <si>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</si>
  <si>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</si>
  <si>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</si>
  <si>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</si>
  <si>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</si>
  <si>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</si>
  <si>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</si>
  <si>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</si>
  <si>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</si>
  <si>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</si>
  <si>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</si>
  <si>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</si>
  <si>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</si>
  <si>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</si>
  <si>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</si>
  <si>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</si>
  <si>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</si>
  <si>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</si>
  <si>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</si>
  <si>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</si>
  <si>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</si>
  <si>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</si>
  <si>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</si>
  <si>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</si>
  <si>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</si>
  <si>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</si>
  <si>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</si>
  <si>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</si>
  <si>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</si>
  <si>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</si>
  <si>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</si>
  <si>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</si>
  <si>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</si>
  <si>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</si>
  <si>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</si>
  <si>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</si>
  <si>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</si>
  <si>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</si>
  <si>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</si>
  <si>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</si>
  <si>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</si>
  <si>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</si>
  <si>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</si>
  <si>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</si>
  <si>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</si>
  <si>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</si>
  <si>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</si>
  <si>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</si>
  <si>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</si>
  <si>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</si>
  <si>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</si>
  <si>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</si>
  <si>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</si>
  <si>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</si>
  <si>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</si>
  <si>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</si>
  <si>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</si>
  <si>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</si>
  <si>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</si>
  <si>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</si>
  <si>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</si>
  <si>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</si>
  <si>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</si>
  <si>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</si>
  <si>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</si>
  <si>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</si>
  <si>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</si>
  <si>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</si>
  <si>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</si>
  <si>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</si>
  <si>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</si>
  <si>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</si>
  <si>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</si>
  <si>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</si>
  <si>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</si>
  <si>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</si>
  <si>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</si>
  <si>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</si>
  <si>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</si>
  <si>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</si>
  <si>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</si>
  <si>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</si>
  <si>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</si>
  <si>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</si>
  <si>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</si>
  <si>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</si>
  <si>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</si>
  <si>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</si>
  <si>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</si>
  <si>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</si>
  <si>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</si>
  <si>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</si>
  <si>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</si>
  <si>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</si>
  <si>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</si>
  <si>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</si>
  <si>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</si>
  <si>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</si>
  <si>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</si>
  <si>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</si>
  <si>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</si>
  <si>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</si>
  <si>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</si>
  <si>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</si>
  <si>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</si>
  <si>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</si>
  <si>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</si>
  <si>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</si>
  <si>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</si>
  <si>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</si>
  <si>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</si>
  <si>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</si>
  <si>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</si>
  <si>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</si>
  <si>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</si>
  <si>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</si>
  <si>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</si>
  <si>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</si>
  <si>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</si>
  <si>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</si>
  <si>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</si>
  <si>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</si>
  <si>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</si>
  <si>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IB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</si>
  <si>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</si>
  <si>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</si>
  <si>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</si>
  <si>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</si>
  <si>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</si>
  <si>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</si>
  <si>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</si>
  <si>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</si>
  <si>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</si>
  <si>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</si>
  <si>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</si>
  <si>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</si>
  <si>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</si>
  <si>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</si>
  <si>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</si>
  <si>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</si>
  <si>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</si>
  <si>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</si>
  <si>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</si>
  <si>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</si>
  <si>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</si>
  <si>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</si>
  <si>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</si>
  <si>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</si>
  <si>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</si>
  <si>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</si>
  <si>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</si>
  <si>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</si>
  <si>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</si>
  <si>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</si>
  <si>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</si>
  <si>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</si>
  <si>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</si>
  <si>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</si>
  <si>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</si>
  <si>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</si>
  <si>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</si>
  <si>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</si>
  <si>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</si>
  <si>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</si>
  <si>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</si>
  <si>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</si>
  <si>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</si>
  <si>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</si>
  <si>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</si>
  <si>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</si>
  <si>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</si>
  <si>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</si>
  <si>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</si>
  <si>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</si>
  <si>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</si>
  <si>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</si>
  <si>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</si>
  <si>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</si>
  <si>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</si>
  <si>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</si>
  <si>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</si>
  <si>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</si>
  <si>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</si>
  <si>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</si>
  <si>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</si>
  <si>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</si>
  <si>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</si>
  <si>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</si>
  <si>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</si>
  <si>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</si>
  <si>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</si>
  <si>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</si>
  <si>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</si>
  <si>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</si>
  <si>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</si>
  <si>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</si>
  <si>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</si>
  <si>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</si>
  <si>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</si>
  <si>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</si>
  <si>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</si>
  <si>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</si>
  <si>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</si>
  <si>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</si>
  <si>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</si>
  <si>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</si>
  <si>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</si>
  <si>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</si>
  <si>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</si>
  <si>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</si>
  <si>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</si>
  <si>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</si>
  <si>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</si>
  <si>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</si>
  <si>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</si>
  <si>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</si>
  <si>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</si>
  <si>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</si>
  <si>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</si>
  <si>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</si>
  <si>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</si>
  <si>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</si>
  <si>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</si>
  <si>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</si>
  <si>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</si>
  <si>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</si>
  <si>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</si>
  <si>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</si>
  <si>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</si>
  <si>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</si>
  <si>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</si>
  <si>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</si>
  <si>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</si>
  <si>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</si>
  <si>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</si>
  <si>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</si>
  <si>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</si>
  <si>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</si>
  <si>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</si>
  <si>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</si>
  <si>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</si>
  <si>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</si>
  <si>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</si>
  <si>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</si>
  <si>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</si>
  <si>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</si>
  <si>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</si>
  <si>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</si>
  <si>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</si>
  <si>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</si>
  <si>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</si>
  <si>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</si>
  <si>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</si>
  <si>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</si>
  <si>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</si>
  <si>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</si>
  <si>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</si>
  <si>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</si>
  <si>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</si>
  <si>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</si>
  <si>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</si>
  <si>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</si>
  <si>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</si>
  <si>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</si>
  <si>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</si>
  <si>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</si>
  <si>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</si>
  <si>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</si>
  <si>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</si>
  <si>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</si>
  <si>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</si>
  <si>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</si>
  <si>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</si>
  <si>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</si>
  <si>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</si>
  <si>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</si>
  <si>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</si>
  <si>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</si>
  <si>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</si>
  <si>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</si>
  <si>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</si>
  <si>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</si>
  <si>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</si>
  <si>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</si>
  <si>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</si>
  <si>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</si>
  <si>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</si>
  <si>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</si>
  <si>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</si>
  <si>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</si>
  <si>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</si>
  <si>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</si>
  <si>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</si>
  <si>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</si>
  <si>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</si>
  <si>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</si>
  <si>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</si>
  <si>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</si>
  <si>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</si>
  <si>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</si>
  <si>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</si>
  <si>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</si>
  <si>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</si>
  <si>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</si>
  <si>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</si>
  <si>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</si>
  <si>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</si>
  <si>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</si>
  <si>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</si>
  <si>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</si>
  <si>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</si>
  <si>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</si>
  <si>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</si>
  <si>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</si>
  <si>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</si>
  <si>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</si>
  <si>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</si>
  <si>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</si>
  <si>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</si>
  <si>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</si>
  <si>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</si>
  <si>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</si>
  <si>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</si>
  <si>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</si>
  <si>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</si>
  <si>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</si>
  <si>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</si>
  <si>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</si>
  <si>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</si>
  <si>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</si>
  <si>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</si>
  <si>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</si>
  <si>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</si>
  <si>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</si>
  <si>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</si>
  <si>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</si>
  <si>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</si>
  <si>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</si>
  <si>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</si>
  <si>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</si>
  <si>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</si>
  <si>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</si>
  <si>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</si>
  <si>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</si>
  <si>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</si>
  <si>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</si>
  <si>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</si>
  <si>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</si>
  <si>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</si>
  <si>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</si>
  <si>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</si>
  <si>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</si>
  <si>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</si>
  <si>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</si>
  <si>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</si>
  <si>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</si>
  <si>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</si>
  <si>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</si>
  <si>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</si>
  <si>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</si>
  <si>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</si>
  <si>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</si>
  <si>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</si>
  <si>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</si>
  <si>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</si>
  <si>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</si>
  <si>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</si>
  <si>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</si>
  <si>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</si>
  <si>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</si>
  <si>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</si>
  <si>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</si>
  <si>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</si>
  <si>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</si>
  <si>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</si>
  <si>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</si>
  <si>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</si>
  <si>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</si>
  <si>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</si>
  <si>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</si>
  <si>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</si>
  <si>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</si>
  <si>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</si>
  <si>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</si>
  <si>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</si>
  <si>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</si>
  <si>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</si>
  <si>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</si>
  <si>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</si>
  <si>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</si>
  <si>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</si>
  <si>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</si>
  <si>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</si>
  <si>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</si>
  <si>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</si>
  <si>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</si>
  <si>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</si>
  <si>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</si>
  <si>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</si>
  <si>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</si>
  <si>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</si>
  <si>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</si>
  <si>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</si>
  <si>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</si>
  <si>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</si>
  <si>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</si>
  <si>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</si>
  <si>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TTE Error Reasoning</t>
  </si>
  <si>
    <t xml:space="preserve">1- TTE Primary Surgery Date (69.77) is less than or equal to TTE Neoadjuvant Tx1 End Date (87.87)
2- TTE Matched Met 1 Surgery Date (80.73) is less than or equal to TTE Neoadjuvant Tx1 End Date (87.87)
3- TTE Matched Met 2 Surgery Date (80.73) is less than or equal to TTE Neoadjuvant Tx1 End Date (87.87)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</si>
</sst>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0"/>
      <color theme="1"/>
      <name val="Arial"/>
      <family val="2"/>
    </font>
    <font>
      <b/>
      <sz val="10"/>
      <name val="Calibri Light"/>
      <family val="2"/>
      <scheme val="major"/>
    </font>
    <font>
      <i/>
      <sz val="10"/>
      <color rgb="FF000000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16" xfId="0" applyFont="1" applyBorder="1" applyAlignment="1">
      <alignment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1" fillId="0" borderId="7" xfId="0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9" xfId="0" applyFont="1" applyBorder="1"/>
    <xf numFmtId="0" fontId="9" fillId="0" borderId="0" xfId="0" quotePrefix="1" applyFont="1"/>
    <xf numFmtId="0" fontId="15" fillId="0" borderId="0" xfId="0" applyFont="1"/>
    <xf numFmtId="0" fontId="11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left"/>
    </xf>
    <xf numFmtId="0" fontId="9" fillId="0" borderId="7" xfId="0" quotePrefix="1" applyFont="1" applyBorder="1"/>
    <xf numFmtId="0" fontId="13" fillId="0" borderId="7" xfId="0" applyFont="1" applyBorder="1"/>
    <xf numFmtId="0" fontId="9" fillId="0" borderId="7" xfId="1" quotePrefix="1" applyFont="1" applyBorder="1" applyAlignment="1">
      <alignment horizontal="left"/>
    </xf>
    <xf numFmtId="0" fontId="14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6" xfId="0" applyNumberFormat="1" applyFont="1" applyBorder="1" applyAlignment="1">
      <alignment wrapText="1"/>
    </xf>
    <xf numFmtId="165" fontId="3" fillId="0" borderId="8" xfId="0" applyNumberFormat="1" applyFont="1" applyBorder="1" applyAlignment="1">
      <alignment wrapText="1"/>
    </xf>
    <xf numFmtId="165" fontId="5" fillId="0" borderId="15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1" fontId="7" fillId="5" borderId="7" xfId="1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wrapText="1"/>
    </xf>
    <xf numFmtId="0" fontId="7" fillId="9" borderId="16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2" fontId="3" fillId="0" borderId="7" xfId="0" quotePrefix="1" applyNumberFormat="1" applyFont="1" applyBorder="1" applyAlignment="1">
      <alignment horizontal="left"/>
    </xf>
    <xf numFmtId="2" fontId="3" fillId="0" borderId="7" xfId="1" applyNumberFormat="1" applyFont="1" applyBorder="1" applyAlignment="1">
      <alignment horizontal="left"/>
    </xf>
    <xf numFmtId="0" fontId="5" fillId="0" borderId="0" xfId="0" applyFont="1"/>
    <xf numFmtId="1" fontId="5" fillId="0" borderId="0" xfId="0" applyNumberFormat="1" applyFont="1"/>
    <xf numFmtId="0" fontId="3" fillId="0" borderId="10" xfId="0" applyFont="1" applyBorder="1" applyProtection="1">
      <protection locked="0"/>
    </xf>
    <xf numFmtId="0" fontId="0" fillId="0" borderId="7" xfId="0" applyBorder="1"/>
    <xf numFmtId="0" fontId="3" fillId="0" borderId="11" xfId="0" applyFont="1" applyBorder="1" applyAlignment="1" applyProtection="1">
      <alignment horizontal="left"/>
      <protection locked="0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49" fontId="3" fillId="0" borderId="4" xfId="0" applyNumberFormat="1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65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/>
    </xf>
    <xf numFmtId="165" fontId="3" fillId="0" borderId="11" xfId="0" applyNumberFormat="1" applyFont="1" applyBorder="1"/>
    <xf numFmtId="165" fontId="3" fillId="0" borderId="11" xfId="0" quotePrefix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" fontId="3" fillId="0" borderId="12" xfId="0" applyNumberFormat="1" applyFont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3" fillId="0" borderId="13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164" fontId="17" fillId="5" borderId="11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9" fillId="11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0" fillId="0" borderId="16" xfId="0" applyBorder="1"/>
    <xf numFmtId="164" fontId="17" fillId="5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7" xfId="0" applyFont="1" applyBorder="1" applyAlignment="1">
      <alignment horizontal="left"/>
    </xf>
    <xf numFmtId="165" fontId="5" fillId="0" borderId="7" xfId="0" applyNumberFormat="1" applyFont="1" applyBorder="1" applyAlignment="1">
      <alignment horizontal="left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2" fontId="11" fillId="0" borderId="7" xfId="0" applyNumberFormat="1" applyFont="1" applyBorder="1"/>
    <xf numFmtId="0" fontId="13" fillId="11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17" fillId="11" borderId="3" xfId="0" applyFont="1" applyFill="1" applyBorder="1" applyAlignment="1">
      <alignment horizontal="center" vertical="center" wrapText="1"/>
    </xf>
    <xf numFmtId="164" fontId="17" fillId="12" borderId="13" xfId="3" applyNumberFormat="1" applyFont="1" applyFill="1" applyBorder="1" applyAlignment="1">
      <alignment horizontal="center" vertical="center" wrapText="1"/>
    </xf>
    <xf numFmtId="2" fontId="11" fillId="0" borderId="16" xfId="0" applyNumberFormat="1" applyFont="1" applyBorder="1"/>
    <xf numFmtId="0" fontId="0" fillId="0" borderId="8" xfId="0" applyBorder="1"/>
    <xf numFmtId="164" fontId="6" fillId="7" borderId="11" xfId="0" applyNumberFormat="1" applyFont="1" applyFill="1" applyBorder="1" applyAlignment="1">
      <alignment horizontal="center" vertical="center" wrapText="1"/>
    </xf>
    <xf numFmtId="0" fontId="3" fillId="0" borderId="16" xfId="1" applyFont="1" applyBorder="1" applyAlignment="1">
      <alignment horizontal="left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11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3" fillId="0" borderId="6" xfId="0" applyNumberFormat="1" applyFont="1" applyBorder="1" applyAlignment="1">
      <alignment wrapText="1"/>
    </xf>
    <xf numFmtId="0" fontId="9" fillId="0" borderId="4" xfId="0" quotePrefix="1" applyFont="1" applyBorder="1"/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1" fontId="5" fillId="0" borderId="6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2" fontId="3" fillId="0" borderId="4" xfId="0" quotePrefix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17" fillId="11" borderId="16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2" fontId="11" fillId="0" borderId="4" xfId="0" applyNumberFormat="1" applyFont="1" applyBorder="1"/>
    <xf numFmtId="2" fontId="11" fillId="0" borderId="11" xfId="0" applyNumberFormat="1" applyFont="1" applyBorder="1"/>
    <xf numFmtId="0" fontId="0" fillId="0" borderId="6" xfId="0" applyBorder="1"/>
    <xf numFmtId="0" fontId="13" fillId="11" borderId="17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 wrapText="1"/>
    </xf>
    <xf numFmtId="0" fontId="17" fillId="11" borderId="18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3" fillId="11" borderId="6" xfId="0" applyFont="1" applyFill="1" applyBorder="1" applyAlignment="1">
      <alignment horizontal="center" vertical="center" wrapText="1"/>
    </xf>
    <xf numFmtId="0" fontId="20" fillId="0" borderId="16" xfId="0" applyFont="1" applyBorder="1"/>
    <xf numFmtId="9" fontId="0" fillId="0" borderId="4" xfId="0" applyNumberFormat="1" applyBorder="1"/>
    <xf numFmtId="0" fontId="20" fillId="0" borderId="11" xfId="0" applyFont="1" applyBorder="1"/>
    <xf numFmtId="0" fontId="16" fillId="0" borderId="1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2 76" xfId="3" xr:uid="{07716C9F-E87F-43ED-BDE1-28B6BF5FAEF5}"/>
  </cellStyles>
  <dxfs count="3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3F739FE6-D2FD-40F7-A9E6-F59633269AB3}" userId="S::m.cummings3@nhs.net::464af9cb-2ac6-4a60-90d5-810b97c47694" providerId="AD"/>
  <person displayName="FREER, Clare (LEEDS TEACHING HOSPITALS NHS TRUST)" id="{53BA5B69-23EB-4D9A-A138-96C5C4D95665}" userId="S::clare.freer2@nhs.net::38188dba-d054-4eda-9019-5e8a7b85df1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806A4C-0661-4D06-A4E0-A6F546A0FDDE}" name="FollowUp_1" displayName="FollowUp_1" ref="A3:HK18" totalsRowShown="0" dataDxfId="90" tableBorderDxfId="305" dataCellStyle="Normal 2">
  <autoFilter ref="A3:HK18" xr:uid="{B2806A4C-0661-4D06-A4E0-A6F546A0FDDE}"/>
  <tableColumns count="219">
    <tableColumn id="1" xr3:uid="{5466097C-04A7-4A07-B09A-84CA4376FF8B}" name="NHS number" dataDxfId="304"/>
    <tableColumn id="2" xr3:uid="{CFFEA0E9-461B-42EA-B792-9E962F709664}" name="Any Immunotherapy " dataDxfId="303"/>
    <tableColumn id="3" xr3:uid="{2CE7E9AF-1042-43C5-9C22-66AFEE08A8CF}" name="Specimen treatment subgrouping" dataDxfId="302"/>
    <tableColumn id="4" xr3:uid="{FAEE6835-CB37-4509-912F-ABEB940AF13D}" name="Specimen is a recurrence " dataDxfId="301"/>
    <tableColumn id="5" xr3:uid="{1B205FE8-E5DE-47DE-A0C6-66D38AFFAC42}" name="Selected specimen Anonymised ID" dataDxfId="300"/>
    <tableColumn id="6" xr3:uid="{90E91266-F758-42BC-92FF-0F3C7099E034}" name="Specimen Block number 1" dataDxfId="299"/>
    <tableColumn id="7" xr3:uid="{D9C0E9B5-0892-4361-847A-CC2ED8387616}" name="Specimen Block number 2" dataDxfId="298"/>
    <tableColumn id="8" xr3:uid="{EBB63F95-517A-4ED7-9FBE-54D665918D3E}" name="Specimen surgery date" dataDxfId="297"/>
    <tableColumn id="9" xr3:uid="{7E9B9239-8616-4360-B457-91E5C7BC53F8}" name="Specimen surgery" dataDxfId="296"/>
    <tableColumn id="10" xr3:uid="{FA20617F-0DAE-48AB-952E-DDF5D0572297}" name="Specimen tumour site" dataDxfId="295"/>
    <tableColumn id="11" xr3:uid="{013559BD-9D57-4BB7-BB95-86D513097634}" name="Primary Surgery date " dataDxfId="294"/>
    <tableColumn id="12" xr3:uid="{D7D5D7A6-B29E-490D-BE18-97AF26E48A87}" name="Primary tumour site" dataDxfId="293"/>
    <tableColumn id="13" xr3:uid="{0D8C006D-67E6-47B6-ABC5-842D2AFB3D41}" name="Anonymized ID Matched met 1" dataDxfId="292"/>
    <tableColumn id="14" xr3:uid="{406475C6-D502-4007-9C41-B3CAEEBCA010}" name="Matched met 1 Block Number" dataDxfId="291"/>
    <tableColumn id="15" xr3:uid="{9299D37F-16AD-41F8-BE0E-8A3F71DA5A33}" name="Matched met 1 Site" dataDxfId="290"/>
    <tableColumn id="16" xr3:uid="{1F3E3639-905A-4246-833A-0F18BAF7E95C}" name="Matched met 1 Surgery Date " dataDxfId="289"/>
    <tableColumn id="17" xr3:uid="{0F806DCB-AD87-430F-B649-EBCAEDB2B8E7}" name="Matched met 1 treatment subgrouping" dataDxfId="288"/>
    <tableColumn id="18" xr3:uid="{F41B48CA-A16F-40C5-AEA8-9A2BF22A3ACC}" name="Anonymized ID Matched met 2" dataDxfId="287"/>
    <tableColumn id="19" xr3:uid="{58A41B81-5A01-44C2-9098-DC03A834D8F0}" name="Matched met 2 Block Number" dataDxfId="286"/>
    <tableColumn id="20" xr3:uid="{AE987A8C-94EC-4D61-AF75-F4CCEA18521E}" name="Matched met 2 Site" dataDxfId="285"/>
    <tableColumn id="21" xr3:uid="{09802C4D-6C3F-41E8-AF34-68A7800CCBEE}" name="Matched met 2 Surgery Date " dataDxfId="284"/>
    <tableColumn id="22" xr3:uid="{F0C8C299-4C6F-4E6B-96A9-43114E7CE683}" name="Matched met 2 treatment subgrouping" dataDxfId="283"/>
    <tableColumn id="23" xr3:uid="{0BC4BAAE-C638-4880-963C-B2D55EBD229E}" name="Anonymized ID Matched met 3" dataDxfId="282"/>
    <tableColumn id="24" xr3:uid="{26BA4BFD-8881-4FDE-8E23-59FB1F37F61E}" name="Matched met 3 Block Number" dataDxfId="281"/>
    <tableColumn id="25" xr3:uid="{927529D4-9E75-40AD-B08F-22C695CB9F46}" name="Matched met 3 Site" dataDxfId="280"/>
    <tableColumn id="26" xr3:uid="{DB082C15-419F-465D-A017-013385F858BC}" name="Matched met 3 Surgery Date " dataDxfId="279"/>
    <tableColumn id="27" xr3:uid="{11E07AB1-8223-4B3C-8E95-D467A7783998}" name="Matched met 3 treatment subgrouping" dataDxfId="278"/>
    <tableColumn id="28" xr3:uid="{9AACBCB4-F9E6-4389-9AFB-E344CC703E6E}" name="Anonymized ID Matched met 4" dataDxfId="277"/>
    <tableColumn id="29" xr3:uid="{9C1AED39-D138-4CA6-865E-66940C843662}" name="Matched met 4 Block Number" dataDxfId="276"/>
    <tableColumn id="30" xr3:uid="{EEE0F550-5DC7-4632-B558-A33EB1A6B26F}" name="Matched met 4 Site" dataDxfId="275"/>
    <tableColumn id="31" xr3:uid="{63C5302A-7C17-4EB0-8172-737989E04B6B}" name="Matched met 4 Surgery Date " dataDxfId="274"/>
    <tableColumn id="32" xr3:uid="{D62424D0-BDAB-4B3E-9582-C771FF4CB584}" name="Matched met 4 treatment subgrouping" dataDxfId="273"/>
    <tableColumn id="33" xr3:uid="{EEF44413-0D15-40CF-BD21-974495C3A065}" name="Anonymized ID Matched met 5" dataDxfId="272"/>
    <tableColumn id="34" xr3:uid="{76EBCD19-4224-495C-B8C0-7F7B0A01A0EA}" name="Matched met 5 Block Number" dataDxfId="271"/>
    <tableColumn id="35" xr3:uid="{2B211B0B-ADAD-4FF1-88F8-3FF9F6A4284D}" name="Matched met 5 Site" dataDxfId="270"/>
    <tableColumn id="36" xr3:uid="{C059595B-4E4E-43CF-B111-2F82E5BD586C}" name="Matched met 5 Surgery Date " dataDxfId="269"/>
    <tableColumn id="37" xr3:uid="{EEA74C58-3634-45FB-BE1B-8EF9E2E0AD02}" name="Matched met 5 treatment subgrouping" dataDxfId="268"/>
    <tableColumn id="38" xr3:uid="{BDCA0CB6-15F1-4755-9B26-8ADF2445931B}" name="Anonymized ID Normal tissue" dataDxfId="267"/>
    <tableColumn id="39" xr3:uid="{888E8222-C290-4B7E-BB72-8E86DECA8DC2}" name="Matched Normal tissue Block Number" dataDxfId="266"/>
    <tableColumn id="40" xr3:uid="{179EC5AA-5736-4DE9-BC5C-21C9A83F419C}" name="Matched Normal tissue Site" dataDxfId="265"/>
    <tableColumn id="41" xr3:uid="{9DF89283-C81E-4FBD-BC60-6364FE2AD371}" name="Matched Normal tissue Surgery Date " dataDxfId="264"/>
    <tableColumn id="42" xr3:uid="{75DAA03E-BF1F-47AE-8568-CF74455721D2}" name="Matched Normal treatment subgrouping" dataDxfId="263"/>
    <tableColumn id="43" xr3:uid="{B7257B78-B5FC-44AA-8A34-7B1ED53224CD}" name="Gender" dataDxfId="262"/>
    <tableColumn id="44" xr3:uid="{70F423D4-6A4C-40A1-AA33-53BFBEBB25BC}" name="DOB " dataDxfId="261"/>
    <tableColumn id="45" xr3:uid="{D6A2A7BE-43B3-4CAB-AFEF-B8501E3309FB}" name="Date of DX" dataDxfId="260"/>
    <tableColumn id="46" xr3:uid="{47B7C1C5-9A53-47F0-8538-B22B40362C57}" name="Age at Diagnosis " dataDxfId="259">
      <calculatedColumnFormula>DATEDIF(AR4, AS4,"Y")</calculatedColumnFormula>
    </tableColumn>
    <tableColumn id="47" xr3:uid="{FF7B6D4F-F9B6-4F56-AA61-96AFEF527A28}" name="Specimen Histological Diagnosis" dataDxfId="258"/>
    <tableColumn id="48" xr3:uid="{CDE344A1-371C-4B4E-B7C3-B62E40CD12B7}" name="Staging/grading info provided for:" dataDxfId="257"/>
    <tableColumn id="49" xr3:uid="{537075E2-C9C9-46B8-A5CB-2FB995799F07}" name="Resection margins clear " dataDxfId="256"/>
    <tableColumn id="50" xr3:uid="{8A32F6B1-D9DD-4BF4-A979-CD5553BEF629}" name="pT" dataDxfId="255"/>
    <tableColumn id="51" xr3:uid="{CCD2F926-DA3E-4A24-94FE-66055044D9D7}" name="pN" dataDxfId="254"/>
    <tableColumn id="52" xr3:uid="{685BABAD-66A3-4FFA-9518-C92A4C4EDE73}" name="pM" dataDxfId="253"/>
    <tableColumn id="53" xr3:uid="{9BD2490F-6693-4437-A0BB-7613C795B23A}" name="cM" dataDxfId="252"/>
    <tableColumn id="54" xr3:uid="{34127807-18AB-4849-B0CA-0CE69942B64C}" name="TNM stage" dataDxfId="251"/>
    <tableColumn id="55" xr3:uid="{206E2E92-61D4-4A31-A935-D37469A9A972}" name="Grade" dataDxfId="250"/>
    <tableColumn id="56" xr3:uid="{3FE34A0A-FE37-437E-8889-00C37752DB2F}" name="Staging criteria" dataDxfId="249"/>
    <tableColumn id="57" xr3:uid="{6729E364-50F5-4F0E-8019-84BB3DDFD3B6}" name="Stage at DX" dataDxfId="248"/>
    <tableColumn id="58" xr3:uid="{2E5CC72E-8E1A-4950-8478-034F64085C1C}" name="Any Neoadjuvant therapy" dataDxfId="247"/>
    <tableColumn id="59" xr3:uid="{477CA21A-481B-4ED3-8630-51E8BA3D77EE}" name="Response to neoadjuvant therapy (TRS score)" dataDxfId="246"/>
    <tableColumn id="60" xr3:uid="{CF0FD169-CCFF-4C2B-99C2-941CE8DBB10A}" name="Neoadjuvant Tx1" dataDxfId="245"/>
    <tableColumn id="61" xr3:uid="{576EDDF1-C52C-4A84-A3B0-134FED605AF6}" name="Neoadjuvant Tx1 Agent" dataDxfId="244"/>
    <tableColumn id="62" xr3:uid="{64B18B0B-0075-4FFB-AF93-9B00C3F1A0C5}" name="Neoadjuvant Tx1 Start Date" dataDxfId="243"/>
    <tableColumn id="63" xr3:uid="{FC1BE5BA-0463-4105-AF1A-23C22421C3E9}" name="Neoadjuvant Tx1 End Date"/>
    <tableColumn id="64" xr3:uid="{2827D0B5-C19E-4B49-ADAC-BE474919C318}" name="Tumour response Neoadjuvant Tx1" dataDxfId="242"/>
    <tableColumn id="65" xr3:uid="{6F1F5281-3719-4B12-90ED-0F1B92667927}" name="Neoadjuvant Tx2" dataDxfId="241"/>
    <tableColumn id="66" xr3:uid="{FD613A93-15EA-4F69-BD43-87DDFF647174}" name="Neoadjuvant Tx2 Agent"/>
    <tableColumn id="67" xr3:uid="{1052A34C-0151-4C23-AF26-2675084E96A2}" name="Tumour response Neoadjuvant  Tx2"/>
    <tableColumn id="68" xr3:uid="{BF9BAE13-5178-47C9-B8C5-379A6470732E}" name="Neoadjuvant Tx3" dataDxfId="240"/>
    <tableColumn id="69" xr3:uid="{21FD7B01-6682-4494-9487-A218EE9E2248}" name="Neoadjuvant Tx3 Agent"/>
    <tableColumn id="70" xr3:uid="{B2CFA791-5C52-441E-8B1F-100F7474385D}" name="Tumour response Neoadjuvant  Tx3"/>
    <tableColumn id="71" xr3:uid="{92EAAC82-BDF3-40A6-8508-DFEF28908DCE}" name="Neoadjuvant Tx4" dataDxfId="239"/>
    <tableColumn id="72" xr3:uid="{4BCD810F-E1BD-4888-8C80-7DDD689C9F9B}" name="Neoadjuvant Tx4 Agent" dataDxfId="238"/>
    <tableColumn id="73" xr3:uid="{64C3E316-9F11-4B88-9440-871C7302499B}" name="Tumour response Neoadjuvant  Tx4" dataDxfId="237"/>
    <tableColumn id="74" xr3:uid="{6CFBBC07-C1FC-473A-9607-6E7F89D5EE21}" name="Neoadjuvant Tx5" dataDxfId="236"/>
    <tableColumn id="75" xr3:uid="{1D624B57-39E6-42A5-9328-68314B0504C9}" name="Neoadjuvant Tx5 Agent" dataDxfId="235"/>
    <tableColumn id="76" xr3:uid="{6CEEE01D-C8EB-4ADA-A5E4-7D56D26596DE}" name="Tumour response Neoadjuvant  Tx5" dataDxfId="234"/>
    <tableColumn id="77" xr3:uid="{0ECA0609-54CA-4DBA-867E-E912A8E92441}" name="Neoadjuvant Tx6" dataDxfId="233"/>
    <tableColumn id="78" xr3:uid="{7F66BFBB-5DC8-4E87-91BB-92B79BE756F8}" name="Neoadjuvant Tx6 Agent" dataDxfId="232"/>
    <tableColumn id="79" xr3:uid="{D33D8D46-A87C-4AAC-A1D3-C5F722659193}" name="Tumour response Neoadjuvant  Tx6" dataDxfId="231"/>
    <tableColumn id="80" xr3:uid="{FF509BC3-265D-4D8F-B0FD-A0A9CFE30E76}" name="Neoadjuvant Tx7" dataDxfId="230"/>
    <tableColumn id="81" xr3:uid="{7A187ECE-B525-48A3-B588-6CE9DF401476}" name="Neoadjuvant Tx7 Agent" dataDxfId="229"/>
    <tableColumn id="82" xr3:uid="{F499D40D-C239-4B5A-AC91-F1C9FC680AE2}" name="Tumour response Neoadjuvant  Tx7" dataDxfId="228"/>
    <tableColumn id="83" xr3:uid="{0498AE04-E8CC-43B4-8B32-62E5AC86DBB7}" name="Neoadjuvant Tx8" dataDxfId="227"/>
    <tableColumn id="84" xr3:uid="{4D451B34-5390-469D-86B6-928ADDAB7C8B}" name="Neoadjuvant Tx8 Agent" dataDxfId="226"/>
    <tableColumn id="85" xr3:uid="{22FD571C-1690-44E1-B5B7-4FBE28EAD861}" name="Tumour response Neoadjuvant  Tx8" dataDxfId="225"/>
    <tableColumn id="86" xr3:uid="{49A9148A-FAA9-4348-B133-E5672B304777}" name="Neoadjuvant Tx9" dataDxfId="224"/>
    <tableColumn id="87" xr3:uid="{AB543496-EEB3-4400-914F-7CA979B87D2C}" name="Neoadjuvant Tx9 Agent" dataDxfId="223"/>
    <tableColumn id="88" xr3:uid="{9613196A-C849-47E4-9032-F5FC8C8F28C1}" name="Tumour response Neoadjuvant  Tx9" dataDxfId="222"/>
    <tableColumn id="89" xr3:uid="{44450174-92C4-4140-8BAC-8B407668EB3E}" name="Neoadjuvant Tx10" dataDxfId="221"/>
    <tableColumn id="90" xr3:uid="{24784273-AD11-4CD3-8C8D-C6EF81416C54}" name="Neoadjuvant Tx10 Agent" dataDxfId="220"/>
    <tableColumn id="91" xr3:uid="{05B5F927-2E19-4ECA-A2F5-096732C4CD91}" name="Tumour response Neoadjuvant Tx10" dataDxfId="219"/>
    <tableColumn id="92" xr3:uid="{25A6F85B-F7C4-4DD4-89BF-B6717AC15BB4}" name="Adjuvant Tx1" dataDxfId="218"/>
    <tableColumn id="93" xr3:uid="{F03F0CC4-6D40-43EE-A1F9-C82F881ACD3C}" name="Adjuvant Tx1 Agent" dataDxfId="217"/>
    <tableColumn id="94" xr3:uid="{E25F1BA8-C968-4307-AD90-1D9F9BBB4BFE}" name="Adjuvant Tx1 Start Date" dataDxfId="216"/>
    <tableColumn id="95" xr3:uid="{09A47094-CE1C-47A6-AB10-222EFB4A8271}" name="Adjuvant Tx1 End Date" dataDxfId="215"/>
    <tableColumn id="96" xr3:uid="{899C4DCD-A160-4154-BBEF-315DA478569D}" name="Tumour response Adjuvant Tx1" dataDxfId="214"/>
    <tableColumn id="97" xr3:uid="{FA605F6D-264D-43A8-8DE9-ABC2FC1C82EF}" name="Adjuvant Tx2" dataDxfId="213"/>
    <tableColumn id="98" xr3:uid="{ED98ECF1-B81D-4A46-BD49-4B6C40E5EB52}" name="Adjuvant Tx2 Agent" dataDxfId="212"/>
    <tableColumn id="99" xr3:uid="{D2D4F547-4D41-42F4-8696-F792AB5CC859}" name="Tumour response Adjuvant  Tx2" dataDxfId="211"/>
    <tableColumn id="100" xr3:uid="{D2148A66-FC9D-4B80-AF8F-5533FBFD0661}" name="Adjuvant Tx3" dataDxfId="210"/>
    <tableColumn id="101" xr3:uid="{500419C4-5E68-4D9B-9F6D-7218B25C2021}" name="Adjuvant Tx3 Agent" dataDxfId="209"/>
    <tableColumn id="102" xr3:uid="{820F8EE0-1F2E-4DB1-BE14-823290279B3D}" name="Tumour response Adjuvant  Tx3" dataDxfId="208"/>
    <tableColumn id="103" xr3:uid="{AA97B91D-6A91-49A9-90D7-37E90D93469D}" name="Adjuvant Tx4" dataDxfId="207"/>
    <tableColumn id="104" xr3:uid="{4B05BC88-AB16-49F1-BB42-0606CB615E6D}" name="Adjuvant Tx4 Agent" dataDxfId="206"/>
    <tableColumn id="105" xr3:uid="{47FBFD4F-7114-4410-B576-AC905D1A26F4}" name="Tumour response Adjuvant  Tx4" dataDxfId="205"/>
    <tableColumn id="106" xr3:uid="{3332B9F1-28E9-4992-808C-80B53600C44D}" name="Adjuvant Tx5" dataDxfId="204"/>
    <tableColumn id="107" xr3:uid="{38E5BCB2-A21A-4943-85AE-7149D3C8274D}" name="Adjuvant Tx5 Agent" dataDxfId="203"/>
    <tableColumn id="108" xr3:uid="{C7E18848-2AC2-4EC4-AE87-80C795AACB06}" name="Tumour response Adjuvant  Tx5" dataDxfId="202"/>
    <tableColumn id="109" xr3:uid="{3DD80888-00E9-4B04-8F70-EEA1817CA388}" name="Adjuvant Tx6" dataDxfId="201"/>
    <tableColumn id="110" xr3:uid="{FEC68E61-62F7-43B6-82ED-BF160D563EBE}" name="Adjuvant Tx6 Agent" dataDxfId="200"/>
    <tableColumn id="111" xr3:uid="{3102A448-90F2-4E77-B085-0D337B3ACCFB}" name="Tumour response Adjuvant  Tx6" dataDxfId="199"/>
    <tableColumn id="112" xr3:uid="{B51AEA35-3859-44A1-8185-E64669EA61B1}" name="Adjuvant Tx7" dataDxfId="198"/>
    <tableColumn id="113" xr3:uid="{8E4F9A75-AF10-481D-A2AA-90E5BBEA0B75}" name="Adjuvant Tx7 Agent" dataDxfId="197"/>
    <tableColumn id="114" xr3:uid="{B7D76B75-8F46-48BC-A749-F9AA03D8B844}" name="Tumour response Adjuvant  Tx7" dataDxfId="196"/>
    <tableColumn id="115" xr3:uid="{C6A26B37-E2FD-4B6B-9702-065A4B3B0512}" name="Adjuvant Tx8" dataDxfId="195"/>
    <tableColumn id="116" xr3:uid="{366EE253-0900-42CB-A20C-3EE84F6732B8}" name="Adjuvant Tx8 Agent" dataDxfId="194"/>
    <tableColumn id="117" xr3:uid="{C72F7A19-D1B6-4813-9D40-1A5AA9A05B11}" name="Tumour response Adjuvant  Tx8" dataDxfId="193"/>
    <tableColumn id="118" xr3:uid="{15843990-3494-471B-A973-63BD5D50BEF2}" name="Adjuvant Tx9" dataDxfId="192"/>
    <tableColumn id="119" xr3:uid="{C6E3CF6C-CF85-48DA-9E40-89CD915D23BB}" name="Adjuvant Tx9 Agent" dataDxfId="191"/>
    <tableColumn id="120" xr3:uid="{B56141CA-9106-4607-9FBA-E52142A724C0}" name="Tumour response Adjuvant  Tx9" dataDxfId="190"/>
    <tableColumn id="121" xr3:uid="{4DD3FEB7-632E-4FF8-BA0A-5141ABCC40D6}" name="Adjuvant Tx10" dataDxfId="189"/>
    <tableColumn id="122" xr3:uid="{094D5D91-78A1-4CC0-A06F-C629F711DF0B}" name="Adjuvant Tx10 Agent" dataDxfId="188"/>
    <tableColumn id="123" xr3:uid="{5DA43789-9E2C-46BA-B489-7D45EA419330}" name="Tumour response Adjuvant Tx10" dataDxfId="187"/>
    <tableColumn id="124" xr3:uid="{90B53872-65EE-48F2-9B85-152307EBA713}" name="Adjuvant Tx11" dataDxfId="186"/>
    <tableColumn id="125" xr3:uid="{609DF6A0-0C2A-49F8-B8B5-E2BCBF33BE3B}" name="Adjuvant Tx11 Agent" dataDxfId="185"/>
    <tableColumn id="126" xr3:uid="{08CA65C2-E1AF-442D-AEF0-C02F416464ED}" name="Tumour response Adjuvant Tx11" dataDxfId="184"/>
    <tableColumn id="127" xr3:uid="{5B6AE7CA-6598-443F-82C4-9E8B6F09CFBA}" name="Adjuvant Tx12" dataDxfId="183"/>
    <tableColumn id="128" xr3:uid="{00CFE5F7-89A7-44B5-89B0-0D34D17CBB79}" name="Adjuvant Tx12 Agent" dataDxfId="182"/>
    <tableColumn id="129" xr3:uid="{175D0DDF-30E1-439A-93F5-0541CFD21260}" name="Tumour response Adjuvant Tx12" dataDxfId="181"/>
    <tableColumn id="130" xr3:uid="{6B4BE401-70F0-46E9-A05C-9518FF63EFCA}" name="Adjuvant Tx13" dataDxfId="180"/>
    <tableColumn id="131" xr3:uid="{BFBF1C2B-460C-4F8C-A53D-CAF9FF4D1F29}" name="Adjuvant Tx13 Agent" dataDxfId="179"/>
    <tableColumn id="132" xr3:uid="{4148862E-DB2B-4628-B41E-44434F653874}" name="Tumour response Adjuvant Tx13" dataDxfId="178"/>
    <tableColumn id="133" xr3:uid="{4F1649A0-9493-4E03-B40F-D5EC0770BA06}" name="Adjuvant Tx14" dataDxfId="177"/>
    <tableColumn id="134" xr3:uid="{81A5F6A8-9AAD-4DEE-B5E5-F0B363C6AAF9}" name="Adjuvant Tx14 Agent" dataDxfId="176"/>
    <tableColumn id="135" xr3:uid="{5B640222-A6FE-476E-B9FC-011C6D8B6407}" name="Tumour response Adjuvant Tx14" dataDxfId="175"/>
    <tableColumn id="136" xr3:uid="{04DADD6A-6F77-4AE5-BDCE-2036F04CD528}" name="Adjuvant Tx15" dataDxfId="174"/>
    <tableColumn id="137" xr3:uid="{354BB376-AE9D-419F-83DD-CCCBEACD1DE7}" name="Adjuvant Tx15 Agent" dataDxfId="173"/>
    <tableColumn id="138" xr3:uid="{2E91E9BB-1C87-4F0C-95A3-7E530681597B}" name="Tumour response Adjuvant Tx15" dataDxfId="172"/>
    <tableColumn id="139" xr3:uid="{8CED86A5-B796-4E29-97B9-00D3A9F5E12D}" name="Date recurrence/ progression 1" dataDxfId="171"/>
    <tableColumn id="140" xr3:uid="{AD5983BF-C188-4688-8F0B-98253C3DCAB7}" name="Sites recurrence/ progression 1" dataDxfId="170"/>
    <tableColumn id="141" xr3:uid="{31A8076D-87E6-4C1D-B718-540CF7A92B56}" name="Subsequent Tx1" dataDxfId="169"/>
    <tableColumn id="142" xr3:uid="{04644558-11C9-429D-8BFC-8AAB81F87F0B}" name="Subsequent Tx1 Agent" dataDxfId="168"/>
    <tableColumn id="143" xr3:uid="{5256F520-705B-43D6-AB74-1A42FEA9AA5E}" name="Subsequent Tx1 Start Date" dataDxfId="167"/>
    <tableColumn id="144" xr3:uid="{1BAFA2EB-136A-49B5-948D-83AB4D95F470}" name="Subsequent Tx1        End Date" dataDxfId="166"/>
    <tableColumn id="145" xr3:uid="{5FBAC224-A0B8-4776-AD5A-D0D2CF7F0937}" name="Tumour response to Subsequent Tx1" dataDxfId="165"/>
    <tableColumn id="146" xr3:uid="{745BA0B5-A57B-4F9F-A1A6-4D39F59D0A73}" name="Subsequent Tx2" dataDxfId="164"/>
    <tableColumn id="147" xr3:uid="{FC7021FA-0B29-4037-BF83-87A9851FE766}" name="Subsequent Tx2 Agent" dataDxfId="163"/>
    <tableColumn id="148" xr3:uid="{46D900AC-F581-4D59-8A30-D1C050AA246C}" name="Tumour response to Subsequent Tx2" dataDxfId="162"/>
    <tableColumn id="149" xr3:uid="{2CC93374-6B6C-4B7E-8AC5-AFDCE8CEA893}" name="Subsequent Tx3" dataDxfId="161"/>
    <tableColumn id="150" xr3:uid="{A99B369B-B413-4712-8017-38412FE2011F}" name="Subsequent Tx3 Agent" dataDxfId="160"/>
    <tableColumn id="151" xr3:uid="{EB718782-2FD1-461F-B691-14751DA70DD2}" name="Tumour response to Subsequent Tx3" dataDxfId="159"/>
    <tableColumn id="152" xr3:uid="{B32C4707-F4DF-4A00-B86A-9421854908AF}" name="Subsequent Tx4" dataDxfId="158"/>
    <tableColumn id="153" xr3:uid="{A132BBE5-6C61-4C40-935E-3A301C98E912}" name="Subsequent Tx4 Agent" dataDxfId="157"/>
    <tableColumn id="154" xr3:uid="{730868E4-D32D-4D93-BB6C-0AF03F8183F4}" name="Tumour response to Subsequent Tx4" dataDxfId="156"/>
    <tableColumn id="155" xr3:uid="{DA8F7A94-024F-4C3A-BED6-6CCF3EF0E8F6}" name="Subsequent Tx5" dataDxfId="155"/>
    <tableColumn id="156" xr3:uid="{82230B08-802F-422F-8A99-5C127A26FCA0}" name="Subsequent Tx5 Agent" dataDxfId="154"/>
    <tableColumn id="157" xr3:uid="{C7BC229E-F5E1-4DD1-8FC3-EFF1806A314F}" name="Tumour response to Subsequent Tx5" dataDxfId="153"/>
    <tableColumn id="158" xr3:uid="{85BC704B-3FF9-4222-B455-27FDF587BE06}" name="Subsequent Tx6" dataDxfId="152"/>
    <tableColumn id="159" xr3:uid="{DFD22748-39D3-4CD7-9F6B-CF8EC9AC0F5A}" name="Subsequent Tx6 Agent" dataDxfId="151"/>
    <tableColumn id="160" xr3:uid="{A8EF1E41-DA67-4DDC-9D88-155B30EB7A35}" name="Tumour response to Subsequent Tx6" dataDxfId="150"/>
    <tableColumn id="161" xr3:uid="{25C7221F-6899-4EF4-9DCF-924EE8011A48}" name="Subsequent Tx7" dataDxfId="149"/>
    <tableColumn id="162" xr3:uid="{E43AB4C3-4E6B-4E5F-8734-F5AB3369307A}" name="Subsequent Tx7 Agent" dataDxfId="148"/>
    <tableColumn id="163" xr3:uid="{8B778E3E-5714-4669-B6F9-287EA31FB304}" name="Tumour response to Subsequent Tx7" dataDxfId="147"/>
    <tableColumn id="164" xr3:uid="{99A5DC9E-0422-4718-B0DC-EEF68CD38300}" name="Subsequent Tx8" dataDxfId="146"/>
    <tableColumn id="165" xr3:uid="{8640A797-3B57-4A5E-93FC-C96C615F86DD}" name="Subsequent Tx8 Agent" dataDxfId="145"/>
    <tableColumn id="166" xr3:uid="{E81D651C-20E0-485E-970D-B855876D488A}" name="Tumour response to Subsequent Tx8" dataDxfId="144"/>
    <tableColumn id="167" xr3:uid="{2B61AFF4-2ABF-4B65-90BE-4999E02E0073}" name="Subsequent Tx9" dataDxfId="143"/>
    <tableColumn id="168" xr3:uid="{E2C4463C-F751-4120-A39A-26B1CDB48C69}" name="Subsequent Tx9 Agent" dataDxfId="142"/>
    <tableColumn id="169" xr3:uid="{00649F01-BB1D-47B4-BA21-7B1D06783352}" name="Tumour response to Subsequent Tx9" dataDxfId="141"/>
    <tableColumn id="170" xr3:uid="{46D1CE29-6915-4CB7-BD88-A5D3E4AFA8A1}" name="Subsequent Tx10" dataDxfId="140"/>
    <tableColumn id="171" xr3:uid="{041D7566-A9AD-4352-A370-D545F1BF4342}" name="Subsequent Tx10 Agent" dataDxfId="139"/>
    <tableColumn id="172" xr3:uid="{0E1008DA-20AF-4757-B1D9-318F849F7142}" name="Tumour response to Subsequent Tx10" dataDxfId="138"/>
    <tableColumn id="173" xr3:uid="{AC3A9D6C-07B6-44A6-96CD-8D9721B8D281}" name="Subsequent Tx11" dataDxfId="137"/>
    <tableColumn id="174" xr3:uid="{D9807254-7F0D-4441-AFC9-D59B39C16BA6}" name="Subsequent Tx11 Agent" dataDxfId="136"/>
    <tableColumn id="175" xr3:uid="{59AB6409-4D8C-4E26-8B2D-344E109C1F59}" name="Tumour response to Subsequent Tx11" dataDxfId="135"/>
    <tableColumn id="176" xr3:uid="{319E41C7-D55A-47A6-8248-FEB299D4787F}" name="Subsequent Tx12" dataDxfId="134"/>
    <tableColumn id="177" xr3:uid="{D83336AA-E845-4D97-B67B-306691333AF0}" name="Subsequent Tx12 Agent" dataDxfId="133"/>
    <tableColumn id="178" xr3:uid="{73A66238-8348-49F3-B698-915263BD21E0}" name="Tumour response to Subsequent Tx12" dataDxfId="132"/>
    <tableColumn id="179" xr3:uid="{B5C92792-F2F2-4B25-A21F-9DB633023109}" name="Subsequent Tx13" dataDxfId="131"/>
    <tableColumn id="180" xr3:uid="{DE2A1E7D-FBAC-45C3-9CBA-6FB17F29FF06}" name="Subsequent Tx13 Agent" dataDxfId="130"/>
    <tableColumn id="181" xr3:uid="{0A79FD0C-C5EA-43CC-9CC1-1250F52D0011}" name="Tumour response to Subsequent Tx13" dataDxfId="129"/>
    <tableColumn id="182" xr3:uid="{AC21AEB2-D9F2-4E9D-8D5B-91D4F8CA6FDC}" name="Subsequent Tx14" dataDxfId="128"/>
    <tableColumn id="183" xr3:uid="{5771442F-B65E-4733-A4A9-4D2517121091}" name="Subsequent Tx14 Agent" dataDxfId="127"/>
    <tableColumn id="184" xr3:uid="{5B9A6A5F-5E46-426B-8D7C-BE4CEBB82D99}" name="Tumour response to Subsequent Tx14" dataDxfId="126"/>
    <tableColumn id="185" xr3:uid="{1136D25E-A872-440A-84E8-7F15C0E4FD66}" name="Subsequent Tx15" dataDxfId="125"/>
    <tableColumn id="186" xr3:uid="{7A1D3BBE-343B-4302-B43A-9235500E1410}" name="Subsequent Tx15 Agent" dataDxfId="124"/>
    <tableColumn id="187" xr3:uid="{4D8D78FF-0D57-4F2C-AEC2-863B0A974E45}" name="Tumour response to Subsequent Tx15" dataDxfId="123"/>
    <tableColumn id="188" xr3:uid="{4C74F46A-9BF3-4A06-BA44-027414ED3299}" name="Current Status" dataDxfId="122"/>
    <tableColumn id="189" xr3:uid="{89B9CAB9-1F63-4E15-9FD7-5C2A5A1A6F7D}" name="Death date" dataDxfId="121"/>
    <tableColumn id="190" xr3:uid="{B47ACED4-DE9E-4A98-A5B4-D6C2EA25A199}" name="Death tumour related" dataDxfId="120"/>
    <tableColumn id="191" xr3:uid="{0DCE42B3-FCD8-410D-B3E1-EB5EF3FEA90F}" name="Cause of death" dataDxfId="119"/>
    <tableColumn id="192" xr3:uid="{C61E11FD-D8D4-4D1B-AEF6-DC8E9B9EB213}" name="Date last follow-up" dataDxfId="118"/>
    <tableColumn id="193" xr3:uid="{6BD93798-670D-40F1-B715-EF458C45DE17}" name="Date Last Seen" dataDxfId="117"/>
    <tableColumn id="194" xr3:uid="{41E0DE88-B6CA-461F-BF98-2BE99C8B12F7}" name="Comments from clinical team" dataDxfId="116"/>
    <tableColumn id="195" xr3:uid="{FE8E1588-9890-4006-80CB-93A6629D45E2}" name="TTE Neoadjuvant Tx1 Start Date" dataDxfId="115">
      <calculatedColumnFormula>IFERROR(INT(BJ4 - $AS4)/30,"N/A")</calculatedColumnFormula>
    </tableColumn>
    <tableColumn id="196" xr3:uid="{A7EE9211-5882-4195-80D2-A1F9E2D8A85B}" name="TTE Neoadjuvant Tx1 End Date" dataDxfId="114">
      <calculatedColumnFormula>IFERROR(INT(BK4 - $AS4)/30,"N/A")</calculatedColumnFormula>
    </tableColumn>
    <tableColumn id="197" xr3:uid="{23366509-A17F-4DFB-B895-5F8F28497ED0}" name="TTE Specimen surgery date" dataDxfId="113">
      <calculatedColumnFormula>IFERROR(INT(H4 - $AS4)/30,"N/A")</calculatedColumnFormula>
    </tableColumn>
    <tableColumn id="198" xr3:uid="{839BD7BA-0A66-4BA1-ADF4-01F13581940D}" name="TTE Primary Surgery date " dataDxfId="112">
      <calculatedColumnFormula>IFERROR(INT(K4 - $AS4)/30,"N/A")</calculatedColumnFormula>
    </tableColumn>
    <tableColumn id="199" xr3:uid="{B6C61E5C-2784-4972-971E-FE88E7C035F8}" name="TTE Matched met 1 Surgery Date " dataDxfId="111">
      <calculatedColumnFormula>IFERROR(INT(P4 - $AS4)/30,"N/A")</calculatedColumnFormula>
    </tableColumn>
    <tableColumn id="200" xr3:uid="{9D3CF91F-8FFC-42BE-BFE1-A6C98D10FA53}" name="TTE Matched met 2 Surgery Date " dataDxfId="110">
      <calculatedColumnFormula>IFERROR(INT(U4 - $AS4)/30,"N/A")</calculatedColumnFormula>
    </tableColumn>
    <tableColumn id="201" xr3:uid="{95D34B72-055B-491A-A8E3-07CCD61C228D}" name="TTE Matched met 3 Surgery Date " dataDxfId="109">
      <calculatedColumnFormula>IFERROR(INT(Z4 - $AS4)/30,"N/A")</calculatedColumnFormula>
    </tableColumn>
    <tableColumn id="202" xr3:uid="{CA6E3099-3BA4-4262-9FB8-15E21AD9182D}" name="TTE Matched met 4 Surgery Date " dataDxfId="108">
      <calculatedColumnFormula>IFERROR(INT(AE4 - $AS4)/30,"N/A")</calculatedColumnFormula>
    </tableColumn>
    <tableColumn id="203" xr3:uid="{2D53ECB4-5CC6-4A90-9E28-7E28427BD4E5}" name="TTE Matched met 5 Surgery Date " dataDxfId="107">
      <calculatedColumnFormula>IFERROR(INT(AJ4 - $AS4)/30,"N/A")</calculatedColumnFormula>
    </tableColumn>
    <tableColumn id="204" xr3:uid="{4BEB146E-A33B-4AA8-8522-C0588536198E}" name="TTE Matched Normal tissue Surgery Date " dataDxfId="106">
      <calculatedColumnFormula>IFERROR(INT(AO4 - $AS4)/30,"N/A")</calculatedColumnFormula>
    </tableColumn>
    <tableColumn id="205" xr3:uid="{05225B6B-268C-4437-BEF6-F9537AACC918}" name="TTE Adjuvant Tx1 Start Date" dataDxfId="105">
      <calculatedColumnFormula>IFERROR(INT(CP4 - $AS4)/30,"N/A")</calculatedColumnFormula>
    </tableColumn>
    <tableColumn id="206" xr3:uid="{C80FEED1-8FFB-4D69-93F5-7AEA49465D97}" name="TTE Adjuvant Tx1 End Date" dataDxfId="104">
      <calculatedColumnFormula>IFERROR(INT(CQ4 - $AS4)/30,"N/A")</calculatedColumnFormula>
    </tableColumn>
    <tableColumn id="207" xr3:uid="{07D9804C-DFAF-4880-9C98-9F004DB594B8}" name="TTE Date recurrence/ progression 1" dataDxfId="103">
      <calculatedColumnFormula>IFERROR(INT(EI4 - $AS4)/30,"N/A")</calculatedColumnFormula>
    </tableColumn>
    <tableColumn id="208" xr3:uid="{352C6728-B62E-487D-9148-F94CE86BA37A}" name="TTE Subsequent Tx1 Start Date" dataDxfId="102">
      <calculatedColumnFormula>IFERROR(INT(EM4 - $AS4)/30,"N/A")</calculatedColumnFormula>
    </tableColumn>
    <tableColumn id="209" xr3:uid="{38C81D9B-4F5F-44D1-BF9D-F0DA9AE8643B}" name="TTE Subsequent Tx1 End Date" dataDxfId="101">
      <calculatedColumnFormula>IFERROR(INT(EN4 - $AS4)/30,"N/A")</calculatedColumnFormula>
    </tableColumn>
    <tableColumn id="210" xr3:uid="{6F12DE6C-5FA1-4D45-B788-E654FC1897F4}" name="TTE Recurrence (PFS)" dataDxfId="100">
      <calculatedColumnFormula>$GY4</calculatedColumnFormula>
    </tableColumn>
    <tableColumn id="211" xr3:uid="{1C47C438-7ABB-49C3-8409-78B645128619}" name="TTE Death (OS and PFS)" dataDxfId="99">
      <calculatedColumnFormula>IFERROR(INT(GG4 - $AS4)/30,"N/A")</calculatedColumnFormula>
    </tableColumn>
    <tableColumn id="212" xr3:uid="{F93FCAC6-0FD6-4295-A97B-5A5D0307AB97}" name="TTE Date last follow-up (PFS)" dataDxfId="98">
      <calculatedColumnFormula>IFERROR(INT(GJ4 - $AS4)/30,"N/A")</calculatedColumnFormula>
    </tableColumn>
    <tableColumn id="213" xr3:uid="{1505CA30-B43B-44B3-84A3-6A5386453DAD}" name="TTE Date last seen (OS)" dataDxfId="97">
      <calculatedColumnFormula>IFERROR(INT(GK4 - $AS4)/30,"N/A")</calculatedColumnFormula>
    </tableColumn>
    <tableColumn id="214" xr3:uid="{2AA15A17-7E6E-4EC3-939A-61CBC2425FFD}" name="TTE Overall survival (OS) in months" dataDxfId="96" dataCellStyle="Normal 2">
      <calculatedColumnFormula>SUM($HC4,$HE4)</calculatedColumnFormula>
    </tableColumn>
    <tableColumn id="215" xr3:uid="{CA24B0D6-ECF8-4A50-B924-BF005F42E3ED}" name="TTE Progression free survival (PFS) in months" dataDxfId="95" dataCellStyle="Normal 2">
      <calculatedColumnFormula array="1">INDEX($HB4:$HD4,MATCH(TRUE,INDEX(ISNUMBER($HB4:$HD4),0),0))</calculatedColumnFormula>
    </tableColumn>
    <tableColumn id="216" xr3:uid="{8952E0BF-A031-40A4-8C72-18435D9EB851}" name="Event (recurrence/progression)" dataDxfId="94" dataCellStyle="Normal 2">
      <calculatedColumnFormula>IF($HB4="N/A",0,1)</calculatedColumnFormula>
    </tableColumn>
    <tableColumn id="217" xr3:uid="{FBD04FCE-7CF9-479A-9CC0-C21CDBDEAF2B}" name="Event (cancer death)" dataDxfId="93" dataCellStyle="Normal 2">
      <calculatedColumnFormula>IF($GH4="Yes",1,0)</calculatedColumnFormula>
    </tableColumn>
    <tableColumn id="218" xr3:uid="{25C87490-9DE2-4450-878F-A8E57A86AEEE}" name="Event (death; all causes)" dataDxfId="92" dataCellStyle="Normal 2">
      <calculatedColumnFormula>IF($HC4="N/A",0,1)</calculatedColumnFormula>
    </tableColumn>
    <tableColumn id="219" xr3:uid="{4C1A5E99-F78F-4899-BC45-E0580B87C09E}" name="Event (recurrence or cancer death)" dataDxfId="91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FC30CA-71FB-4C4A-826A-BA5304DAB38F}" name="Supplementary_1" displayName="Supplementary_1" ref="A1:E6" totalsRowShown="0" tableBorderDxfId="89">
  <autoFilter ref="A1:E6" xr:uid="{59FC30CA-71FB-4C4A-826A-BA5304DAB38F}"/>
  <tableColumns count="5">
    <tableColumn id="1" xr3:uid="{15B265D8-8750-4E60-97B4-02F0DD6F6E04}" name="NHS number" dataDxfId="88"/>
    <tableColumn id="2" xr3:uid="{9764326B-A81D-4561-8E62-1969E9268A58}" name="Selected specimen Anonymised ID" dataDxfId="87"/>
    <tableColumn id="3" xr3:uid="{0753C74D-B202-4DAD-A57A-0F79F475B18F}" name="Post treatment specimen 1 anonymised ID" dataDxfId="86"/>
    <tableColumn id="4" xr3:uid="{7183A1EE-DA1D-43DC-85F1-8F86B816E344}" name="Last treatment prior to specimen 1 surgery" dataDxfId="85"/>
    <tableColumn id="5" xr3:uid="{F52A93F6-FCF9-4987-96AA-9320CE4B6C06}" name="Indication" dataDxfId="8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6105AB-1B09-457A-BE25-4474B422012D}" name="Supplementary_2" displayName="Supplementary_2" ref="A9:AD12" totalsRowShown="0" tableBorderDxfId="83">
  <autoFilter ref="A9:AD12" xr:uid="{E06105AB-1B09-457A-BE25-4474B422012D}"/>
  <tableColumns count="30">
    <tableColumn id="1" xr3:uid="{8ED9FCF6-FD90-468D-8378-9953ADF2F157}" name="NHS number"/>
    <tableColumn id="2" xr3:uid="{5BEABCBF-01E9-45B1-BC76-FF9973305815}" name="Selected specimen Anonymised ID"/>
    <tableColumn id="3" xr3:uid="{3D1D220C-1DC0-4712-A062-0DF125901F06}" name="Details provided for:" dataDxfId="82"/>
    <tableColumn id="4" xr3:uid="{0488899C-6322-4051-9459-85AB52A660B6}" name="Gleason score " dataDxfId="81"/>
    <tableColumn id="5" xr3:uid="{0F318FE0-A5DB-4A5E-9341-BDD86245DB5A}" name="PSA (ug/L)" dataDxfId="80"/>
    <tableColumn id="6" xr3:uid="{28EFA72A-5D8E-45C4-8B30-D926333D167C}" name="Androgen deprivation therapy (ADT)" dataDxfId="79"/>
    <tableColumn id="7" xr3:uid="{E49F9CAA-16FE-47C0-BEFB-96F726ED16CF}" name="Biochemical Relapse during ADT" dataDxfId="78"/>
    <tableColumn id="8" xr3:uid="{84262B78-3585-45E0-BA71-4A03B3B54DED}" name="Clinical relapse during ADT " dataDxfId="77"/>
    <tableColumn id="9" xr3:uid="{D981CC7D-6D68-41CC-932E-1D55F5619010}" name="Castrate resistant prostate cancer (CRPC)" dataDxfId="76"/>
    <tableColumn id="10" xr3:uid="{F631A806-B439-4AD3-A04D-8F6F774D6F40}" name="PSA nadir (ug/L; detection limits vary)" dataDxfId="75"/>
    <tableColumn id="11" xr3:uid="{0A54FB67-40DB-4274-B2F0-D29299321653}" name="PSA when last followed up (ug/L; detection limits vary)" dataDxfId="74"/>
    <tableColumn id="12" xr3:uid="{6CDEF0CE-C07C-46DF-8B1A-A59D56A5AF98}" name="Date diagnosis" dataDxfId="73"/>
    <tableColumn id="13" xr3:uid="{D7F72F2B-7DDE-4943-A3CB-704A11ED6212}" name="Date ADT therapy first initiated" dataDxfId="72"/>
    <tableColumn id="14" xr3:uid="{1AF0D125-7BAA-4925-86BC-F10D00DC5A97}" name="Date biochemical recurrence/progression during ADT"/>
    <tableColumn id="15" xr3:uid="{EE4D4AF9-90D1-4C5F-B47A-CD08E4A870E1}" name="Details of biochemical recurrence " dataDxfId="71"/>
    <tableColumn id="16" xr3:uid="{3E7AF1C2-D7D0-448E-985A-E57509B4F4FE}" name="Date clinical recurrence/progression during ADT"/>
    <tableColumn id="17" xr3:uid="{42CBF1EE-DE11-4657-B73E-E40AE220D7E2}" name="TTE CRPC (biochemical) (from ADT start date)" dataDxfId="70">
      <calculatedColumnFormula>IFERROR(INT(N10 -$M10)/30,"N/A")</calculatedColumnFormula>
    </tableColumn>
    <tableColumn id="18" xr3:uid="{AD302199-8FD1-46F4-AA77-0C4153934755}" name="TTE CRPC (clinical) (from ADT start date)" dataDxfId="69">
      <calculatedColumnFormula>IFERROR(INT(P10 -$M10)/30,"N/A")</calculatedColumnFormula>
    </tableColumn>
    <tableColumn id="19" xr3:uid="{4B97C113-445F-43F8-A04B-0B679B1AE0FC}" name="TTE CRPC (biochemical) from date diagnosis" dataDxfId="68">
      <calculatedColumnFormula>IFERROR(INT(N10 -$L10)/30,"N/A")</calculatedColumnFormula>
    </tableColumn>
    <tableColumn id="20" xr3:uid="{0BAD1163-8FA0-4E38-9064-1439911309B3}" name="TTE CRPC (clinical) from date diagnosis" dataDxfId="67">
      <calculatedColumnFormula>IFERROR(INT(P10 -$L10)/30,"N/A")</calculatedColumnFormula>
    </tableColumn>
    <tableColumn id="21" xr3:uid="{EFD8FCFD-2310-49A9-94EB-4CD9D476A28B}" name="Castrate resistant disease at time of sample surgery" dataDxfId="66"/>
    <tableColumn id="22" xr3:uid="{0B30ECD2-E59B-41C6-B12E-B6868A067A29}" name="Metastatic disease at diagnosis (distant mets/non-regional lymph nodes)" dataDxfId="65"/>
    <tableColumn id="23" xr3:uid="{9DA6EAAE-8CE1-49D4-BD98-4679B8201AD3}" name="Metastatic disease at time of sample surgery (distant mets/non-regional lymph nodes)" dataDxfId="64"/>
    <tableColumn id="24" xr3:uid="{AEB54D84-7498-41F0-8869-00BF9202E026}" name="Date progression to metastatic disease" dataDxfId="63"/>
    <tableColumn id="25" xr3:uid="{A6431304-A23D-43C0-8953-63BA24625C5D}" name="TTE progression to metastatic disease (from date of diagnosis)" dataDxfId="62">
      <calculatedColumnFormula>IFERROR(INT(X10 -$L10)/30,"N/A")</calculatedColumnFormula>
    </tableColumn>
    <tableColumn id="26" xr3:uid="{CB308F9B-F57D-4458-9F4B-1CB23641CF0B}" name="Disease status at sample surgery (metastatic/non-metastatic/castrate resistant/hormone sensitive)" dataDxfId="61"/>
    <tableColumn id="27" xr3:uid="{81424B2A-AC4C-4C05-9FF4-FAD2D6434119}" name="Notes" dataDxfId="60"/>
    <tableColumn id="28" xr3:uid="{BA599B10-1D2D-4594-A259-976C1F1C275E}" name="Post treatment specimen 1 anonymised ID" dataDxfId="59"/>
    <tableColumn id="29" xr3:uid="{A9BC0641-82E5-4B64-9634-4ACA37835FF0}" name="Last treatment prior to specimen 1 surgery" dataDxfId="58"/>
    <tableColumn id="30" xr3:uid="{BF73A2D5-4145-4508-BD64-6DFB37315AA3}" name="Indication" dataDxfId="57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2B8DF2-291E-4785-8502-421AA33D055B}" name="Supplementary_3" displayName="Supplementary_3" ref="A15:O19" totalsRowShown="0" tableBorderDxfId="56">
  <autoFilter ref="A15:O19" xr:uid="{E92B8DF2-291E-4785-8502-421AA33D055B}"/>
  <tableColumns count="15">
    <tableColumn id="1" xr3:uid="{0FC4DC0F-2BBA-4308-8C8A-679BEDC8B198}" name="NHS number" dataDxfId="55"/>
    <tableColumn id="2" xr3:uid="{95318798-E9D3-4D6E-BB1D-AAD3C296651F}" name="Selected specimen Anonymised ID" dataDxfId="54"/>
    <tableColumn id="3" xr3:uid="{79E6C9D7-D067-4C2D-AA78-35550834D0D1}" name="Specimen used for testing (if different)" dataDxfId="53"/>
    <tableColumn id="4" xr3:uid="{C4E899B0-5810-4DEA-BE67-5A3D1EE595E1}" name="Block used for testing" dataDxfId="52"/>
    <tableColumn id="5" xr3:uid="{B78A722A-276E-46CA-BCF6-B2D3F09E7B2D}" name="Oestrogen Receptor Status"/>
    <tableColumn id="6" xr3:uid="{465D43D5-3C89-4C7B-BFAC-DBB83E960E38}" name="Progesterone Receptor Status" dataDxfId="51"/>
    <tableColumn id="7" xr3:uid="{303F1DFB-181E-4063-9920-C6238BB82300}" name="HER2 IHC Score" dataDxfId="50"/>
    <tableColumn id="8" xr3:uid="{4273B46F-7519-47F8-AB3B-359C8E74DE98}" name="HER2 FISH score" dataDxfId="49"/>
    <tableColumn id="9" xr3:uid="{B3A30AB4-FB40-411D-AC9E-8F822033338D}" name="Nottingham Prognostic Index" dataDxfId="48"/>
    <tableColumn id="10" xr3:uid="{4C6D31A2-8436-4D90-A29D-55712EAC9254}" name="Pathogenic germline gene variants identified" dataDxfId="47"/>
    <tableColumn id="11" xr3:uid="{FF343E38-0A1B-43F5-A3AD-492F6E8FEF76}" name="Genes tested" dataDxfId="46"/>
    <tableColumn id="12" xr3:uid="{82B68F71-4E77-4B9A-B4DC-1B07F9BD0C96}" name="Oncotype DX score (done on resection)" dataDxfId="45"/>
    <tableColumn id="13" xr3:uid="{6831935B-9506-4CEF-A0FC-03E7A93585F2}" name="Post treatment specimen 1 anonymised ID" dataDxfId="44"/>
    <tableColumn id="14" xr3:uid="{839264B4-C9C6-4911-AC5E-C0A2456A878E}" name="Last treatment prior to specimen 1 surgery" dataDxfId="43"/>
    <tableColumn id="15" xr3:uid="{302103CB-0400-413C-8465-07CED4CAD1CB}" name="Indication" dataDxfId="4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16614-BCEE-4D5E-A0F2-B9330BAE7048}" name="Supplementary_4" displayName="Supplementary_4" ref="A22:K23" totalsRowShown="0" headerRowDxfId="29" tableBorderDxfId="41">
  <autoFilter ref="A22:K23" xr:uid="{CE016614-BCEE-4D5E-A0F2-B9330BAE7048}"/>
  <tableColumns count="11">
    <tableColumn id="1" xr3:uid="{333A5405-F4D7-45C4-91F2-42F8851D7919}" name="NHS number" dataDxfId="40"/>
    <tableColumn id="2" xr3:uid="{65776F72-CD16-4D79-882C-8B2ECBC540D7}" name="Selected specimen Anonymised ID" dataDxfId="39"/>
    <tableColumn id="3" xr3:uid="{5364124E-E164-47B5-8781-734DDA2EFF1E}" name="Tumour type (primary)" dataDxfId="38"/>
    <tableColumn id="4" xr3:uid="{34EADBAE-6A33-4535-AC89-9604B9FAD5AF}" name="Specimen number used for testing if different" dataDxfId="37"/>
    <tableColumn id="5" xr3:uid="{D3740948-DA09-4E3D-B9B4-D70EBCB5329F}" name="Block used for testing" dataDxfId="36"/>
    <tableColumn id="6" xr3:uid="{9B3A3ADA-7842-4EA3-A021-0892D69F7557}" name="KRAS mutation" dataDxfId="35"/>
    <tableColumn id="7" xr3:uid="{3D883B55-B10D-47A6-912B-FE13498934D5}" name="NRAS mutation" dataDxfId="34"/>
    <tableColumn id="8" xr3:uid="{770A989D-D37A-4A89-AD08-E8A28BC5A00D}" name="BRAF mutation" dataDxfId="33"/>
    <tableColumn id="9" xr3:uid="{D17C5979-59F0-4C70-8082-141100CF6C82}" name="Post treatment specimen 1 anonymised ID" dataDxfId="32"/>
    <tableColumn id="10" xr3:uid="{8599400D-5422-4F8F-B6A2-1E7A217599EB}" name="Last treatment prior to specimen 1 surgery" dataDxfId="31"/>
    <tableColumn id="11" xr3:uid="{48791475-F334-4B4E-821F-3C3CE93B905C}" name="Indication" dataDxfId="30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8950C8-DCB0-460D-913F-AF7B9E1E35A9}" name="Supplementary_5" displayName="Supplementary_5" ref="A26:O28" totalsRowShown="0" headerRowDxfId="14" tableBorderDxfId="28">
  <autoFilter ref="A26:O28" xr:uid="{4D8950C8-DCB0-460D-913F-AF7B9E1E35A9}"/>
  <tableColumns count="15">
    <tableColumn id="1" xr3:uid="{85CF779A-B95E-44B6-81DF-E93F59A482D3}" name="NHS number" dataDxfId="27"/>
    <tableColumn id="2" xr3:uid="{F4360F8E-93B7-483A-9214-C0BD14CD99EF}" name="Selected specimen Anonymised ID" dataDxfId="26"/>
    <tableColumn id="3" xr3:uid="{E2F9A5EF-C2C0-468F-A5BA-DF51DEF36084}" name="Specimen number used for testing if different" dataDxfId="25"/>
    <tableColumn id="4" xr3:uid="{72C11D4D-BB40-4D67-99A1-9FE94ACDF7BA}" name="Block used for testing" dataDxfId="24"/>
    <tableColumn id="5" xr3:uid="{48A1347C-E51D-40E1-BA73-DB6E3AE4BC29}" name="KRAS mutation" dataDxfId="23"/>
    <tableColumn id="6" xr3:uid="{3D2C3DC9-9B26-42A8-BFAA-93134249126A}" name="NRAS mutation" dataDxfId="22"/>
    <tableColumn id="7" xr3:uid="{C312FCCC-9A1A-4189-8C01-3A069BD6A916}" name="BRAF mutation" dataDxfId="21"/>
    <tableColumn id="8" xr3:uid="{D2ED7231-EE8B-4E35-A818-0D886B7614A8}" name="PD-L1" dataDxfId="20"/>
    <tableColumn id="9" xr3:uid="{DB264772-A41B-4BB3-878C-E5DAF2A9AD51}" name="% positive cells (PD-L1)"/>
    <tableColumn id="10" xr3:uid="{A90FAC10-C3B7-41E9-BCAD-86FCC44A51B0}" name="EGFR mutation" dataDxfId="19"/>
    <tableColumn id="11" xr3:uid="{6DA8F4F2-07C4-4647-95FC-19C49FE501B0}" name="ALK rearrangement/fusion" dataDxfId="18"/>
    <tableColumn id="12" xr3:uid="{E399FE5F-B12A-4F2D-A533-703AB7CCD8DE}" name="Any other variants detected"/>
    <tableColumn id="13" xr3:uid="{97A7BB36-C271-494F-B26C-3B48E039C910}" name="Post treatment specimen 1 anonymised ID" dataDxfId="17"/>
    <tableColumn id="14" xr3:uid="{50061112-C717-46FF-A093-ABC237BF9BE0}" name="Last treatment prior to specimen 1 surgery" dataDxfId="16"/>
    <tableColumn id="15" xr3:uid="{35F416CA-C873-44D0-9E42-ACF39BD0348F}" name="Indication" dataDxfId="15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5D923B-1810-45B0-8A06-BE9D033EF7F8}" name="Supplementary_6" displayName="Supplementary_6" ref="A1:L35" totalsRowShown="0" headerRowDxfId="0" tableBorderDxfId="13">
  <autoFilter ref="A1:L35" xr:uid="{915D923B-1810-45B0-8A06-BE9D033EF7F8}"/>
  <tableColumns count="12">
    <tableColumn id="1" xr3:uid="{EDA3FCCD-BCE9-4CB5-B598-F2DB601E63ED}" name="NHS Number" dataDxfId="12"/>
    <tableColumn id="2" xr3:uid="{5A826941-3238-453E-830B-771F21D7FDF8}" name="Selected Specimen" dataDxfId="11"/>
    <tableColumn id="3" xr3:uid="{B5B412DF-1CFA-40D3-81D2-81125476ED80}" name="Additional Metastatic Specimen Number 1" dataDxfId="10"/>
    <tableColumn id="4" xr3:uid="{7C41B78C-A228-4A6A-A948-5D51D376B83D}" name="Site 1" dataDxfId="9"/>
    <tableColumn id="5" xr3:uid="{283B5326-E18D-4626-BC0C-0C34CB8A1B29}" name="Additional Metastatic Specimen Number 2" dataDxfId="8"/>
    <tableColumn id="6" xr3:uid="{8F89A7C1-5306-4BAC-A325-20ABE921720A}" name="Site 2" dataDxfId="7"/>
    <tableColumn id="7" xr3:uid="{4EF72A47-21A8-4123-88C9-ECE47E307FA7}" name="Additional Metastatic Specimen Number 3" dataDxfId="6"/>
    <tableColumn id="8" xr3:uid="{199FFF32-48D6-4FF8-9396-42C383F4FF29}" name="Site 3" dataDxfId="5"/>
    <tableColumn id="9" xr3:uid="{29542530-CB14-42B4-A583-2801054E6573}" name="Additional Metastatic Specimen Number 4" dataDxfId="4"/>
    <tableColumn id="10" xr3:uid="{2A64AE80-6F1F-4615-8A00-92C63744FCFC}" name="Site 4" dataDxfId="3"/>
    <tableColumn id="11" xr3:uid="{89AACB6C-26B4-4091-89A7-D3F11FEF33AF}" name="Additional Metastatic Specimen Number 5" dataDxfId="2"/>
    <tableColumn id="12" xr3:uid="{4DFD5ED2-7E3A-4F52-A43B-5E0365D9C2B5}" name="Site 5" dataDxfId="1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318" dataDxfId="317">
  <autoFilter ref="E1:I10" xr:uid="{D6CB22BC-1695-4F56-9502-53B227EFDF84}"/>
  <tableColumns count="5">
    <tableColumn id="1" xr3:uid="{63272864-20E5-4A7C-8D58-41CB534C8CC6}" name="Therapy type" dataDxfId="316"/>
    <tableColumn id="2" xr3:uid="{B73E30ED-C9DE-48F0-B683-FC8FE9EC3B63}" name="Yes/No" dataDxfId="315"/>
    <tableColumn id="3" xr3:uid="{03246ABE-255C-4892-868D-F0AEF1FAC5E9}" name="Matched Normal treatment subgrouping" dataDxfId="314"/>
    <tableColumn id="4" xr3:uid="{85936DCB-2C5F-44AE-84FF-5D7F3DD5CA45}" name="Staging/grading info provided for:" dataDxfId="313"/>
    <tableColumn id="5" xr3:uid="{CE5B5999-5BA0-43D3-9526-3C81CFAB2209}" name="Staging criteria" dataDxfId="312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2B7A3C-0678-43F3-8243-22B905ECE1BA}" name="error_log" displayName="error_log" ref="A1:C2" totalsRowShown="0">
  <autoFilter ref="A1:C2" xr:uid="{A42B7A3C-0678-43F3-8243-22B905ECE1BA}"/>
  <tableColumns count="3">
    <tableColumn id="1" xr3:uid="{2CD34304-9CF5-4F42-AD99-B8845DAB4B05}" name="Row Number" dataDxfId="311"/>
    <tableColumn id="2" xr3:uid="{322498F3-A0F9-418D-A31C-DC34B81DB6C0}" name="NHS Number" dataDxfId="310"/>
    <tableColumn id="3" xr3:uid="{381BED71-C061-463D-8A04-730FCFA76AC8}" name="TTE Error Reasoning" dataDxfId="3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3-02T23:12:08.16" personId="{3F739FE6-D2FD-40F7-A9E6-F59633269AB3}" id="{E88789A8-6ACF-478F-ADA4-7FBFF843301F}">
    <text>block B1 isn't supposed to have any tumour in it - could Nic check</text>
  </threadedComment>
  <threadedComment ref="A13" dT="2026-03-09T08:51:35.65" personId="{53BA5B69-23EB-4D9A-A138-96C5C4D95665}" id="{25DC23E6-3CA1-445E-B888-6B4207F80087}" parentId="{E88789A8-6ACF-478F-ADA4-7FBFF843301F}">
    <text>B1 removed after re-review</text>
  </threadedComment>
  <threadedComment ref="CQ13" dT="2026-03-02T23:04:04.23" personId="{3F739FE6-D2FD-40F7-A9E6-F59633269AB3}" id="{DEB86D7B-9A3F-4664-9C51-0CC253ED8600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51"/>
  <sheetViews>
    <sheetView tabSelected="1" zoomScale="120" zoomScaleNormal="120" workbookViewId="0">
      <pane xSplit="1" ySplit="3" topLeftCell="N4" activePane="bottomRight" state="frozen"/>
      <selection pane="topRight"/>
      <selection pane="bottomLeft"/>
      <selection pane="bottomRight" activeCell="N3" sqref="N3"/>
    </sheetView>
  </sheetViews>
  <sheetFormatPr defaultColWidth="9.08984375" defaultRowHeight="15" customHeight="1" outlineLevelCol="1" x14ac:dyDescent="0.3"/>
  <cols>
    <col min="1" max="1" width="13.90625" style="3" customWidth="1"/>
    <col min="2" max="2" width="20" style="3" customWidth="1"/>
    <col min="3" max="3" width="30" style="3" customWidth="1"/>
    <col min="4" max="4" width="23.36328125" style="3" customWidth="1"/>
    <col min="5" max="5" width="30.453125" style="3" customWidth="1"/>
    <col min="6" max="7" width="23.6328125" style="3" customWidth="1"/>
    <col min="8" max="8" width="21.08984375" style="66" customWidth="1"/>
    <col min="9" max="9" width="17" style="3" customWidth="1"/>
    <col min="10" max="10" width="20.453125" style="3" customWidth="1"/>
    <col min="11" max="11" width="20.453125" style="66" customWidth="1"/>
    <col min="12" max="12" width="19" style="3" customWidth="1"/>
    <col min="13" max="13" width="27.6328125" style="3" customWidth="1"/>
    <col min="14" max="14" width="27" style="3" customWidth="1"/>
    <col min="15" max="15" width="18.54296875" style="3" customWidth="1"/>
    <col min="16" max="16" width="26.54296875" style="66" customWidth="1"/>
    <col min="17" max="17" width="34.54296875" style="3" customWidth="1"/>
    <col min="18" max="18" width="27.6328125" style="3" customWidth="1" outlineLevel="1"/>
    <col min="19" max="19" width="27" style="3" customWidth="1" outlineLevel="1"/>
    <col min="20" max="20" width="18.54296875" style="3" customWidth="1" outlineLevel="1"/>
    <col min="21" max="21" width="26.54296875" style="66" customWidth="1" outlineLevel="1"/>
    <col min="22" max="22" width="34.54296875" style="3" customWidth="1" outlineLevel="1"/>
    <col min="23" max="23" width="27.6328125" style="3" customWidth="1" outlineLevel="1"/>
    <col min="24" max="24" width="27" style="3" customWidth="1" outlineLevel="1"/>
    <col min="25" max="25" width="18.90625" style="3" customWidth="1" outlineLevel="1"/>
    <col min="26" max="26" width="26.54296875" style="66" customWidth="1" outlineLevel="1"/>
    <col min="27" max="27" width="34.54296875" style="3" customWidth="1" outlineLevel="1"/>
    <col min="28" max="28" width="27.6328125" style="3" customWidth="1" outlineLevel="1"/>
    <col min="29" max="29" width="27" style="3" customWidth="1" outlineLevel="1"/>
    <col min="30" max="30" width="18.90625" style="3" customWidth="1" outlineLevel="1"/>
    <col min="31" max="31" width="26.54296875" style="66" customWidth="1" outlineLevel="1"/>
    <col min="32" max="32" width="34.54296875" style="3" customWidth="1" outlineLevel="1"/>
    <col min="33" max="33" width="27.6328125" style="3" customWidth="1" outlineLevel="1"/>
    <col min="34" max="34" width="27" style="3" customWidth="1" outlineLevel="1"/>
    <col min="35" max="35" width="18.90625" style="3" customWidth="1" outlineLevel="1"/>
    <col min="36" max="36" width="26.54296875" style="66" customWidth="1" outlineLevel="1"/>
    <col min="37" max="37" width="34.54296875" style="3" customWidth="1" outlineLevel="1"/>
    <col min="38" max="38" width="26.54296875" style="3" customWidth="1" outlineLevel="1"/>
    <col min="39" max="39" width="33.54296875" style="3" customWidth="1" outlineLevel="1"/>
    <col min="40" max="40" width="25.08984375" style="3" customWidth="1" outlineLevel="1"/>
    <col min="41" max="41" width="33.08984375" style="66" customWidth="1" outlineLevel="1"/>
    <col min="42" max="42" width="36" style="3" customWidth="1" outlineLevel="1"/>
    <col min="43" max="43" width="16" style="3" customWidth="1"/>
    <col min="44" max="44" width="16" style="66" customWidth="1"/>
    <col min="45" max="45" width="23.453125" style="66" customWidth="1"/>
    <col min="46" max="46" width="16.6328125" style="3" customWidth="1"/>
    <col min="47" max="47" width="28.453125" style="3" customWidth="1"/>
    <col min="48" max="48" width="30.54296875" style="3" customWidth="1"/>
    <col min="49" max="49" width="22.36328125" style="3" customWidth="1"/>
    <col min="50" max="57" width="16" style="3" customWidth="1"/>
    <col min="58" max="58" width="23.90625" style="3" customWidth="1" collapsed="1"/>
    <col min="59" max="59" width="39.6328125" style="72" customWidth="1"/>
    <col min="60" max="60" width="16.6328125" style="3" customWidth="1"/>
    <col min="61" max="61" width="21.90625" style="3" customWidth="1"/>
    <col min="62" max="62" width="25.36328125" style="66" customWidth="1"/>
    <col min="63" max="63" width="24.36328125" style="66" customWidth="1"/>
    <col min="64" max="64" width="31.08984375" style="3" customWidth="1"/>
    <col min="65" max="65" width="16.6328125" style="3" customWidth="1"/>
    <col min="66" max="66" width="21.90625" style="3" customWidth="1"/>
    <col min="67" max="67" width="31.54296875" style="3" customWidth="1"/>
    <col min="68" max="68" width="16.6328125" style="3" customWidth="1"/>
    <col min="69" max="69" width="21.90625" style="3" customWidth="1"/>
    <col min="70" max="70" width="31.54296875" style="3" customWidth="1"/>
    <col min="71" max="71" width="16.6328125" style="3" customWidth="1"/>
    <col min="72" max="72" width="21.90625" style="3" customWidth="1"/>
    <col min="73" max="73" width="31.54296875" style="3" customWidth="1"/>
    <col min="74" max="74" width="16.6328125" style="3" customWidth="1"/>
    <col min="75" max="75" width="21.90625" style="3" customWidth="1"/>
    <col min="76" max="76" width="31.54296875" style="3" customWidth="1"/>
    <col min="77" max="77" width="16.6328125" style="3" customWidth="1"/>
    <col min="78" max="78" width="21.90625" style="3" customWidth="1"/>
    <col min="79" max="79" width="31.54296875" style="3" customWidth="1"/>
    <col min="80" max="80" width="16.6328125" style="3" customWidth="1"/>
    <col min="81" max="81" width="21.90625" style="3" customWidth="1"/>
    <col min="82" max="82" width="31.54296875" style="3" customWidth="1"/>
    <col min="83" max="83" width="16.6328125" style="3" customWidth="1"/>
    <col min="84" max="84" width="21.90625" style="3" customWidth="1"/>
    <col min="85" max="85" width="31.54296875" style="3" customWidth="1"/>
    <col min="86" max="86" width="16.6328125" style="3" customWidth="1"/>
    <col min="87" max="87" width="21.90625" style="3" customWidth="1"/>
    <col min="88" max="88" width="31.54296875" style="3" customWidth="1"/>
    <col min="89" max="89" width="17.54296875" style="3" customWidth="1"/>
    <col min="90" max="90" width="22.6328125" style="3" customWidth="1"/>
    <col min="91" max="91" width="32" style="3" customWidth="1"/>
    <col min="92" max="92" width="15.90625" style="3" customWidth="1"/>
    <col min="93" max="93" width="18.6328125" style="3" customWidth="1"/>
    <col min="94" max="94" width="22.08984375" style="66" customWidth="1"/>
    <col min="95" max="95" width="21.08984375" style="66" customWidth="1"/>
    <col min="96" max="96" width="28" style="3" customWidth="1"/>
    <col min="97" max="97" width="15.90625" style="3" customWidth="1"/>
    <col min="98" max="98" width="18.6328125" style="3" customWidth="1"/>
    <col min="99" max="99" width="28.453125" style="3" customWidth="1"/>
    <col min="100" max="100" width="15.90625" style="3" customWidth="1"/>
    <col min="101" max="101" width="18.6328125" style="3" customWidth="1"/>
    <col min="102" max="102" width="28.453125" style="3" customWidth="1"/>
    <col min="103" max="103" width="15.90625" style="3" customWidth="1"/>
    <col min="104" max="104" width="18.6328125" style="3" customWidth="1"/>
    <col min="105" max="105" width="28.453125" style="3" customWidth="1"/>
    <col min="106" max="106" width="15.90625" style="3" customWidth="1"/>
    <col min="107" max="107" width="18.6328125" style="3" customWidth="1"/>
    <col min="108" max="108" width="28.453125" style="3" customWidth="1"/>
    <col min="109" max="109" width="15.90625" style="3" customWidth="1"/>
    <col min="110" max="110" width="18.6328125" style="3" customWidth="1"/>
    <col min="111" max="111" width="28.453125" style="3" customWidth="1"/>
    <col min="112" max="112" width="15.90625" style="3" customWidth="1"/>
    <col min="113" max="113" width="18.6328125" style="3" customWidth="1"/>
    <col min="114" max="114" width="28.453125" style="3" customWidth="1"/>
    <col min="115" max="115" width="15.90625" style="3" customWidth="1"/>
    <col min="116" max="116" width="18.6328125" style="3" customWidth="1"/>
    <col min="117" max="117" width="28.453125" style="3" customWidth="1"/>
    <col min="118" max="118" width="15.90625" style="3" customWidth="1"/>
    <col min="119" max="119" width="18.6328125" style="3" customWidth="1"/>
    <col min="120" max="120" width="28.453125" style="3" customWidth="1"/>
    <col min="121" max="121" width="15.90625" style="3" customWidth="1"/>
    <col min="122" max="122" width="19.6328125" style="3" customWidth="1"/>
    <col min="123" max="123" width="29" style="3" customWidth="1"/>
    <col min="124" max="124" width="15.90625" style="3" customWidth="1"/>
    <col min="125" max="125" width="19.6328125" style="3" customWidth="1"/>
    <col min="126" max="126" width="29" style="3" customWidth="1"/>
    <col min="127" max="127" width="15.90625" style="3" customWidth="1"/>
    <col min="128" max="128" width="19.6328125" style="3" customWidth="1"/>
    <col min="129" max="129" width="29" style="3" customWidth="1"/>
    <col min="130" max="130" width="15.90625" style="3" customWidth="1"/>
    <col min="131" max="131" width="19.6328125" style="3" customWidth="1"/>
    <col min="132" max="132" width="29" style="3" customWidth="1"/>
    <col min="133" max="133" width="15.90625" style="3" customWidth="1"/>
    <col min="134" max="134" width="19.6328125" style="3" customWidth="1"/>
    <col min="135" max="135" width="29" style="3" customWidth="1"/>
    <col min="136" max="136" width="15.90625" style="3" customWidth="1"/>
    <col min="137" max="137" width="19.6328125" style="3" customWidth="1"/>
    <col min="138" max="138" width="29" style="3" customWidth="1"/>
    <col min="139" max="139" width="28" style="66" customWidth="1" collapsed="1"/>
    <col min="140" max="140" width="28" style="3" customWidth="1"/>
    <col min="141" max="141" width="16" style="3" customWidth="1"/>
    <col min="142" max="142" width="20.90625" style="3" customWidth="1"/>
    <col min="143" max="143" width="24.36328125" style="66" customWidth="1"/>
    <col min="144" max="144" width="26.6328125" style="66" customWidth="1"/>
    <col min="145" max="145" width="32.453125" style="3" customWidth="1"/>
    <col min="146" max="146" width="16" style="3" customWidth="1"/>
    <col min="147" max="147" width="20.90625" style="3" customWidth="1"/>
    <col min="148" max="148" width="32.453125" style="3" customWidth="1"/>
    <col min="149" max="149" width="16" style="3" customWidth="1"/>
    <col min="150" max="150" width="20.90625" style="3" customWidth="1"/>
    <col min="151" max="151" width="32.453125" style="3" customWidth="1"/>
    <col min="152" max="152" width="16" style="3" customWidth="1"/>
    <col min="153" max="153" width="20.90625" style="3" customWidth="1"/>
    <col min="154" max="154" width="32.453125" style="3" customWidth="1"/>
    <col min="155" max="155" width="16" style="3" customWidth="1"/>
    <col min="156" max="156" width="20.90625" style="3" customWidth="1"/>
    <col min="157" max="157" width="32.453125" style="3" customWidth="1"/>
    <col min="158" max="158" width="16" style="3" customWidth="1"/>
    <col min="159" max="159" width="20.90625" style="3" customWidth="1"/>
    <col min="160" max="160" width="32.453125" style="3" customWidth="1"/>
    <col min="161" max="161" width="16" style="3" customWidth="1"/>
    <col min="162" max="162" width="20.90625" style="3" customWidth="1"/>
    <col min="163" max="163" width="32.453125" style="3" customWidth="1"/>
    <col min="164" max="164" width="16" style="3" customWidth="1"/>
    <col min="165" max="165" width="20.90625" style="3" customWidth="1"/>
    <col min="166" max="166" width="32.453125" style="3" customWidth="1"/>
    <col min="167" max="167" width="16" style="3" customWidth="1"/>
    <col min="168" max="168" width="20.90625" style="3" customWidth="1"/>
    <col min="169" max="169" width="32.453125" style="3" customWidth="1"/>
    <col min="170" max="170" width="16.6328125" style="3" customWidth="1"/>
    <col min="171" max="171" width="21.90625" style="3" customWidth="1"/>
    <col min="172" max="172" width="33.36328125" style="3" customWidth="1"/>
    <col min="173" max="173" width="16.6328125" style="3" customWidth="1"/>
    <col min="174" max="174" width="21.90625" style="3" customWidth="1"/>
    <col min="175" max="175" width="33.36328125" style="3" customWidth="1"/>
    <col min="176" max="176" width="16.6328125" style="3" customWidth="1"/>
    <col min="177" max="177" width="21.90625" style="3" customWidth="1"/>
    <col min="178" max="178" width="33.36328125" style="3" customWidth="1"/>
    <col min="179" max="179" width="16.6328125" style="3" customWidth="1"/>
    <col min="180" max="180" width="21.90625" style="3" customWidth="1"/>
    <col min="181" max="181" width="33.36328125" style="3" customWidth="1"/>
    <col min="182" max="182" width="16.6328125" style="3" customWidth="1"/>
    <col min="183" max="183" width="21.90625" style="3" customWidth="1"/>
    <col min="184" max="184" width="33.36328125" style="3" customWidth="1"/>
    <col min="185" max="185" width="16.6328125" style="3" customWidth="1"/>
    <col min="186" max="186" width="21.90625" style="3" customWidth="1"/>
    <col min="187" max="187" width="33.36328125" style="3" customWidth="1"/>
    <col min="188" max="188" width="19" style="3" customWidth="1"/>
    <col min="189" max="189" width="19" style="66" customWidth="1"/>
    <col min="190" max="190" width="20.54296875" style="3" customWidth="1"/>
    <col min="191" max="191" width="19" style="3" customWidth="1"/>
    <col min="192" max="193" width="19" style="66" customWidth="1"/>
    <col min="194" max="194" width="26.36328125" style="66" customWidth="1"/>
    <col min="195" max="195" width="28.54296875" style="3" customWidth="1"/>
    <col min="196" max="196" width="27.54296875" style="3" customWidth="1"/>
    <col min="197" max="197" width="24.54296875" style="3" customWidth="1"/>
    <col min="198" max="198" width="23.90625" style="3" customWidth="1"/>
    <col min="199" max="203" width="29.90625" style="3" customWidth="1"/>
    <col min="204" max="204" width="36.453125" style="3" customWidth="1"/>
    <col min="205" max="205" width="25.453125" style="3" customWidth="1"/>
    <col min="206" max="206" width="24.54296875" style="3" customWidth="1"/>
    <col min="207" max="207" width="31.36328125" style="3" customWidth="1"/>
    <col min="208" max="208" width="27.54296875" style="3" customWidth="1"/>
    <col min="209" max="209" width="26.6328125" style="3" customWidth="1"/>
    <col min="210" max="210" width="19.6328125" style="3" customWidth="1"/>
    <col min="211" max="211" width="21.6328125" style="3" customWidth="1"/>
    <col min="212" max="212" width="26" style="3" customWidth="1"/>
    <col min="213" max="213" width="21.08984375" style="3" customWidth="1"/>
    <col min="214" max="214" width="31.08984375" style="3" customWidth="1"/>
    <col min="215" max="215" width="39.08984375" style="3" customWidth="1"/>
    <col min="216" max="216" width="28.08984375" style="3" customWidth="1"/>
    <col min="217" max="217" width="19.54296875" style="3" customWidth="1"/>
    <col min="218" max="218" width="21.36328125" style="3" customWidth="1"/>
    <col min="219" max="219" width="29.1796875" style="3" customWidth="1"/>
    <col min="220" max="16384" width="9.089843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/>
      <c r="AU2" s="81"/>
      <c r="BA2" s="81"/>
      <c r="BG2" s="82"/>
      <c r="BH2" s="81"/>
    </row>
    <row r="3" spans="1:219" ht="57.75" customHeight="1" x14ac:dyDescent="0.3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4" t="s">
        <v>12</v>
      </c>
      <c r="M3" s="8" t="s">
        <v>13</v>
      </c>
      <c r="N3" s="8" t="s">
        <v>14</v>
      </c>
      <c r="O3" s="8" t="s">
        <v>15</v>
      </c>
      <c r="P3" s="68" t="s">
        <v>16</v>
      </c>
      <c r="Q3" s="4" t="s">
        <v>17</v>
      </c>
      <c r="R3" s="8" t="s">
        <v>18</v>
      </c>
      <c r="S3" s="8" t="s">
        <v>19</v>
      </c>
      <c r="T3" s="8" t="s">
        <v>20</v>
      </c>
      <c r="U3" s="68" t="s">
        <v>21</v>
      </c>
      <c r="V3" s="4" t="s">
        <v>22</v>
      </c>
      <c r="W3" s="8" t="s">
        <v>23</v>
      </c>
      <c r="X3" s="8" t="s">
        <v>24</v>
      </c>
      <c r="Y3" s="8" t="s">
        <v>25</v>
      </c>
      <c r="Z3" s="68" t="s">
        <v>26</v>
      </c>
      <c r="AA3" s="4" t="s">
        <v>27</v>
      </c>
      <c r="AB3" s="8" t="s">
        <v>28</v>
      </c>
      <c r="AC3" s="8" t="s">
        <v>29</v>
      </c>
      <c r="AD3" s="8" t="s">
        <v>30</v>
      </c>
      <c r="AE3" s="68" t="s">
        <v>31</v>
      </c>
      <c r="AF3" s="4" t="s">
        <v>32</v>
      </c>
      <c r="AG3" s="8" t="s">
        <v>33</v>
      </c>
      <c r="AH3" s="8" t="s">
        <v>34</v>
      </c>
      <c r="AI3" s="8" t="s">
        <v>35</v>
      </c>
      <c r="AJ3" s="68" t="s">
        <v>36</v>
      </c>
      <c r="AK3" s="4" t="s">
        <v>37</v>
      </c>
      <c r="AL3" s="8" t="s">
        <v>38</v>
      </c>
      <c r="AM3" s="8" t="s">
        <v>39</v>
      </c>
      <c r="AN3" s="8" t="s">
        <v>40</v>
      </c>
      <c r="AO3" s="68" t="s">
        <v>41</v>
      </c>
      <c r="AP3" s="4" t="s">
        <v>42</v>
      </c>
      <c r="AQ3" s="5" t="s">
        <v>43</v>
      </c>
      <c r="AR3" s="10" t="s">
        <v>44</v>
      </c>
      <c r="AS3" s="11" t="s">
        <v>45</v>
      </c>
      <c r="AT3" s="12" t="s">
        <v>46</v>
      </c>
      <c r="AU3" s="13" t="s">
        <v>47</v>
      </c>
      <c r="AV3" s="14" t="s">
        <v>48</v>
      </c>
      <c r="AW3" s="15" t="s">
        <v>49</v>
      </c>
      <c r="AX3" s="15" t="s">
        <v>50</v>
      </c>
      <c r="AY3" s="15" t="s">
        <v>51</v>
      </c>
      <c r="AZ3" s="15" t="s">
        <v>52</v>
      </c>
      <c r="BA3" s="15" t="s">
        <v>53</v>
      </c>
      <c r="BB3" s="16" t="s">
        <v>54</v>
      </c>
      <c r="BC3" s="13" t="s">
        <v>55</v>
      </c>
      <c r="BD3" s="14" t="s">
        <v>56</v>
      </c>
      <c r="BE3" s="17" t="s">
        <v>57</v>
      </c>
      <c r="BF3" s="18" t="s">
        <v>58</v>
      </c>
      <c r="BG3" s="73" t="s">
        <v>59</v>
      </c>
      <c r="BH3" s="19" t="s">
        <v>60</v>
      </c>
      <c r="BI3" s="19" t="s">
        <v>61</v>
      </c>
      <c r="BJ3" s="20" t="s">
        <v>62</v>
      </c>
      <c r="BK3" s="20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  <c r="BQ3" s="19" t="s">
        <v>69</v>
      </c>
      <c r="BR3" s="19" t="s">
        <v>70</v>
      </c>
      <c r="BS3" s="19" t="s">
        <v>71</v>
      </c>
      <c r="BT3" s="19" t="s">
        <v>72</v>
      </c>
      <c r="BU3" s="19" t="s">
        <v>73</v>
      </c>
      <c r="BV3" s="19" t="s">
        <v>74</v>
      </c>
      <c r="BW3" s="19" t="s">
        <v>75</v>
      </c>
      <c r="BX3" s="19" t="s">
        <v>76</v>
      </c>
      <c r="BY3" s="19" t="s">
        <v>77</v>
      </c>
      <c r="BZ3" s="19" t="s">
        <v>78</v>
      </c>
      <c r="CA3" s="19" t="s">
        <v>79</v>
      </c>
      <c r="CB3" s="19" t="s">
        <v>80</v>
      </c>
      <c r="CC3" s="19" t="s">
        <v>81</v>
      </c>
      <c r="CD3" s="19" t="s">
        <v>82</v>
      </c>
      <c r="CE3" s="19" t="s">
        <v>83</v>
      </c>
      <c r="CF3" s="19" t="s">
        <v>84</v>
      </c>
      <c r="CG3" s="19" t="s">
        <v>85</v>
      </c>
      <c r="CH3" s="19" t="s">
        <v>86</v>
      </c>
      <c r="CI3" s="19" t="s">
        <v>87</v>
      </c>
      <c r="CJ3" s="19" t="s">
        <v>88</v>
      </c>
      <c r="CK3" s="19" t="s">
        <v>89</v>
      </c>
      <c r="CL3" s="19" t="s">
        <v>90</v>
      </c>
      <c r="CM3" s="19" t="s">
        <v>91</v>
      </c>
      <c r="CN3" s="21" t="s">
        <v>92</v>
      </c>
      <c r="CO3" s="21" t="s">
        <v>93</v>
      </c>
      <c r="CP3" s="22" t="s">
        <v>94</v>
      </c>
      <c r="CQ3" s="22" t="s">
        <v>95</v>
      </c>
      <c r="CR3" s="21" t="s">
        <v>96</v>
      </c>
      <c r="CS3" s="21" t="s">
        <v>97</v>
      </c>
      <c r="CT3" s="21" t="s">
        <v>98</v>
      </c>
      <c r="CU3" s="21" t="s">
        <v>99</v>
      </c>
      <c r="CV3" s="21" t="s">
        <v>100</v>
      </c>
      <c r="CW3" s="21" t="s">
        <v>101</v>
      </c>
      <c r="CX3" s="21" t="s">
        <v>102</v>
      </c>
      <c r="CY3" s="21" t="s">
        <v>103</v>
      </c>
      <c r="CZ3" s="21" t="s">
        <v>104</v>
      </c>
      <c r="DA3" s="21" t="s">
        <v>105</v>
      </c>
      <c r="DB3" s="21" t="s">
        <v>106</v>
      </c>
      <c r="DC3" s="21" t="s">
        <v>107</v>
      </c>
      <c r="DD3" s="21" t="s">
        <v>108</v>
      </c>
      <c r="DE3" s="21" t="s">
        <v>109</v>
      </c>
      <c r="DF3" s="21" t="s">
        <v>110</v>
      </c>
      <c r="DG3" s="21" t="s">
        <v>111</v>
      </c>
      <c r="DH3" s="21" t="s">
        <v>112</v>
      </c>
      <c r="DI3" s="21" t="s">
        <v>113</v>
      </c>
      <c r="DJ3" s="21" t="s">
        <v>114</v>
      </c>
      <c r="DK3" s="21" t="s">
        <v>115</v>
      </c>
      <c r="DL3" s="21" t="s">
        <v>116</v>
      </c>
      <c r="DM3" s="21" t="s">
        <v>117</v>
      </c>
      <c r="DN3" s="21" t="s">
        <v>118</v>
      </c>
      <c r="DO3" s="21" t="s">
        <v>119</v>
      </c>
      <c r="DP3" s="21" t="s">
        <v>120</v>
      </c>
      <c r="DQ3" s="21" t="s">
        <v>121</v>
      </c>
      <c r="DR3" s="21" t="s">
        <v>122</v>
      </c>
      <c r="DS3" s="21" t="s">
        <v>123</v>
      </c>
      <c r="DT3" s="21" t="s">
        <v>124</v>
      </c>
      <c r="DU3" s="21" t="s">
        <v>125</v>
      </c>
      <c r="DV3" s="21" t="s">
        <v>126</v>
      </c>
      <c r="DW3" s="21" t="s">
        <v>127</v>
      </c>
      <c r="DX3" s="21" t="s">
        <v>128</v>
      </c>
      <c r="DY3" s="21" t="s">
        <v>129</v>
      </c>
      <c r="DZ3" s="21" t="s">
        <v>130</v>
      </c>
      <c r="EA3" s="21" t="s">
        <v>131</v>
      </c>
      <c r="EB3" s="21" t="s">
        <v>132</v>
      </c>
      <c r="EC3" s="21" t="s">
        <v>133</v>
      </c>
      <c r="ED3" s="23" t="s">
        <v>134</v>
      </c>
      <c r="EE3" s="21" t="s">
        <v>135</v>
      </c>
      <c r="EF3" s="21" t="s">
        <v>136</v>
      </c>
      <c r="EG3" s="21" t="s">
        <v>137</v>
      </c>
      <c r="EH3" s="21" t="s">
        <v>138</v>
      </c>
      <c r="EI3" s="24" t="s">
        <v>139</v>
      </c>
      <c r="EJ3" s="25" t="s">
        <v>140</v>
      </c>
      <c r="EK3" s="26" t="s">
        <v>141</v>
      </c>
      <c r="EL3" s="26" t="s">
        <v>142</v>
      </c>
      <c r="EM3" s="27" t="s">
        <v>143</v>
      </c>
      <c r="EN3" s="27" t="s">
        <v>144</v>
      </c>
      <c r="EO3" s="29" t="s">
        <v>145</v>
      </c>
      <c r="EP3" s="26" t="s">
        <v>146</v>
      </c>
      <c r="EQ3" s="26" t="s">
        <v>147</v>
      </c>
      <c r="ER3" s="29" t="s">
        <v>148</v>
      </c>
      <c r="ES3" s="26" t="s">
        <v>149</v>
      </c>
      <c r="ET3" s="26" t="s">
        <v>150</v>
      </c>
      <c r="EU3" s="29" t="s">
        <v>151</v>
      </c>
      <c r="EV3" s="26" t="s">
        <v>152</v>
      </c>
      <c r="EW3" s="26" t="s">
        <v>153</v>
      </c>
      <c r="EX3" s="29" t="s">
        <v>154</v>
      </c>
      <c r="EY3" s="26" t="s">
        <v>155</v>
      </c>
      <c r="EZ3" s="26" t="s">
        <v>156</v>
      </c>
      <c r="FA3" s="29" t="s">
        <v>157</v>
      </c>
      <c r="FB3" s="26" t="s">
        <v>158</v>
      </c>
      <c r="FC3" s="26" t="s">
        <v>159</v>
      </c>
      <c r="FD3" s="29" t="s">
        <v>160</v>
      </c>
      <c r="FE3" s="26" t="s">
        <v>161</v>
      </c>
      <c r="FF3" s="26" t="s">
        <v>162</v>
      </c>
      <c r="FG3" s="29" t="s">
        <v>163</v>
      </c>
      <c r="FH3" s="26" t="s">
        <v>164</v>
      </c>
      <c r="FI3" s="26" t="s">
        <v>165</v>
      </c>
      <c r="FJ3" s="29" t="s">
        <v>166</v>
      </c>
      <c r="FK3" s="26" t="s">
        <v>167</v>
      </c>
      <c r="FL3" s="26" t="s">
        <v>168</v>
      </c>
      <c r="FM3" s="29" t="s">
        <v>169</v>
      </c>
      <c r="FN3" s="26" t="s">
        <v>170</v>
      </c>
      <c r="FO3" s="26" t="s">
        <v>171</v>
      </c>
      <c r="FP3" s="29" t="s">
        <v>172</v>
      </c>
      <c r="FQ3" s="26" t="s">
        <v>173</v>
      </c>
      <c r="FR3" s="26" t="s">
        <v>174</v>
      </c>
      <c r="FS3" s="29" t="s">
        <v>175</v>
      </c>
      <c r="FT3" s="26" t="s">
        <v>176</v>
      </c>
      <c r="FU3" s="26" t="s">
        <v>177</v>
      </c>
      <c r="FV3" s="29" t="s">
        <v>178</v>
      </c>
      <c r="FW3" s="26" t="s">
        <v>179</v>
      </c>
      <c r="FX3" s="26" t="s">
        <v>180</v>
      </c>
      <c r="FY3" s="29" t="s">
        <v>181</v>
      </c>
      <c r="FZ3" s="26" t="s">
        <v>182</v>
      </c>
      <c r="GA3" s="26" t="s">
        <v>183</v>
      </c>
      <c r="GB3" s="75" t="s">
        <v>184</v>
      </c>
      <c r="GC3" s="26" t="s">
        <v>185</v>
      </c>
      <c r="GD3" s="76" t="s">
        <v>186</v>
      </c>
      <c r="GE3" s="29" t="s">
        <v>187</v>
      </c>
      <c r="GF3" s="31" t="s">
        <v>188</v>
      </c>
      <c r="GG3" s="32" t="s">
        <v>189</v>
      </c>
      <c r="GH3" s="33" t="s">
        <v>190</v>
      </c>
      <c r="GI3" s="34" t="s">
        <v>191</v>
      </c>
      <c r="GJ3" s="32" t="s">
        <v>192</v>
      </c>
      <c r="GK3" s="32" t="s">
        <v>193</v>
      </c>
      <c r="GL3" s="36" t="s">
        <v>194</v>
      </c>
      <c r="GM3" s="37" t="s">
        <v>195</v>
      </c>
      <c r="GN3" s="37" t="s">
        <v>196</v>
      </c>
      <c r="GO3" s="60" t="s">
        <v>197</v>
      </c>
      <c r="GP3" s="60" t="s">
        <v>198</v>
      </c>
      <c r="GQ3" s="60" t="s">
        <v>199</v>
      </c>
      <c r="GR3" s="60" t="s">
        <v>200</v>
      </c>
      <c r="GS3" s="60" t="s">
        <v>201</v>
      </c>
      <c r="GT3" s="60" t="s">
        <v>202</v>
      </c>
      <c r="GU3" s="60" t="s">
        <v>203</v>
      </c>
      <c r="GV3" s="60" t="s">
        <v>204</v>
      </c>
      <c r="GW3" s="60" t="s">
        <v>205</v>
      </c>
      <c r="GX3" s="60" t="s">
        <v>206</v>
      </c>
      <c r="GY3" s="60" t="s">
        <v>207</v>
      </c>
      <c r="GZ3" s="60" t="s">
        <v>208</v>
      </c>
      <c r="HA3" s="60" t="s">
        <v>209</v>
      </c>
      <c r="HB3" s="60" t="s">
        <v>210</v>
      </c>
      <c r="HC3" s="60" t="s">
        <v>211</v>
      </c>
      <c r="HD3" s="60" t="s">
        <v>212</v>
      </c>
      <c r="HE3" s="60" t="s">
        <v>213</v>
      </c>
      <c r="HF3" s="38" t="s">
        <v>214</v>
      </c>
      <c r="HG3" s="39" t="s">
        <v>215</v>
      </c>
      <c r="HH3" s="40" t="s">
        <v>216</v>
      </c>
      <c r="HI3" s="41" t="s">
        <v>217</v>
      </c>
      <c r="HJ3" s="38" t="s">
        <v>218</v>
      </c>
      <c r="HK3" s="129" t="s">
        <v>219</v>
      </c>
    </row>
    <row r="4" spans="1:219" s="96" customFormat="1" ht="15" customHeight="1" x14ac:dyDescent="0.3">
      <c r="A4" s="83">
        <v>6229691280</v>
      </c>
      <c r="B4" s="86" t="s">
        <v>220</v>
      </c>
      <c r="C4" s="87" t="s">
        <v>221</v>
      </c>
      <c r="D4" s="88" t="s">
        <v>222</v>
      </c>
      <c r="E4" s="89" t="s">
        <v>221</v>
      </c>
      <c r="F4" s="90" t="s">
        <v>221</v>
      </c>
      <c r="G4" s="78" t="s">
        <v>221</v>
      </c>
      <c r="H4" s="91" t="s">
        <v>221</v>
      </c>
      <c r="I4" s="88" t="s">
        <v>223</v>
      </c>
      <c r="J4" s="48" t="s">
        <v>221</v>
      </c>
      <c r="K4" s="91" t="s">
        <v>221</v>
      </c>
      <c r="L4" s="78" t="s">
        <v>224</v>
      </c>
      <c r="M4" s="89" t="s">
        <v>225</v>
      </c>
      <c r="N4" s="78" t="s">
        <v>226</v>
      </c>
      <c r="O4" s="92" t="s">
        <v>227</v>
      </c>
      <c r="P4" s="91">
        <v>44225</v>
      </c>
      <c r="Q4" s="87" t="s">
        <v>228</v>
      </c>
      <c r="R4" s="78" t="s">
        <v>221</v>
      </c>
      <c r="S4" s="78" t="s">
        <v>221</v>
      </c>
      <c r="T4" s="78" t="s">
        <v>221</v>
      </c>
      <c r="U4" s="78" t="s">
        <v>221</v>
      </c>
      <c r="V4" s="78" t="s">
        <v>221</v>
      </c>
      <c r="W4" s="78" t="s">
        <v>221</v>
      </c>
      <c r="X4" s="78" t="s">
        <v>221</v>
      </c>
      <c r="Y4" s="78" t="s">
        <v>221</v>
      </c>
      <c r="Z4" s="78" t="s">
        <v>221</v>
      </c>
      <c r="AA4" s="78" t="s">
        <v>221</v>
      </c>
      <c r="AB4" s="78" t="s">
        <v>221</v>
      </c>
      <c r="AC4" s="78" t="s">
        <v>221</v>
      </c>
      <c r="AD4" s="78" t="s">
        <v>221</v>
      </c>
      <c r="AE4" s="78" t="s">
        <v>221</v>
      </c>
      <c r="AF4" s="78" t="s">
        <v>221</v>
      </c>
      <c r="AG4" s="78" t="s">
        <v>221</v>
      </c>
      <c r="AH4" s="78" t="s">
        <v>221</v>
      </c>
      <c r="AI4" s="78" t="s">
        <v>221</v>
      </c>
      <c r="AJ4" s="78" t="s">
        <v>221</v>
      </c>
      <c r="AK4" s="78" t="s">
        <v>221</v>
      </c>
      <c r="AL4" s="89" t="s">
        <v>221</v>
      </c>
      <c r="AM4" s="78" t="s">
        <v>221</v>
      </c>
      <c r="AN4" s="92" t="s">
        <v>221</v>
      </c>
      <c r="AO4" s="91" t="s">
        <v>221</v>
      </c>
      <c r="AP4" s="87" t="s">
        <v>221</v>
      </c>
      <c r="AQ4" s="93" t="s">
        <v>229</v>
      </c>
      <c r="AR4" s="94">
        <v>18113</v>
      </c>
      <c r="AS4" s="95">
        <v>44225</v>
      </c>
      <c r="AT4" s="62">
        <f t="shared" ref="AT4:AT18" si="0">DATEDIF(AR4, AS4,"Y")</f>
        <v>71</v>
      </c>
      <c r="AU4" s="96" t="s">
        <v>230</v>
      </c>
      <c r="AV4" s="87" t="s">
        <v>231</v>
      </c>
      <c r="AW4" s="97" t="s">
        <v>221</v>
      </c>
      <c r="AX4" s="97" t="s">
        <v>221</v>
      </c>
      <c r="AY4" s="97" t="s">
        <v>221</v>
      </c>
      <c r="AZ4" s="98" t="s">
        <v>232</v>
      </c>
      <c r="BA4" s="98" t="s">
        <v>232</v>
      </c>
      <c r="BB4" s="98" t="s">
        <v>233</v>
      </c>
      <c r="BC4" s="99" t="s">
        <v>234</v>
      </c>
      <c r="BD4" s="87" t="s">
        <v>235</v>
      </c>
      <c r="BE4" s="100" t="s">
        <v>236</v>
      </c>
      <c r="BF4" s="87" t="s">
        <v>222</v>
      </c>
      <c r="BG4" s="101" t="s">
        <v>221</v>
      </c>
      <c r="BH4" s="101" t="s">
        <v>221</v>
      </c>
      <c r="BI4" s="101" t="s">
        <v>221</v>
      </c>
      <c r="BJ4" s="101" t="s">
        <v>221</v>
      </c>
      <c r="BK4" s="101" t="s">
        <v>221</v>
      </c>
      <c r="BL4" s="101" t="s">
        <v>221</v>
      </c>
      <c r="BM4" s="101" t="s">
        <v>221</v>
      </c>
      <c r="BN4" s="101" t="s">
        <v>221</v>
      </c>
      <c r="BO4" s="101" t="s">
        <v>221</v>
      </c>
      <c r="BP4" s="101" t="s">
        <v>221</v>
      </c>
      <c r="BQ4" s="101" t="s">
        <v>221</v>
      </c>
      <c r="BR4" s="101" t="s">
        <v>221</v>
      </c>
      <c r="BS4" s="101" t="s">
        <v>221</v>
      </c>
      <c r="BT4" s="101" t="s">
        <v>221</v>
      </c>
      <c r="BU4" s="101" t="s">
        <v>221</v>
      </c>
      <c r="BV4" s="101" t="s">
        <v>221</v>
      </c>
      <c r="BW4" s="101" t="s">
        <v>221</v>
      </c>
      <c r="BX4" s="101" t="s">
        <v>221</v>
      </c>
      <c r="BY4" s="101" t="s">
        <v>221</v>
      </c>
      <c r="BZ4" s="101" t="s">
        <v>221</v>
      </c>
      <c r="CA4" s="101" t="s">
        <v>221</v>
      </c>
      <c r="CB4" s="101" t="s">
        <v>221</v>
      </c>
      <c r="CC4" s="101" t="s">
        <v>221</v>
      </c>
      <c r="CD4" s="101" t="s">
        <v>221</v>
      </c>
      <c r="CE4" s="101" t="s">
        <v>221</v>
      </c>
      <c r="CF4" s="101" t="s">
        <v>221</v>
      </c>
      <c r="CG4" s="101" t="s">
        <v>221</v>
      </c>
      <c r="CH4" s="101" t="s">
        <v>221</v>
      </c>
      <c r="CI4" s="101" t="s">
        <v>221</v>
      </c>
      <c r="CJ4" s="101" t="s">
        <v>221</v>
      </c>
      <c r="CK4" s="101" t="s">
        <v>221</v>
      </c>
      <c r="CL4" s="101" t="s">
        <v>221</v>
      </c>
      <c r="CM4" s="101" t="s">
        <v>221</v>
      </c>
      <c r="CN4" s="102" t="s">
        <v>237</v>
      </c>
      <c r="CO4" s="103" t="s">
        <v>238</v>
      </c>
      <c r="CP4" s="104">
        <v>44298</v>
      </c>
      <c r="CQ4" s="104">
        <v>44396</v>
      </c>
      <c r="CR4" s="103" t="s">
        <v>239</v>
      </c>
      <c r="CS4" s="103" t="s">
        <v>240</v>
      </c>
      <c r="CT4" s="103" t="s">
        <v>241</v>
      </c>
      <c r="CU4" s="103" t="s">
        <v>239</v>
      </c>
      <c r="CV4" s="103" t="s">
        <v>221</v>
      </c>
      <c r="CW4" s="103" t="s">
        <v>221</v>
      </c>
      <c r="CX4" s="103" t="s">
        <v>221</v>
      </c>
      <c r="CY4" s="103" t="s">
        <v>221</v>
      </c>
      <c r="CZ4" s="103" t="s">
        <v>221</v>
      </c>
      <c r="DA4" s="103" t="s">
        <v>221</v>
      </c>
      <c r="DB4" s="103" t="s">
        <v>221</v>
      </c>
      <c r="DC4" s="103" t="s">
        <v>221</v>
      </c>
      <c r="DD4" s="103" t="s">
        <v>221</v>
      </c>
      <c r="DE4" s="103" t="s">
        <v>221</v>
      </c>
      <c r="DF4" s="103" t="s">
        <v>221</v>
      </c>
      <c r="DG4" s="103" t="s">
        <v>221</v>
      </c>
      <c r="DH4" s="103" t="s">
        <v>221</v>
      </c>
      <c r="DI4" s="103" t="s">
        <v>221</v>
      </c>
      <c r="DJ4" s="103" t="s">
        <v>221</v>
      </c>
      <c r="DK4" s="103" t="s">
        <v>221</v>
      </c>
      <c r="DL4" s="103" t="s">
        <v>221</v>
      </c>
      <c r="DM4" s="103" t="s">
        <v>221</v>
      </c>
      <c r="DN4" s="103" t="s">
        <v>221</v>
      </c>
      <c r="DO4" s="103" t="s">
        <v>221</v>
      </c>
      <c r="DP4" s="103" t="s">
        <v>221</v>
      </c>
      <c r="DQ4" s="103" t="s">
        <v>221</v>
      </c>
      <c r="DR4" s="103" t="s">
        <v>221</v>
      </c>
      <c r="DS4" s="103" t="s">
        <v>221</v>
      </c>
      <c r="DT4" s="103" t="s">
        <v>221</v>
      </c>
      <c r="DU4" s="103" t="s">
        <v>221</v>
      </c>
      <c r="DV4" s="103" t="s">
        <v>221</v>
      </c>
      <c r="DW4" s="103" t="s">
        <v>221</v>
      </c>
      <c r="DX4" s="103" t="s">
        <v>221</v>
      </c>
      <c r="DY4" s="103" t="s">
        <v>221</v>
      </c>
      <c r="DZ4" s="103" t="s">
        <v>221</v>
      </c>
      <c r="EA4" s="103" t="s">
        <v>221</v>
      </c>
      <c r="EB4" s="103" t="s">
        <v>221</v>
      </c>
      <c r="EC4" s="103" t="s">
        <v>221</v>
      </c>
      <c r="ED4" s="103" t="s">
        <v>221</v>
      </c>
      <c r="EE4" s="103" t="s">
        <v>221</v>
      </c>
      <c r="EF4" s="103" t="s">
        <v>221</v>
      </c>
      <c r="EG4" s="103" t="s">
        <v>221</v>
      </c>
      <c r="EH4" s="103" t="s">
        <v>221</v>
      </c>
      <c r="EI4" s="104">
        <v>44382</v>
      </c>
      <c r="EJ4" s="98" t="s">
        <v>242</v>
      </c>
      <c r="EK4" s="102" t="s">
        <v>243</v>
      </c>
      <c r="EL4" s="116" t="s">
        <v>244</v>
      </c>
      <c r="EM4" s="117">
        <v>44417</v>
      </c>
      <c r="EN4" s="67">
        <v>44482</v>
      </c>
      <c r="EO4" s="103" t="s">
        <v>234</v>
      </c>
      <c r="EP4" s="103" t="s">
        <v>221</v>
      </c>
      <c r="EQ4" s="103" t="s">
        <v>221</v>
      </c>
      <c r="ER4" s="103" t="s">
        <v>221</v>
      </c>
      <c r="ES4" s="103" t="s">
        <v>221</v>
      </c>
      <c r="ET4" s="103" t="s">
        <v>221</v>
      </c>
      <c r="EU4" s="103" t="s">
        <v>221</v>
      </c>
      <c r="EV4" s="103" t="s">
        <v>221</v>
      </c>
      <c r="EW4" s="103" t="s">
        <v>221</v>
      </c>
      <c r="EX4" s="103" t="s">
        <v>221</v>
      </c>
      <c r="EY4" s="103" t="s">
        <v>221</v>
      </c>
      <c r="EZ4" s="103" t="s">
        <v>221</v>
      </c>
      <c r="FA4" s="103" t="s">
        <v>221</v>
      </c>
      <c r="FB4" s="103" t="s">
        <v>221</v>
      </c>
      <c r="FC4" s="103" t="s">
        <v>221</v>
      </c>
      <c r="FD4" s="103" t="s">
        <v>221</v>
      </c>
      <c r="FE4" s="103" t="s">
        <v>221</v>
      </c>
      <c r="FF4" s="103" t="s">
        <v>221</v>
      </c>
      <c r="FG4" s="103" t="s">
        <v>221</v>
      </c>
      <c r="FH4" s="103" t="s">
        <v>221</v>
      </c>
      <c r="FI4" s="103" t="s">
        <v>221</v>
      </c>
      <c r="FJ4" s="103" t="s">
        <v>221</v>
      </c>
      <c r="FK4" s="103" t="s">
        <v>221</v>
      </c>
      <c r="FL4" s="103" t="s">
        <v>221</v>
      </c>
      <c r="FM4" s="103" t="s">
        <v>221</v>
      </c>
      <c r="FN4" s="103" t="s">
        <v>221</v>
      </c>
      <c r="FO4" s="103" t="s">
        <v>221</v>
      </c>
      <c r="FP4" s="103" t="s">
        <v>221</v>
      </c>
      <c r="FQ4" s="103" t="s">
        <v>221</v>
      </c>
      <c r="FR4" s="103" t="s">
        <v>221</v>
      </c>
      <c r="FS4" s="103" t="s">
        <v>221</v>
      </c>
      <c r="FT4" s="103" t="s">
        <v>221</v>
      </c>
      <c r="FU4" s="103" t="s">
        <v>221</v>
      </c>
      <c r="FV4" s="103" t="s">
        <v>221</v>
      </c>
      <c r="FW4" s="103" t="s">
        <v>221</v>
      </c>
      <c r="FX4" s="103" t="s">
        <v>221</v>
      </c>
      <c r="FY4" s="103" t="s">
        <v>221</v>
      </c>
      <c r="FZ4" s="103" t="s">
        <v>221</v>
      </c>
      <c r="GA4" s="103" t="s">
        <v>221</v>
      </c>
      <c r="GB4" s="103" t="s">
        <v>221</v>
      </c>
      <c r="GC4" s="103" t="s">
        <v>221</v>
      </c>
      <c r="GD4" s="103" t="s">
        <v>221</v>
      </c>
      <c r="GE4" s="103" t="s">
        <v>221</v>
      </c>
      <c r="GF4" s="87" t="s">
        <v>245</v>
      </c>
      <c r="GG4" s="105">
        <v>44607</v>
      </c>
      <c r="GH4" s="87" t="s">
        <v>220</v>
      </c>
      <c r="GI4" s="88" t="s">
        <v>234</v>
      </c>
      <c r="GJ4" s="91">
        <v>44574</v>
      </c>
      <c r="GK4" s="91" t="s">
        <v>221</v>
      </c>
      <c r="GL4" s="91" t="s">
        <v>221</v>
      </c>
      <c r="GM4" s="79" t="str">
        <f t="shared" ref="GM4:GM18" si="1">IFERROR(INT(BJ4 - $AS4)/30,"N/A")</f>
        <v>N/A</v>
      </c>
      <c r="GN4" s="79" t="str">
        <f t="shared" ref="GN4:GN18" si="2">IFERROR(INT(BK4 - $AS4)/30,"N/A")</f>
        <v>N/A</v>
      </c>
      <c r="GO4" s="79" t="str">
        <f t="shared" ref="GO4:GO18" si="3">IFERROR(INT(H4 - $AS4)/30,"N/A")</f>
        <v>N/A</v>
      </c>
      <c r="GP4" s="79" t="str">
        <f t="shared" ref="GP4:GP18" si="4">IFERROR(INT(K4 - $AS4)/30,"N/A")</f>
        <v>N/A</v>
      </c>
      <c r="GQ4" s="79">
        <f t="shared" ref="GQ4:GQ18" si="5">IFERROR(INT(P4 - $AS4)/30,"N/A")</f>
        <v>0</v>
      </c>
      <c r="GR4" s="79" t="str">
        <f t="shared" ref="GR4:GR18" si="6">IFERROR(INT(U4 - $AS4)/30,"N/A")</f>
        <v>N/A</v>
      </c>
      <c r="GS4" s="79" t="str">
        <f t="shared" ref="GS4:GS18" si="7">IFERROR(INT(Z4 - $AS4)/30,"N/A")</f>
        <v>N/A</v>
      </c>
      <c r="GT4" s="79" t="str">
        <f t="shared" ref="GT4:GT18" si="8">IFERROR(INT(AE4 - $AS4)/30,"N/A")</f>
        <v>N/A</v>
      </c>
      <c r="GU4" s="79" t="str">
        <f t="shared" ref="GU4:GU18" si="9">IFERROR(INT(AJ4 - $AS4)/30,"N/A")</f>
        <v>N/A</v>
      </c>
      <c r="GV4" s="79" t="str">
        <f t="shared" ref="GV4:GV18" si="10">IFERROR(INT(AO4 - $AS4)/30,"N/A")</f>
        <v>N/A</v>
      </c>
      <c r="GW4" s="79">
        <f t="shared" ref="GW4:GW18" si="11">IFERROR(INT(CP4 - $AS4)/30,"N/A")</f>
        <v>2.4333333333333331</v>
      </c>
      <c r="GX4" s="79">
        <f t="shared" ref="GX4:GX18" si="12">IFERROR(INT(CQ4 - $AS4)/30,"N/A")</f>
        <v>5.7</v>
      </c>
      <c r="GY4" s="79">
        <f t="shared" ref="GY4:GY18" si="13">IFERROR(INT(EI4 - $AS4)/30,"N/A")</f>
        <v>5.2333333333333334</v>
      </c>
      <c r="GZ4" s="79">
        <f t="shared" ref="GZ4:GZ18" si="14">IFERROR(INT(EM4 - $AS4)/30,"N/A")</f>
        <v>6.4</v>
      </c>
      <c r="HA4" s="79">
        <f t="shared" ref="HA4:HA18" si="15">IFERROR(INT(EN4 - $AS4)/30,"N/A")</f>
        <v>8.5666666666666664</v>
      </c>
      <c r="HB4" s="79">
        <f t="shared" ref="HB4:HB18" si="16">$GY4</f>
        <v>5.2333333333333334</v>
      </c>
      <c r="HC4" s="79">
        <f t="shared" ref="HC4:HC18" si="17">IFERROR(INT(GG4 - $AS4)/30,"N/A")</f>
        <v>12.733333333333333</v>
      </c>
      <c r="HD4" s="79">
        <f t="shared" ref="HD4:HD18" si="18">IFERROR(INT(GJ4 - $AS4)/30,"N/A")</f>
        <v>11.633333333333333</v>
      </c>
      <c r="HE4" s="79" t="str">
        <f t="shared" ref="HE4:HE18" si="19">IFERROR(INT(GK4 - $AS4)/30,"N/A")</f>
        <v>N/A</v>
      </c>
      <c r="HF4" s="80">
        <f t="shared" ref="HF4:HF18" si="20">SUM($HC4,$HE4)</f>
        <v>12.733333333333333</v>
      </c>
      <c r="HG4" s="80" cm="1">
        <f t="array" ref="HG4">INDEX($HB4:$HD4,MATCH(TRUE,INDEX(ISNUMBER($HB4:$HD4),0),0))</f>
        <v>5.2333333333333334</v>
      </c>
      <c r="HH4" s="77">
        <f t="shared" ref="HH4:HH18" si="21">IF($HB4="N/A",0,1)</f>
        <v>1</v>
      </c>
      <c r="HI4" s="77">
        <f t="shared" ref="HI4:HI18" si="22">IF($GH4="Yes",1,0)</f>
        <v>1</v>
      </c>
      <c r="HJ4" s="77">
        <f t="shared" ref="HJ4:HJ18" si="23">IF($HC4="N/A",0,1)</f>
        <v>1</v>
      </c>
      <c r="HK4" s="130" t="str">
        <f t="shared" ref="HK4:HK18" si="24">IF(OR($HH4=1,$HI4=1),"1","0")</f>
        <v>1</v>
      </c>
    </row>
    <row r="5" spans="1:219" ht="15" customHeight="1" x14ac:dyDescent="0.3">
      <c r="A5" s="48">
        <v>4583316437</v>
      </c>
      <c r="B5" s="46" t="s">
        <v>222</v>
      </c>
      <c r="C5" s="42" t="s">
        <v>221</v>
      </c>
      <c r="D5" s="43" t="s">
        <v>222</v>
      </c>
      <c r="E5" s="48" t="s">
        <v>221</v>
      </c>
      <c r="F5" s="48" t="s">
        <v>221</v>
      </c>
      <c r="G5" s="48" t="s">
        <v>221</v>
      </c>
      <c r="H5" s="67" t="s">
        <v>221</v>
      </c>
      <c r="I5" s="48" t="s">
        <v>246</v>
      </c>
      <c r="J5" s="48" t="s">
        <v>221</v>
      </c>
      <c r="K5" s="67" t="s">
        <v>221</v>
      </c>
      <c r="L5" s="48" t="s">
        <v>247</v>
      </c>
      <c r="M5" s="48" t="s">
        <v>248</v>
      </c>
      <c r="N5" s="48" t="s">
        <v>249</v>
      </c>
      <c r="O5" s="48" t="s">
        <v>250</v>
      </c>
      <c r="P5" s="69">
        <v>44672</v>
      </c>
      <c r="Q5" s="42" t="s">
        <v>228</v>
      </c>
      <c r="R5" s="50" t="s">
        <v>248</v>
      </c>
      <c r="S5" s="48" t="s">
        <v>251</v>
      </c>
      <c r="T5" s="48" t="s">
        <v>250</v>
      </c>
      <c r="U5" s="69">
        <v>44672</v>
      </c>
      <c r="V5" s="42" t="s">
        <v>228</v>
      </c>
      <c r="W5" s="43" t="s">
        <v>221</v>
      </c>
      <c r="X5" s="43" t="s">
        <v>221</v>
      </c>
      <c r="Y5" s="43" t="s">
        <v>221</v>
      </c>
      <c r="Z5" s="70" t="s">
        <v>221</v>
      </c>
      <c r="AA5" s="43" t="s">
        <v>221</v>
      </c>
      <c r="AB5" s="43" t="s">
        <v>221</v>
      </c>
      <c r="AC5" s="43" t="s">
        <v>221</v>
      </c>
      <c r="AD5" s="43" t="s">
        <v>221</v>
      </c>
      <c r="AE5" s="70" t="s">
        <v>221</v>
      </c>
      <c r="AF5" s="43" t="s">
        <v>221</v>
      </c>
      <c r="AG5" s="43" t="s">
        <v>221</v>
      </c>
      <c r="AH5" s="43" t="s">
        <v>221</v>
      </c>
      <c r="AI5" s="43" t="s">
        <v>221</v>
      </c>
      <c r="AJ5" s="70" t="s">
        <v>221</v>
      </c>
      <c r="AK5" s="43" t="s">
        <v>221</v>
      </c>
      <c r="AL5" s="50" t="s">
        <v>221</v>
      </c>
      <c r="AM5" s="48" t="s">
        <v>221</v>
      </c>
      <c r="AN5" s="48" t="s">
        <v>221</v>
      </c>
      <c r="AO5" s="69" t="s">
        <v>221</v>
      </c>
      <c r="AP5" s="42" t="s">
        <v>221</v>
      </c>
      <c r="AQ5" s="50" t="s">
        <v>252</v>
      </c>
      <c r="AR5" s="67">
        <v>20796</v>
      </c>
      <c r="AS5" s="69">
        <v>44672</v>
      </c>
      <c r="AT5" s="62">
        <f t="shared" si="0"/>
        <v>65</v>
      </c>
      <c r="AU5" s="51" t="s">
        <v>253</v>
      </c>
      <c r="AV5" s="42" t="s">
        <v>231</v>
      </c>
      <c r="AW5" s="43" t="s">
        <v>221</v>
      </c>
      <c r="AX5" s="48" t="s">
        <v>221</v>
      </c>
      <c r="AY5" s="48" t="s">
        <v>221</v>
      </c>
      <c r="AZ5" s="48" t="s">
        <v>232</v>
      </c>
      <c r="BA5" s="48" t="s">
        <v>254</v>
      </c>
      <c r="BB5" s="48" t="s">
        <v>255</v>
      </c>
      <c r="BC5" s="49" t="s">
        <v>234</v>
      </c>
      <c r="BD5" s="45" t="s">
        <v>235</v>
      </c>
      <c r="BE5" s="51" t="s">
        <v>236</v>
      </c>
      <c r="BF5" s="42" t="s">
        <v>220</v>
      </c>
      <c r="BG5" s="74" t="s">
        <v>221</v>
      </c>
      <c r="BH5" s="44" t="s">
        <v>256</v>
      </c>
      <c r="BI5" s="48" t="s">
        <v>257</v>
      </c>
      <c r="BJ5" s="67">
        <v>44681</v>
      </c>
      <c r="BK5" s="67">
        <v>44772</v>
      </c>
      <c r="BL5" s="74" t="s">
        <v>258</v>
      </c>
      <c r="BM5" s="74" t="s">
        <v>256</v>
      </c>
      <c r="BN5" s="74" t="s">
        <v>259</v>
      </c>
      <c r="BO5" s="74" t="s">
        <v>260</v>
      </c>
      <c r="BP5" s="74" t="s">
        <v>240</v>
      </c>
      <c r="BQ5" s="74" t="s">
        <v>261</v>
      </c>
      <c r="BR5" s="74" t="s">
        <v>260</v>
      </c>
      <c r="BS5" s="74" t="s">
        <v>221</v>
      </c>
      <c r="BT5" s="74" t="s">
        <v>221</v>
      </c>
      <c r="BU5" s="74" t="s">
        <v>221</v>
      </c>
      <c r="BV5" s="74" t="s">
        <v>221</v>
      </c>
      <c r="BW5" s="74" t="s">
        <v>221</v>
      </c>
      <c r="BX5" s="74" t="s">
        <v>221</v>
      </c>
      <c r="BY5" s="74" t="s">
        <v>221</v>
      </c>
      <c r="BZ5" s="74" t="s">
        <v>221</v>
      </c>
      <c r="CA5" s="74" t="s">
        <v>221</v>
      </c>
      <c r="CB5" s="74" t="s">
        <v>221</v>
      </c>
      <c r="CC5" s="74" t="s">
        <v>221</v>
      </c>
      <c r="CD5" s="74" t="s">
        <v>221</v>
      </c>
      <c r="CE5" s="74" t="s">
        <v>221</v>
      </c>
      <c r="CF5" s="74" t="s">
        <v>221</v>
      </c>
      <c r="CG5" s="74" t="s">
        <v>221</v>
      </c>
      <c r="CH5" s="74" t="s">
        <v>221</v>
      </c>
      <c r="CI5" s="74" t="s">
        <v>221</v>
      </c>
      <c r="CJ5" s="74" t="s">
        <v>221</v>
      </c>
      <c r="CK5" s="74" t="s">
        <v>221</v>
      </c>
      <c r="CL5" s="74" t="s">
        <v>221</v>
      </c>
      <c r="CM5" s="74" t="s">
        <v>221</v>
      </c>
      <c r="CN5" s="44" t="s">
        <v>221</v>
      </c>
      <c r="CO5" s="44" t="s">
        <v>221</v>
      </c>
      <c r="CP5" s="44" t="s">
        <v>221</v>
      </c>
      <c r="CQ5" s="44" t="s">
        <v>221</v>
      </c>
      <c r="CR5" s="44" t="s">
        <v>221</v>
      </c>
      <c r="CS5" s="44" t="s">
        <v>221</v>
      </c>
      <c r="CT5" s="44" t="s">
        <v>221</v>
      </c>
      <c r="CU5" s="44" t="s">
        <v>221</v>
      </c>
      <c r="CV5" s="44" t="s">
        <v>221</v>
      </c>
      <c r="CW5" s="44" t="s">
        <v>221</v>
      </c>
      <c r="CX5" s="44" t="s">
        <v>221</v>
      </c>
      <c r="CY5" s="44" t="s">
        <v>221</v>
      </c>
      <c r="CZ5" s="44" t="s">
        <v>221</v>
      </c>
      <c r="DA5" s="44" t="s">
        <v>221</v>
      </c>
      <c r="DB5" s="44" t="s">
        <v>221</v>
      </c>
      <c r="DC5" s="44" t="s">
        <v>221</v>
      </c>
      <c r="DD5" s="44" t="s">
        <v>221</v>
      </c>
      <c r="DE5" s="44" t="s">
        <v>221</v>
      </c>
      <c r="DF5" s="44" t="s">
        <v>221</v>
      </c>
      <c r="DG5" s="44" t="s">
        <v>221</v>
      </c>
      <c r="DH5" s="44" t="s">
        <v>221</v>
      </c>
      <c r="DI5" s="44" t="s">
        <v>221</v>
      </c>
      <c r="DJ5" s="44" t="s">
        <v>221</v>
      </c>
      <c r="DK5" s="44" t="s">
        <v>221</v>
      </c>
      <c r="DL5" s="44" t="s">
        <v>221</v>
      </c>
      <c r="DM5" s="44" t="s">
        <v>221</v>
      </c>
      <c r="DN5" s="44" t="s">
        <v>221</v>
      </c>
      <c r="DO5" s="44" t="s">
        <v>221</v>
      </c>
      <c r="DP5" s="44" t="s">
        <v>221</v>
      </c>
      <c r="DQ5" s="44" t="s">
        <v>221</v>
      </c>
      <c r="DR5" s="44" t="s">
        <v>221</v>
      </c>
      <c r="DS5" s="44" t="s">
        <v>221</v>
      </c>
      <c r="DT5" s="44" t="s">
        <v>221</v>
      </c>
      <c r="DU5" s="44" t="s">
        <v>221</v>
      </c>
      <c r="DV5" s="44" t="s">
        <v>221</v>
      </c>
      <c r="DW5" s="44" t="s">
        <v>221</v>
      </c>
      <c r="DX5" s="44" t="s">
        <v>221</v>
      </c>
      <c r="DY5" s="44" t="s">
        <v>221</v>
      </c>
      <c r="DZ5" s="44" t="s">
        <v>221</v>
      </c>
      <c r="EA5" s="44" t="s">
        <v>221</v>
      </c>
      <c r="EB5" s="44" t="s">
        <v>221</v>
      </c>
      <c r="EC5" s="44" t="s">
        <v>221</v>
      </c>
      <c r="ED5" s="44" t="s">
        <v>221</v>
      </c>
      <c r="EE5" s="44" t="s">
        <v>221</v>
      </c>
      <c r="EF5" s="44" t="s">
        <v>221</v>
      </c>
      <c r="EG5" s="44" t="s">
        <v>221</v>
      </c>
      <c r="EH5" s="44" t="s">
        <v>221</v>
      </c>
      <c r="EI5" s="67" t="s">
        <v>221</v>
      </c>
      <c r="EJ5" s="67" t="s">
        <v>221</v>
      </c>
      <c r="EK5" s="67" t="s">
        <v>221</v>
      </c>
      <c r="EL5" s="67" t="s">
        <v>221</v>
      </c>
      <c r="EM5" s="67" t="s">
        <v>221</v>
      </c>
      <c r="EN5" s="67" t="s">
        <v>221</v>
      </c>
      <c r="EO5" s="67" t="s">
        <v>221</v>
      </c>
      <c r="EP5" s="67" t="s">
        <v>221</v>
      </c>
      <c r="EQ5" s="67" t="s">
        <v>221</v>
      </c>
      <c r="ER5" s="67" t="s">
        <v>221</v>
      </c>
      <c r="ES5" s="67" t="s">
        <v>221</v>
      </c>
      <c r="ET5" s="67" t="s">
        <v>221</v>
      </c>
      <c r="EU5" s="67" t="s">
        <v>221</v>
      </c>
      <c r="EV5" s="67" t="s">
        <v>221</v>
      </c>
      <c r="EW5" s="67" t="s">
        <v>221</v>
      </c>
      <c r="EX5" s="67" t="s">
        <v>221</v>
      </c>
      <c r="EY5" s="67" t="s">
        <v>221</v>
      </c>
      <c r="EZ5" s="67" t="s">
        <v>221</v>
      </c>
      <c r="FA5" s="67" t="s">
        <v>221</v>
      </c>
      <c r="FB5" s="67" t="s">
        <v>221</v>
      </c>
      <c r="FC5" s="67" t="s">
        <v>221</v>
      </c>
      <c r="FD5" s="67" t="s">
        <v>221</v>
      </c>
      <c r="FE5" s="67" t="s">
        <v>221</v>
      </c>
      <c r="FF5" s="67" t="s">
        <v>221</v>
      </c>
      <c r="FG5" s="67" t="s">
        <v>221</v>
      </c>
      <c r="FH5" s="67" t="s">
        <v>221</v>
      </c>
      <c r="FI5" s="67" t="s">
        <v>221</v>
      </c>
      <c r="FJ5" s="67" t="s">
        <v>221</v>
      </c>
      <c r="FK5" s="67" t="s">
        <v>221</v>
      </c>
      <c r="FL5" s="67" t="s">
        <v>221</v>
      </c>
      <c r="FM5" s="67" t="s">
        <v>221</v>
      </c>
      <c r="FN5" s="67" t="s">
        <v>221</v>
      </c>
      <c r="FO5" s="67" t="s">
        <v>221</v>
      </c>
      <c r="FP5" s="67" t="s">
        <v>221</v>
      </c>
      <c r="FQ5" s="67" t="s">
        <v>221</v>
      </c>
      <c r="FR5" s="67" t="s">
        <v>221</v>
      </c>
      <c r="FS5" s="67" t="s">
        <v>221</v>
      </c>
      <c r="FT5" s="67" t="s">
        <v>221</v>
      </c>
      <c r="FU5" s="67" t="s">
        <v>221</v>
      </c>
      <c r="FV5" s="67" t="s">
        <v>221</v>
      </c>
      <c r="FW5" s="67" t="s">
        <v>221</v>
      </c>
      <c r="FX5" s="67" t="s">
        <v>221</v>
      </c>
      <c r="FY5" s="67" t="s">
        <v>221</v>
      </c>
      <c r="FZ5" s="67" t="s">
        <v>221</v>
      </c>
      <c r="GA5" s="67" t="s">
        <v>221</v>
      </c>
      <c r="GB5" s="67" t="s">
        <v>221</v>
      </c>
      <c r="GC5" s="67" t="s">
        <v>221</v>
      </c>
      <c r="GD5" s="67" t="s">
        <v>221</v>
      </c>
      <c r="GE5" s="67" t="s">
        <v>221</v>
      </c>
      <c r="GF5" s="45" t="s">
        <v>262</v>
      </c>
      <c r="GG5" s="71" t="s">
        <v>221</v>
      </c>
      <c r="GH5" s="71" t="s">
        <v>221</v>
      </c>
      <c r="GI5" s="71" t="s">
        <v>221</v>
      </c>
      <c r="GJ5" s="67">
        <v>45873</v>
      </c>
      <c r="GK5" s="67">
        <v>46076</v>
      </c>
      <c r="GL5" s="67" t="s">
        <v>221</v>
      </c>
      <c r="GM5" s="79">
        <f t="shared" si="1"/>
        <v>0.3</v>
      </c>
      <c r="GN5" s="79">
        <f t="shared" si="2"/>
        <v>3.3333333333333335</v>
      </c>
      <c r="GO5" s="79" t="str">
        <f t="shared" si="3"/>
        <v>N/A</v>
      </c>
      <c r="GP5" s="79" t="str">
        <f t="shared" si="4"/>
        <v>N/A</v>
      </c>
      <c r="GQ5" s="79">
        <f t="shared" si="5"/>
        <v>0</v>
      </c>
      <c r="GR5" s="79">
        <f t="shared" si="6"/>
        <v>0</v>
      </c>
      <c r="GS5" s="79" t="str">
        <f t="shared" si="7"/>
        <v>N/A</v>
      </c>
      <c r="GT5" s="79" t="str">
        <f t="shared" si="8"/>
        <v>N/A</v>
      </c>
      <c r="GU5" s="79" t="str">
        <f t="shared" si="9"/>
        <v>N/A</v>
      </c>
      <c r="GV5" s="79" t="str">
        <f t="shared" si="10"/>
        <v>N/A</v>
      </c>
      <c r="GW5" s="79" t="str">
        <f t="shared" si="11"/>
        <v>N/A</v>
      </c>
      <c r="GX5" s="79" t="str">
        <f t="shared" si="12"/>
        <v>N/A</v>
      </c>
      <c r="GY5" s="79" t="str">
        <f t="shared" si="13"/>
        <v>N/A</v>
      </c>
      <c r="GZ5" s="79" t="str">
        <f t="shared" si="14"/>
        <v>N/A</v>
      </c>
      <c r="HA5" s="79" t="str">
        <f t="shared" si="15"/>
        <v>N/A</v>
      </c>
      <c r="HB5" s="79" t="str">
        <f t="shared" si="16"/>
        <v>N/A</v>
      </c>
      <c r="HC5" s="79" t="str">
        <f t="shared" si="17"/>
        <v>N/A</v>
      </c>
      <c r="HD5" s="79">
        <f t="shared" si="18"/>
        <v>40.033333333333331</v>
      </c>
      <c r="HE5" s="79">
        <f t="shared" si="19"/>
        <v>46.8</v>
      </c>
      <c r="HF5" s="80">
        <f t="shared" si="20"/>
        <v>46.8</v>
      </c>
      <c r="HG5" s="80" cm="1">
        <f t="array" ref="HG5">INDEX($HB5:$HD5,MATCH(TRUE,INDEX(ISNUMBER($HB5:$HD5),0),0))</f>
        <v>40.033333333333331</v>
      </c>
      <c r="HH5" s="77">
        <f t="shared" si="21"/>
        <v>0</v>
      </c>
      <c r="HI5" s="77">
        <f t="shared" si="22"/>
        <v>0</v>
      </c>
      <c r="HJ5" s="77">
        <f t="shared" si="23"/>
        <v>0</v>
      </c>
      <c r="HK5" s="130" t="str">
        <f t="shared" si="24"/>
        <v>0</v>
      </c>
    </row>
    <row r="6" spans="1:219" ht="15" customHeight="1" x14ac:dyDescent="0.3">
      <c r="A6" s="48">
        <v>4787155423</v>
      </c>
      <c r="B6" s="46" t="s">
        <v>222</v>
      </c>
      <c r="C6" s="42" t="s">
        <v>221</v>
      </c>
      <c r="D6" s="43" t="s">
        <v>220</v>
      </c>
      <c r="E6" s="48" t="s">
        <v>221</v>
      </c>
      <c r="F6" s="48" t="s">
        <v>221</v>
      </c>
      <c r="G6" s="48" t="s">
        <v>221</v>
      </c>
      <c r="H6" s="67" t="s">
        <v>221</v>
      </c>
      <c r="I6" s="48" t="s">
        <v>263</v>
      </c>
      <c r="J6" s="48" t="s">
        <v>221</v>
      </c>
      <c r="K6" s="67">
        <v>41234</v>
      </c>
      <c r="L6" s="48" t="s">
        <v>264</v>
      </c>
      <c r="M6" s="48" t="s">
        <v>265</v>
      </c>
      <c r="N6" s="48" t="s">
        <v>226</v>
      </c>
      <c r="O6" s="48" t="s">
        <v>266</v>
      </c>
      <c r="P6" s="69">
        <v>44701</v>
      </c>
      <c r="Q6" s="42" t="s">
        <v>267</v>
      </c>
      <c r="R6" s="50" t="s">
        <v>265</v>
      </c>
      <c r="S6" s="48" t="s">
        <v>268</v>
      </c>
      <c r="T6" s="48" t="s">
        <v>266</v>
      </c>
      <c r="U6" s="69">
        <v>44701</v>
      </c>
      <c r="V6" s="42" t="s">
        <v>267</v>
      </c>
      <c r="W6" s="43" t="s">
        <v>221</v>
      </c>
      <c r="X6" s="43" t="s">
        <v>221</v>
      </c>
      <c r="Y6" s="43" t="s">
        <v>221</v>
      </c>
      <c r="Z6" s="70" t="s">
        <v>221</v>
      </c>
      <c r="AA6" s="43" t="s">
        <v>221</v>
      </c>
      <c r="AB6" s="43" t="s">
        <v>221</v>
      </c>
      <c r="AC6" s="43" t="s">
        <v>221</v>
      </c>
      <c r="AD6" s="43" t="s">
        <v>221</v>
      </c>
      <c r="AE6" s="70" t="s">
        <v>221</v>
      </c>
      <c r="AF6" s="43" t="s">
        <v>221</v>
      </c>
      <c r="AG6" s="43" t="s">
        <v>221</v>
      </c>
      <c r="AH6" s="43" t="s">
        <v>221</v>
      </c>
      <c r="AI6" s="43" t="s">
        <v>221</v>
      </c>
      <c r="AJ6" s="70" t="s">
        <v>221</v>
      </c>
      <c r="AK6" s="43" t="s">
        <v>221</v>
      </c>
      <c r="AL6" s="50" t="s">
        <v>221</v>
      </c>
      <c r="AM6" s="48" t="s">
        <v>221</v>
      </c>
      <c r="AN6" s="48" t="s">
        <v>221</v>
      </c>
      <c r="AO6" s="69" t="s">
        <v>221</v>
      </c>
      <c r="AP6" s="42" t="s">
        <v>221</v>
      </c>
      <c r="AQ6" s="50" t="s">
        <v>229</v>
      </c>
      <c r="AR6" s="67">
        <v>23387</v>
      </c>
      <c r="AS6" s="69">
        <v>41214</v>
      </c>
      <c r="AT6" s="62">
        <f t="shared" si="0"/>
        <v>48</v>
      </c>
      <c r="AU6" s="51" t="s">
        <v>269</v>
      </c>
      <c r="AV6" s="42" t="s">
        <v>270</v>
      </c>
      <c r="AW6" s="43" t="s">
        <v>220</v>
      </c>
      <c r="AX6" s="48">
        <v>3</v>
      </c>
      <c r="AY6" s="48">
        <v>3</v>
      </c>
      <c r="AZ6" s="48" t="s">
        <v>271</v>
      </c>
      <c r="BA6" s="48">
        <v>0</v>
      </c>
      <c r="BB6" s="48" t="s">
        <v>272</v>
      </c>
      <c r="BC6" s="49">
        <v>2</v>
      </c>
      <c r="BD6" s="45" t="s">
        <v>273</v>
      </c>
      <c r="BE6" s="51" t="s">
        <v>274</v>
      </c>
      <c r="BF6" s="42" t="s">
        <v>222</v>
      </c>
      <c r="BG6" s="74" t="s">
        <v>221</v>
      </c>
      <c r="BH6" s="74" t="s">
        <v>221</v>
      </c>
      <c r="BI6" s="74" t="s">
        <v>221</v>
      </c>
      <c r="BJ6" s="74" t="s">
        <v>221</v>
      </c>
      <c r="BK6" s="74" t="s">
        <v>221</v>
      </c>
      <c r="BL6" s="74" t="s">
        <v>221</v>
      </c>
      <c r="BM6" s="74" t="s">
        <v>221</v>
      </c>
      <c r="BN6" s="74" t="s">
        <v>221</v>
      </c>
      <c r="BO6" s="74" t="s">
        <v>221</v>
      </c>
      <c r="BP6" s="74" t="s">
        <v>221</v>
      </c>
      <c r="BQ6" s="74" t="s">
        <v>221</v>
      </c>
      <c r="BR6" s="74" t="s">
        <v>221</v>
      </c>
      <c r="BS6" s="74" t="s">
        <v>221</v>
      </c>
      <c r="BT6" s="74" t="s">
        <v>221</v>
      </c>
      <c r="BU6" s="74" t="s">
        <v>221</v>
      </c>
      <c r="BV6" s="74" t="s">
        <v>221</v>
      </c>
      <c r="BW6" s="74" t="s">
        <v>221</v>
      </c>
      <c r="BX6" s="74" t="s">
        <v>221</v>
      </c>
      <c r="BY6" s="74" t="s">
        <v>221</v>
      </c>
      <c r="BZ6" s="74" t="s">
        <v>221</v>
      </c>
      <c r="CA6" s="74" t="s">
        <v>221</v>
      </c>
      <c r="CB6" s="74" t="s">
        <v>221</v>
      </c>
      <c r="CC6" s="74" t="s">
        <v>221</v>
      </c>
      <c r="CD6" s="74" t="s">
        <v>221</v>
      </c>
      <c r="CE6" s="74" t="s">
        <v>221</v>
      </c>
      <c r="CF6" s="74" t="s">
        <v>221</v>
      </c>
      <c r="CG6" s="74" t="s">
        <v>221</v>
      </c>
      <c r="CH6" s="74" t="s">
        <v>221</v>
      </c>
      <c r="CI6" s="74" t="s">
        <v>221</v>
      </c>
      <c r="CJ6" s="74" t="s">
        <v>221</v>
      </c>
      <c r="CK6" s="74" t="s">
        <v>221</v>
      </c>
      <c r="CL6" s="74" t="s">
        <v>221</v>
      </c>
      <c r="CM6" s="74" t="s">
        <v>221</v>
      </c>
      <c r="CN6" s="44" t="s">
        <v>275</v>
      </c>
      <c r="CO6" s="48" t="s">
        <v>276</v>
      </c>
      <c r="CP6" s="67">
        <v>41264</v>
      </c>
      <c r="CQ6" s="67">
        <v>41326</v>
      </c>
      <c r="CR6" s="48" t="s">
        <v>221</v>
      </c>
      <c r="CS6" s="44" t="s">
        <v>275</v>
      </c>
      <c r="CT6" s="48" t="s">
        <v>277</v>
      </c>
      <c r="CU6" s="48" t="s">
        <v>221</v>
      </c>
      <c r="CV6" s="44" t="s">
        <v>240</v>
      </c>
      <c r="CW6" s="48" t="s">
        <v>278</v>
      </c>
      <c r="CX6" s="48" t="s">
        <v>221</v>
      </c>
      <c r="CY6" s="44" t="s">
        <v>256</v>
      </c>
      <c r="CZ6" s="48" t="s">
        <v>279</v>
      </c>
      <c r="DA6" s="48" t="s">
        <v>221</v>
      </c>
      <c r="DB6" s="44" t="s">
        <v>256</v>
      </c>
      <c r="DC6" s="48" t="s">
        <v>280</v>
      </c>
      <c r="DD6" s="48" t="s">
        <v>221</v>
      </c>
      <c r="DE6" s="48" t="s">
        <v>243</v>
      </c>
      <c r="DF6" s="48" t="s">
        <v>281</v>
      </c>
      <c r="DG6" s="48" t="s">
        <v>221</v>
      </c>
      <c r="DH6" s="48" t="s">
        <v>221</v>
      </c>
      <c r="DI6" s="48" t="s">
        <v>221</v>
      </c>
      <c r="DJ6" s="48" t="s">
        <v>221</v>
      </c>
      <c r="DK6" s="48" t="s">
        <v>221</v>
      </c>
      <c r="DL6" s="48" t="s">
        <v>221</v>
      </c>
      <c r="DM6" s="48" t="s">
        <v>221</v>
      </c>
      <c r="DN6" s="48" t="s">
        <v>221</v>
      </c>
      <c r="DO6" s="48" t="s">
        <v>221</v>
      </c>
      <c r="DP6" s="48" t="s">
        <v>221</v>
      </c>
      <c r="DQ6" s="48" t="s">
        <v>221</v>
      </c>
      <c r="DR6" s="48" t="s">
        <v>221</v>
      </c>
      <c r="DS6" s="48" t="s">
        <v>221</v>
      </c>
      <c r="DT6" s="48" t="s">
        <v>221</v>
      </c>
      <c r="DU6" s="48" t="s">
        <v>221</v>
      </c>
      <c r="DV6" s="48" t="s">
        <v>221</v>
      </c>
      <c r="DW6" s="48" t="s">
        <v>221</v>
      </c>
      <c r="DX6" s="48" t="s">
        <v>221</v>
      </c>
      <c r="DY6" s="48" t="s">
        <v>221</v>
      </c>
      <c r="DZ6" s="48" t="s">
        <v>221</v>
      </c>
      <c r="EA6" s="48" t="s">
        <v>221</v>
      </c>
      <c r="EB6" s="48" t="s">
        <v>221</v>
      </c>
      <c r="EC6" s="48" t="s">
        <v>221</v>
      </c>
      <c r="ED6" s="48" t="s">
        <v>221</v>
      </c>
      <c r="EE6" s="48" t="s">
        <v>221</v>
      </c>
      <c r="EF6" s="48" t="s">
        <v>221</v>
      </c>
      <c r="EG6" s="48" t="s">
        <v>221</v>
      </c>
      <c r="EH6" s="48" t="s">
        <v>221</v>
      </c>
      <c r="EI6" s="67">
        <v>44273</v>
      </c>
      <c r="EJ6" s="48" t="s">
        <v>282</v>
      </c>
      <c r="EK6" s="44" t="s">
        <v>275</v>
      </c>
      <c r="EL6" s="48" t="s">
        <v>283</v>
      </c>
      <c r="EM6" s="67">
        <v>44309</v>
      </c>
      <c r="EN6" s="67">
        <v>44330</v>
      </c>
      <c r="EO6" s="48" t="s">
        <v>234</v>
      </c>
      <c r="EP6" s="44" t="s">
        <v>237</v>
      </c>
      <c r="EQ6" s="48" t="s">
        <v>284</v>
      </c>
      <c r="ER6" s="48" t="s">
        <v>285</v>
      </c>
      <c r="ES6" s="44" t="s">
        <v>256</v>
      </c>
      <c r="ET6" s="48" t="s">
        <v>286</v>
      </c>
      <c r="EU6" s="48" t="s">
        <v>239</v>
      </c>
      <c r="EV6" s="44" t="s">
        <v>243</v>
      </c>
      <c r="EW6" s="48" t="s">
        <v>287</v>
      </c>
      <c r="EX6" s="48" t="s">
        <v>239</v>
      </c>
      <c r="EY6" s="44" t="s">
        <v>243</v>
      </c>
      <c r="EZ6" s="48" t="s">
        <v>288</v>
      </c>
      <c r="FA6" s="48" t="s">
        <v>221</v>
      </c>
      <c r="FB6" s="44" t="s">
        <v>289</v>
      </c>
      <c r="FC6" s="48" t="s">
        <v>290</v>
      </c>
      <c r="FD6" s="48" t="s">
        <v>239</v>
      </c>
      <c r="FE6" s="44" t="s">
        <v>240</v>
      </c>
      <c r="FF6" s="48" t="s">
        <v>291</v>
      </c>
      <c r="FG6" s="48" t="s">
        <v>234</v>
      </c>
      <c r="FH6" s="44" t="s">
        <v>221</v>
      </c>
      <c r="FI6" s="44" t="s">
        <v>221</v>
      </c>
      <c r="FJ6" s="44" t="s">
        <v>221</v>
      </c>
      <c r="FK6" s="44" t="s">
        <v>221</v>
      </c>
      <c r="FL6" s="44" t="s">
        <v>221</v>
      </c>
      <c r="FM6" s="44" t="s">
        <v>221</v>
      </c>
      <c r="FN6" s="44" t="s">
        <v>221</v>
      </c>
      <c r="FO6" s="44" t="s">
        <v>221</v>
      </c>
      <c r="FP6" s="44" t="s">
        <v>221</v>
      </c>
      <c r="FQ6" s="44" t="s">
        <v>221</v>
      </c>
      <c r="FR6" s="44" t="s">
        <v>221</v>
      </c>
      <c r="FS6" s="44" t="s">
        <v>221</v>
      </c>
      <c r="FT6" s="44" t="s">
        <v>221</v>
      </c>
      <c r="FU6" s="44" t="s">
        <v>221</v>
      </c>
      <c r="FV6" s="44" t="s">
        <v>221</v>
      </c>
      <c r="FW6" s="44" t="s">
        <v>221</v>
      </c>
      <c r="FX6" s="44" t="s">
        <v>221</v>
      </c>
      <c r="FY6" s="44" t="s">
        <v>221</v>
      </c>
      <c r="FZ6" s="44" t="s">
        <v>221</v>
      </c>
      <c r="GA6" s="44" t="s">
        <v>221</v>
      </c>
      <c r="GB6" s="44" t="s">
        <v>221</v>
      </c>
      <c r="GC6" s="44" t="s">
        <v>221</v>
      </c>
      <c r="GD6" s="44" t="s">
        <v>221</v>
      </c>
      <c r="GE6" s="44" t="s">
        <v>221</v>
      </c>
      <c r="GF6" s="45" t="s">
        <v>245</v>
      </c>
      <c r="GG6" s="71">
        <v>44715</v>
      </c>
      <c r="GH6" s="42" t="s">
        <v>220</v>
      </c>
      <c r="GI6" s="50" t="s">
        <v>292</v>
      </c>
      <c r="GJ6" s="67">
        <v>44712</v>
      </c>
      <c r="GK6" s="67" t="s">
        <v>221</v>
      </c>
      <c r="GL6" s="67" t="s">
        <v>293</v>
      </c>
      <c r="GM6" s="79" t="str">
        <f t="shared" si="1"/>
        <v>N/A</v>
      </c>
      <c r="GN6" s="79" t="str">
        <f t="shared" si="2"/>
        <v>N/A</v>
      </c>
      <c r="GO6" s="79" t="str">
        <f t="shared" si="3"/>
        <v>N/A</v>
      </c>
      <c r="GP6" s="79">
        <f t="shared" si="4"/>
        <v>0.66666666666666663</v>
      </c>
      <c r="GQ6" s="79">
        <f t="shared" si="5"/>
        <v>116.23333333333333</v>
      </c>
      <c r="GR6" s="79">
        <f t="shared" si="6"/>
        <v>116.23333333333333</v>
      </c>
      <c r="GS6" s="79" t="str">
        <f t="shared" si="7"/>
        <v>N/A</v>
      </c>
      <c r="GT6" s="79" t="str">
        <f t="shared" si="8"/>
        <v>N/A</v>
      </c>
      <c r="GU6" s="79" t="str">
        <f t="shared" si="9"/>
        <v>N/A</v>
      </c>
      <c r="GV6" s="79" t="str">
        <f t="shared" si="10"/>
        <v>N/A</v>
      </c>
      <c r="GW6" s="79">
        <f t="shared" si="11"/>
        <v>1.6666666666666667</v>
      </c>
      <c r="GX6" s="79">
        <f t="shared" si="12"/>
        <v>3.7333333333333334</v>
      </c>
      <c r="GY6" s="79">
        <f t="shared" si="13"/>
        <v>101.96666666666667</v>
      </c>
      <c r="GZ6" s="79">
        <f t="shared" si="14"/>
        <v>103.16666666666667</v>
      </c>
      <c r="HA6" s="79">
        <f t="shared" si="15"/>
        <v>103.86666666666666</v>
      </c>
      <c r="HB6" s="79">
        <f t="shared" si="16"/>
        <v>101.96666666666667</v>
      </c>
      <c r="HC6" s="79">
        <f t="shared" si="17"/>
        <v>116.7</v>
      </c>
      <c r="HD6" s="79">
        <f t="shared" si="18"/>
        <v>116.6</v>
      </c>
      <c r="HE6" s="79" t="str">
        <f t="shared" si="19"/>
        <v>N/A</v>
      </c>
      <c r="HF6" s="80">
        <f t="shared" si="20"/>
        <v>116.7</v>
      </c>
      <c r="HG6" s="80" cm="1">
        <f t="array" ref="HG6">INDEX($HB6:$HD6,MATCH(TRUE,INDEX(ISNUMBER($HB6:$HD6),0),0))</f>
        <v>101.96666666666667</v>
      </c>
      <c r="HH6" s="77">
        <f t="shared" si="21"/>
        <v>1</v>
      </c>
      <c r="HI6" s="77">
        <f t="shared" si="22"/>
        <v>1</v>
      </c>
      <c r="HJ6" s="77">
        <f t="shared" si="23"/>
        <v>1</v>
      </c>
      <c r="HK6" s="130" t="str">
        <f t="shared" si="24"/>
        <v>1</v>
      </c>
    </row>
    <row r="7" spans="1:219" ht="15" customHeight="1" x14ac:dyDescent="0.3">
      <c r="A7" s="48">
        <v>4848755808</v>
      </c>
      <c r="B7" s="46" t="s">
        <v>222</v>
      </c>
      <c r="C7" s="42" t="s">
        <v>221</v>
      </c>
      <c r="D7" s="43" t="s">
        <v>220</v>
      </c>
      <c r="E7" s="48" t="s">
        <v>221</v>
      </c>
      <c r="F7" s="48" t="s">
        <v>221</v>
      </c>
      <c r="G7" s="48" t="s">
        <v>221</v>
      </c>
      <c r="H7" s="67" t="s">
        <v>221</v>
      </c>
      <c r="I7" s="48" t="s">
        <v>294</v>
      </c>
      <c r="J7" s="48" t="s">
        <v>221</v>
      </c>
      <c r="K7" s="67">
        <v>39477</v>
      </c>
      <c r="L7" s="48" t="s">
        <v>295</v>
      </c>
      <c r="M7" s="48" t="s">
        <v>296</v>
      </c>
      <c r="N7" s="48" t="s">
        <v>251</v>
      </c>
      <c r="O7" s="48" t="s">
        <v>297</v>
      </c>
      <c r="P7" s="69">
        <v>44754</v>
      </c>
      <c r="Q7" s="42" t="s">
        <v>228</v>
      </c>
      <c r="R7" s="50" t="s">
        <v>296</v>
      </c>
      <c r="S7" s="48" t="s">
        <v>298</v>
      </c>
      <c r="T7" s="48" t="s">
        <v>297</v>
      </c>
      <c r="U7" s="69">
        <v>44754</v>
      </c>
      <c r="V7" s="42" t="s">
        <v>228</v>
      </c>
      <c r="W7" s="43" t="s">
        <v>221</v>
      </c>
      <c r="X7" s="43" t="s">
        <v>221</v>
      </c>
      <c r="Y7" s="43" t="s">
        <v>221</v>
      </c>
      <c r="Z7" s="70" t="s">
        <v>221</v>
      </c>
      <c r="AA7" s="43" t="s">
        <v>221</v>
      </c>
      <c r="AB7" s="43" t="s">
        <v>221</v>
      </c>
      <c r="AC7" s="43" t="s">
        <v>221</v>
      </c>
      <c r="AD7" s="43" t="s">
        <v>221</v>
      </c>
      <c r="AE7" s="70" t="s">
        <v>221</v>
      </c>
      <c r="AF7" s="43" t="s">
        <v>221</v>
      </c>
      <c r="AG7" s="43" t="s">
        <v>221</v>
      </c>
      <c r="AH7" s="43" t="s">
        <v>221</v>
      </c>
      <c r="AI7" s="43" t="s">
        <v>221</v>
      </c>
      <c r="AJ7" s="70" t="s">
        <v>221</v>
      </c>
      <c r="AK7" s="43" t="s">
        <v>221</v>
      </c>
      <c r="AL7" s="50" t="s">
        <v>221</v>
      </c>
      <c r="AM7" s="48" t="s">
        <v>221</v>
      </c>
      <c r="AN7" s="48" t="s">
        <v>221</v>
      </c>
      <c r="AO7" s="69" t="s">
        <v>221</v>
      </c>
      <c r="AP7" s="42" t="s">
        <v>221</v>
      </c>
      <c r="AQ7" s="50" t="s">
        <v>229</v>
      </c>
      <c r="AR7" s="67">
        <v>21658</v>
      </c>
      <c r="AS7" s="67">
        <v>39477</v>
      </c>
      <c r="AT7" s="62">
        <f t="shared" si="0"/>
        <v>48</v>
      </c>
      <c r="AU7" s="51" t="s">
        <v>299</v>
      </c>
      <c r="AV7" s="42" t="s">
        <v>270</v>
      </c>
      <c r="AW7" s="43" t="s">
        <v>220</v>
      </c>
      <c r="AX7" s="48" t="s">
        <v>300</v>
      </c>
      <c r="AY7" s="48" t="s">
        <v>271</v>
      </c>
      <c r="AZ7" s="48" t="s">
        <v>271</v>
      </c>
      <c r="BA7" s="48" t="s">
        <v>234</v>
      </c>
      <c r="BB7" s="48" t="s">
        <v>301</v>
      </c>
      <c r="BC7" s="49" t="s">
        <v>221</v>
      </c>
      <c r="BD7" s="45" t="s">
        <v>302</v>
      </c>
      <c r="BE7" s="51" t="s">
        <v>303</v>
      </c>
      <c r="BF7" s="42" t="s">
        <v>222</v>
      </c>
      <c r="BG7" s="74" t="s">
        <v>221</v>
      </c>
      <c r="BH7" s="74" t="s">
        <v>221</v>
      </c>
      <c r="BI7" s="74" t="s">
        <v>221</v>
      </c>
      <c r="BJ7" s="74" t="s">
        <v>221</v>
      </c>
      <c r="BK7" s="74" t="s">
        <v>221</v>
      </c>
      <c r="BL7" s="74" t="s">
        <v>221</v>
      </c>
      <c r="BM7" s="74" t="s">
        <v>221</v>
      </c>
      <c r="BN7" s="74" t="s">
        <v>221</v>
      </c>
      <c r="BO7" s="74" t="s">
        <v>221</v>
      </c>
      <c r="BP7" s="74" t="s">
        <v>221</v>
      </c>
      <c r="BQ7" s="74" t="s">
        <v>221</v>
      </c>
      <c r="BR7" s="74" t="s">
        <v>221</v>
      </c>
      <c r="BS7" s="74" t="s">
        <v>221</v>
      </c>
      <c r="BT7" s="74" t="s">
        <v>221</v>
      </c>
      <c r="BU7" s="74" t="s">
        <v>221</v>
      </c>
      <c r="BV7" s="74" t="s">
        <v>221</v>
      </c>
      <c r="BW7" s="74" t="s">
        <v>221</v>
      </c>
      <c r="BX7" s="74" t="s">
        <v>221</v>
      </c>
      <c r="BY7" s="74" t="s">
        <v>221</v>
      </c>
      <c r="BZ7" s="74" t="s">
        <v>221</v>
      </c>
      <c r="CA7" s="74" t="s">
        <v>221</v>
      </c>
      <c r="CB7" s="74" t="s">
        <v>221</v>
      </c>
      <c r="CC7" s="74" t="s">
        <v>221</v>
      </c>
      <c r="CD7" s="74" t="s">
        <v>221</v>
      </c>
      <c r="CE7" s="74" t="s">
        <v>221</v>
      </c>
      <c r="CF7" s="74" t="s">
        <v>221</v>
      </c>
      <c r="CG7" s="74" t="s">
        <v>221</v>
      </c>
      <c r="CH7" s="74" t="s">
        <v>221</v>
      </c>
      <c r="CI7" s="74" t="s">
        <v>221</v>
      </c>
      <c r="CJ7" s="74" t="s">
        <v>221</v>
      </c>
      <c r="CK7" s="74" t="s">
        <v>221</v>
      </c>
      <c r="CL7" s="74" t="s">
        <v>221</v>
      </c>
      <c r="CM7" s="74" t="s">
        <v>221</v>
      </c>
      <c r="CN7" s="74" t="s">
        <v>221</v>
      </c>
      <c r="CO7" s="74" t="s">
        <v>221</v>
      </c>
      <c r="CP7" s="74" t="s">
        <v>221</v>
      </c>
      <c r="CQ7" s="74" t="s">
        <v>221</v>
      </c>
      <c r="CR7" s="74" t="s">
        <v>221</v>
      </c>
      <c r="CS7" s="74" t="s">
        <v>221</v>
      </c>
      <c r="CT7" s="74" t="s">
        <v>221</v>
      </c>
      <c r="CU7" s="74" t="s">
        <v>221</v>
      </c>
      <c r="CV7" s="74" t="s">
        <v>221</v>
      </c>
      <c r="CW7" s="74" t="s">
        <v>221</v>
      </c>
      <c r="CX7" s="74" t="s">
        <v>221</v>
      </c>
      <c r="CY7" s="74" t="s">
        <v>221</v>
      </c>
      <c r="CZ7" s="74" t="s">
        <v>221</v>
      </c>
      <c r="DA7" s="74" t="s">
        <v>221</v>
      </c>
      <c r="DB7" s="74" t="s">
        <v>221</v>
      </c>
      <c r="DC7" s="74" t="s">
        <v>221</v>
      </c>
      <c r="DD7" s="74" t="s">
        <v>221</v>
      </c>
      <c r="DE7" s="74" t="s">
        <v>221</v>
      </c>
      <c r="DF7" s="74" t="s">
        <v>221</v>
      </c>
      <c r="DG7" s="74" t="s">
        <v>221</v>
      </c>
      <c r="DH7" s="74" t="s">
        <v>221</v>
      </c>
      <c r="DI7" s="74" t="s">
        <v>221</v>
      </c>
      <c r="DJ7" s="74" t="s">
        <v>221</v>
      </c>
      <c r="DK7" s="74" t="s">
        <v>221</v>
      </c>
      <c r="DL7" s="74" t="s">
        <v>221</v>
      </c>
      <c r="DM7" s="74" t="s">
        <v>221</v>
      </c>
      <c r="DN7" s="74" t="s">
        <v>221</v>
      </c>
      <c r="DO7" s="74" t="s">
        <v>221</v>
      </c>
      <c r="DP7" s="74" t="s">
        <v>221</v>
      </c>
      <c r="DQ7" s="74" t="s">
        <v>221</v>
      </c>
      <c r="DR7" s="74" t="s">
        <v>221</v>
      </c>
      <c r="DS7" s="74" t="s">
        <v>221</v>
      </c>
      <c r="DT7" s="74" t="s">
        <v>221</v>
      </c>
      <c r="DU7" s="74" t="s">
        <v>221</v>
      </c>
      <c r="DV7" s="74" t="s">
        <v>221</v>
      </c>
      <c r="DW7" s="74" t="s">
        <v>221</v>
      </c>
      <c r="DX7" s="74" t="s">
        <v>221</v>
      </c>
      <c r="DY7" s="74" t="s">
        <v>221</v>
      </c>
      <c r="DZ7" s="74" t="s">
        <v>221</v>
      </c>
      <c r="EA7" s="74" t="s">
        <v>221</v>
      </c>
      <c r="EB7" s="74" t="s">
        <v>221</v>
      </c>
      <c r="EC7" s="74" t="s">
        <v>221</v>
      </c>
      <c r="ED7" s="74" t="s">
        <v>221</v>
      </c>
      <c r="EE7" s="74" t="s">
        <v>221</v>
      </c>
      <c r="EF7" s="74" t="s">
        <v>221</v>
      </c>
      <c r="EG7" s="74" t="s">
        <v>221</v>
      </c>
      <c r="EH7" s="74" t="s">
        <v>221</v>
      </c>
      <c r="EI7" s="67">
        <v>44295</v>
      </c>
      <c r="EJ7" s="48" t="s">
        <v>304</v>
      </c>
      <c r="EK7" s="44" t="s">
        <v>221</v>
      </c>
      <c r="EL7" s="44" t="s">
        <v>221</v>
      </c>
      <c r="EM7" s="44" t="s">
        <v>221</v>
      </c>
      <c r="EN7" s="44" t="s">
        <v>221</v>
      </c>
      <c r="EO7" s="44" t="s">
        <v>221</v>
      </c>
      <c r="EP7" s="44" t="s">
        <v>221</v>
      </c>
      <c r="EQ7" s="44" t="s">
        <v>221</v>
      </c>
      <c r="ER7" s="44" t="s">
        <v>221</v>
      </c>
      <c r="ES7" s="44" t="s">
        <v>221</v>
      </c>
      <c r="ET7" s="44" t="s">
        <v>221</v>
      </c>
      <c r="EU7" s="44" t="s">
        <v>221</v>
      </c>
      <c r="EV7" s="44" t="s">
        <v>221</v>
      </c>
      <c r="EW7" s="44" t="s">
        <v>221</v>
      </c>
      <c r="EX7" s="44" t="s">
        <v>221</v>
      </c>
      <c r="EY7" s="44" t="s">
        <v>221</v>
      </c>
      <c r="EZ7" s="44" t="s">
        <v>221</v>
      </c>
      <c r="FA7" s="44" t="s">
        <v>221</v>
      </c>
      <c r="FB7" s="44" t="s">
        <v>221</v>
      </c>
      <c r="FC7" s="44" t="s">
        <v>221</v>
      </c>
      <c r="FD7" s="44" t="s">
        <v>221</v>
      </c>
      <c r="FE7" s="44" t="s">
        <v>221</v>
      </c>
      <c r="FF7" s="44" t="s">
        <v>221</v>
      </c>
      <c r="FG7" s="44" t="s">
        <v>221</v>
      </c>
      <c r="FH7" s="44" t="s">
        <v>221</v>
      </c>
      <c r="FI7" s="44" t="s">
        <v>221</v>
      </c>
      <c r="FJ7" s="44" t="s">
        <v>221</v>
      </c>
      <c r="FK7" s="44" t="s">
        <v>221</v>
      </c>
      <c r="FL7" s="44" t="s">
        <v>221</v>
      </c>
      <c r="FM7" s="44" t="s">
        <v>221</v>
      </c>
      <c r="FN7" s="44" t="s">
        <v>221</v>
      </c>
      <c r="FO7" s="44" t="s">
        <v>221</v>
      </c>
      <c r="FP7" s="44" t="s">
        <v>221</v>
      </c>
      <c r="FQ7" s="44" t="s">
        <v>221</v>
      </c>
      <c r="FR7" s="44" t="s">
        <v>221</v>
      </c>
      <c r="FS7" s="44" t="s">
        <v>221</v>
      </c>
      <c r="FT7" s="44" t="s">
        <v>221</v>
      </c>
      <c r="FU7" s="44" t="s">
        <v>221</v>
      </c>
      <c r="FV7" s="44" t="s">
        <v>221</v>
      </c>
      <c r="FW7" s="44" t="s">
        <v>221</v>
      </c>
      <c r="FX7" s="44" t="s">
        <v>221</v>
      </c>
      <c r="FY7" s="44" t="s">
        <v>221</v>
      </c>
      <c r="FZ7" s="44" t="s">
        <v>221</v>
      </c>
      <c r="GA7" s="44" t="s">
        <v>221</v>
      </c>
      <c r="GB7" s="44" t="s">
        <v>221</v>
      </c>
      <c r="GC7" s="44" t="s">
        <v>221</v>
      </c>
      <c r="GD7" s="44" t="s">
        <v>221</v>
      </c>
      <c r="GE7" s="44" t="s">
        <v>221</v>
      </c>
      <c r="GF7" s="45" t="s">
        <v>245</v>
      </c>
      <c r="GG7" s="71">
        <v>44782</v>
      </c>
      <c r="GH7" s="42" t="s">
        <v>220</v>
      </c>
      <c r="GI7" s="50" t="s">
        <v>234</v>
      </c>
      <c r="GJ7" s="67">
        <v>44718</v>
      </c>
      <c r="GK7" s="67" t="s">
        <v>221</v>
      </c>
      <c r="GL7" s="67" t="s">
        <v>305</v>
      </c>
      <c r="GM7" s="79" t="str">
        <f t="shared" si="1"/>
        <v>N/A</v>
      </c>
      <c r="GN7" s="79" t="str">
        <f t="shared" si="2"/>
        <v>N/A</v>
      </c>
      <c r="GO7" s="79" t="str">
        <f t="shared" si="3"/>
        <v>N/A</v>
      </c>
      <c r="GP7" s="79">
        <f t="shared" si="4"/>
        <v>0</v>
      </c>
      <c r="GQ7" s="79">
        <f t="shared" si="5"/>
        <v>175.9</v>
      </c>
      <c r="GR7" s="79">
        <f t="shared" si="6"/>
        <v>175.9</v>
      </c>
      <c r="GS7" s="79" t="str">
        <f t="shared" si="7"/>
        <v>N/A</v>
      </c>
      <c r="GT7" s="79" t="str">
        <f t="shared" si="8"/>
        <v>N/A</v>
      </c>
      <c r="GU7" s="79" t="str">
        <f t="shared" si="9"/>
        <v>N/A</v>
      </c>
      <c r="GV7" s="79" t="str">
        <f t="shared" si="10"/>
        <v>N/A</v>
      </c>
      <c r="GW7" s="79" t="str">
        <f t="shared" si="11"/>
        <v>N/A</v>
      </c>
      <c r="GX7" s="79" t="str">
        <f t="shared" si="12"/>
        <v>N/A</v>
      </c>
      <c r="GY7" s="79">
        <f t="shared" si="13"/>
        <v>160.6</v>
      </c>
      <c r="GZ7" s="79" t="str">
        <f t="shared" si="14"/>
        <v>N/A</v>
      </c>
      <c r="HA7" s="79" t="str">
        <f t="shared" si="15"/>
        <v>N/A</v>
      </c>
      <c r="HB7" s="79">
        <f t="shared" si="16"/>
        <v>160.6</v>
      </c>
      <c r="HC7" s="79">
        <f t="shared" si="17"/>
        <v>176.83333333333334</v>
      </c>
      <c r="HD7" s="79">
        <f t="shared" si="18"/>
        <v>174.7</v>
      </c>
      <c r="HE7" s="79" t="str">
        <f t="shared" si="19"/>
        <v>N/A</v>
      </c>
      <c r="HF7" s="80">
        <f t="shared" si="20"/>
        <v>176.83333333333334</v>
      </c>
      <c r="HG7" s="80" cm="1">
        <f t="array" ref="HG7">INDEX($HB7:$HD7,MATCH(TRUE,INDEX(ISNUMBER($HB7:$HD7),0),0))</f>
        <v>160.6</v>
      </c>
      <c r="HH7" s="77">
        <f t="shared" si="21"/>
        <v>1</v>
      </c>
      <c r="HI7" s="77">
        <f t="shared" si="22"/>
        <v>1</v>
      </c>
      <c r="HJ7" s="77">
        <f t="shared" si="23"/>
        <v>1</v>
      </c>
      <c r="HK7" s="130" t="str">
        <f t="shared" si="24"/>
        <v>1</v>
      </c>
    </row>
    <row r="8" spans="1:219" ht="15" customHeight="1" x14ac:dyDescent="0.3">
      <c r="A8" s="48">
        <v>4520391709</v>
      </c>
      <c r="B8" s="46" t="s">
        <v>222</v>
      </c>
      <c r="C8" s="42" t="s">
        <v>221</v>
      </c>
      <c r="D8" s="43" t="s">
        <v>220</v>
      </c>
      <c r="E8" s="48" t="s">
        <v>221</v>
      </c>
      <c r="F8" s="48" t="s">
        <v>221</v>
      </c>
      <c r="G8" s="48" t="s">
        <v>221</v>
      </c>
      <c r="H8" s="67" t="s">
        <v>221</v>
      </c>
      <c r="I8" s="48" t="s">
        <v>306</v>
      </c>
      <c r="J8" s="48" t="s">
        <v>221</v>
      </c>
      <c r="K8" s="67">
        <v>44627</v>
      </c>
      <c r="L8" s="48" t="s">
        <v>247</v>
      </c>
      <c r="M8" s="48" t="s">
        <v>307</v>
      </c>
      <c r="N8" s="48" t="s">
        <v>298</v>
      </c>
      <c r="O8" s="48" t="s">
        <v>308</v>
      </c>
      <c r="P8" s="69">
        <v>44956</v>
      </c>
      <c r="Q8" s="42" t="s">
        <v>267</v>
      </c>
      <c r="R8" s="50" t="s">
        <v>307</v>
      </c>
      <c r="S8" s="48" t="s">
        <v>309</v>
      </c>
      <c r="T8" s="48" t="s">
        <v>308</v>
      </c>
      <c r="U8" s="69">
        <v>44956</v>
      </c>
      <c r="V8" s="42" t="s">
        <v>267</v>
      </c>
      <c r="W8" s="43" t="s">
        <v>221</v>
      </c>
      <c r="X8" s="43" t="s">
        <v>221</v>
      </c>
      <c r="Y8" s="43" t="s">
        <v>221</v>
      </c>
      <c r="Z8" s="70" t="s">
        <v>221</v>
      </c>
      <c r="AA8" s="43" t="s">
        <v>221</v>
      </c>
      <c r="AB8" s="43" t="s">
        <v>221</v>
      </c>
      <c r="AC8" s="43" t="s">
        <v>221</v>
      </c>
      <c r="AD8" s="43" t="s">
        <v>221</v>
      </c>
      <c r="AE8" s="70" t="s">
        <v>221</v>
      </c>
      <c r="AF8" s="43" t="s">
        <v>221</v>
      </c>
      <c r="AG8" s="43" t="s">
        <v>221</v>
      </c>
      <c r="AH8" s="43" t="s">
        <v>221</v>
      </c>
      <c r="AI8" s="43" t="s">
        <v>221</v>
      </c>
      <c r="AJ8" s="70" t="s">
        <v>221</v>
      </c>
      <c r="AK8" s="43" t="s">
        <v>221</v>
      </c>
      <c r="AL8" s="50" t="s">
        <v>221</v>
      </c>
      <c r="AM8" s="48" t="s">
        <v>221</v>
      </c>
      <c r="AN8" s="48" t="s">
        <v>221</v>
      </c>
      <c r="AO8" s="69" t="s">
        <v>221</v>
      </c>
      <c r="AP8" s="42" t="s">
        <v>221</v>
      </c>
      <c r="AQ8" s="50" t="s">
        <v>252</v>
      </c>
      <c r="AR8" s="67">
        <v>18321</v>
      </c>
      <c r="AS8" s="69">
        <v>42534</v>
      </c>
      <c r="AT8" s="62">
        <f t="shared" si="0"/>
        <v>66</v>
      </c>
      <c r="AU8" s="51" t="s">
        <v>310</v>
      </c>
      <c r="AV8" s="42" t="s">
        <v>311</v>
      </c>
      <c r="AW8" s="43" t="s">
        <v>221</v>
      </c>
      <c r="AX8" s="48" t="s">
        <v>221</v>
      </c>
      <c r="AY8" s="48" t="s">
        <v>221</v>
      </c>
      <c r="AZ8" s="48" t="s">
        <v>221</v>
      </c>
      <c r="BA8" s="48" t="s">
        <v>232</v>
      </c>
      <c r="BB8" s="48" t="s">
        <v>233</v>
      </c>
      <c r="BC8" s="49">
        <v>4</v>
      </c>
      <c r="BD8" s="45" t="s">
        <v>273</v>
      </c>
      <c r="BE8" s="51" t="s">
        <v>236</v>
      </c>
      <c r="BF8" s="42" t="s">
        <v>220</v>
      </c>
      <c r="BG8" s="74" t="s">
        <v>221</v>
      </c>
      <c r="BH8" s="44" t="s">
        <v>256</v>
      </c>
      <c r="BI8" s="48" t="s">
        <v>312</v>
      </c>
      <c r="BJ8" s="67">
        <v>42600</v>
      </c>
      <c r="BK8" s="71">
        <v>45170</v>
      </c>
      <c r="BL8" s="48" t="s">
        <v>313</v>
      </c>
      <c r="BM8" s="44" t="s">
        <v>256</v>
      </c>
      <c r="BN8" s="48" t="s">
        <v>314</v>
      </c>
      <c r="BO8" s="48" t="s">
        <v>315</v>
      </c>
      <c r="BP8" s="44" t="s">
        <v>221</v>
      </c>
      <c r="BQ8" s="44" t="s">
        <v>221</v>
      </c>
      <c r="BR8" s="44" t="s">
        <v>221</v>
      </c>
      <c r="BS8" s="44" t="s">
        <v>221</v>
      </c>
      <c r="BT8" s="44" t="s">
        <v>221</v>
      </c>
      <c r="BU8" s="44" t="s">
        <v>221</v>
      </c>
      <c r="BV8" s="44" t="s">
        <v>221</v>
      </c>
      <c r="BW8" s="44" t="s">
        <v>221</v>
      </c>
      <c r="BX8" s="44" t="s">
        <v>221</v>
      </c>
      <c r="BY8" s="44" t="s">
        <v>221</v>
      </c>
      <c r="BZ8" s="44" t="s">
        <v>221</v>
      </c>
      <c r="CA8" s="44" t="s">
        <v>221</v>
      </c>
      <c r="CB8" s="44" t="s">
        <v>221</v>
      </c>
      <c r="CC8" s="44" t="s">
        <v>221</v>
      </c>
      <c r="CD8" s="44" t="s">
        <v>221</v>
      </c>
      <c r="CE8" s="44" t="s">
        <v>221</v>
      </c>
      <c r="CF8" s="44" t="s">
        <v>221</v>
      </c>
      <c r="CG8" s="44" t="s">
        <v>221</v>
      </c>
      <c r="CH8" s="44" t="s">
        <v>221</v>
      </c>
      <c r="CI8" s="44" t="s">
        <v>221</v>
      </c>
      <c r="CJ8" s="44" t="s">
        <v>221</v>
      </c>
      <c r="CK8" s="44" t="s">
        <v>221</v>
      </c>
      <c r="CL8" s="44" t="s">
        <v>221</v>
      </c>
      <c r="CM8" s="44" t="s">
        <v>221</v>
      </c>
      <c r="CN8" s="44" t="s">
        <v>221</v>
      </c>
      <c r="CO8" s="44" t="s">
        <v>221</v>
      </c>
      <c r="CP8" s="44" t="s">
        <v>221</v>
      </c>
      <c r="CQ8" s="44" t="s">
        <v>221</v>
      </c>
      <c r="CR8" s="44" t="s">
        <v>221</v>
      </c>
      <c r="CS8" s="44" t="s">
        <v>221</v>
      </c>
      <c r="CT8" s="44" t="s">
        <v>221</v>
      </c>
      <c r="CU8" s="44" t="s">
        <v>221</v>
      </c>
      <c r="CV8" s="44" t="s">
        <v>221</v>
      </c>
      <c r="CW8" s="44" t="s">
        <v>221</v>
      </c>
      <c r="CX8" s="44" t="s">
        <v>221</v>
      </c>
      <c r="CY8" s="44" t="s">
        <v>221</v>
      </c>
      <c r="CZ8" s="44" t="s">
        <v>221</v>
      </c>
      <c r="DA8" s="44" t="s">
        <v>221</v>
      </c>
      <c r="DB8" s="44" t="s">
        <v>221</v>
      </c>
      <c r="DC8" s="44" t="s">
        <v>221</v>
      </c>
      <c r="DD8" s="44" t="s">
        <v>221</v>
      </c>
      <c r="DE8" s="44" t="s">
        <v>221</v>
      </c>
      <c r="DF8" s="44" t="s">
        <v>221</v>
      </c>
      <c r="DG8" s="44" t="s">
        <v>221</v>
      </c>
      <c r="DH8" s="44" t="s">
        <v>221</v>
      </c>
      <c r="DI8" s="44" t="s">
        <v>221</v>
      </c>
      <c r="DJ8" s="44" t="s">
        <v>221</v>
      </c>
      <c r="DK8" s="44" t="s">
        <v>221</v>
      </c>
      <c r="DL8" s="44" t="s">
        <v>221</v>
      </c>
      <c r="DM8" s="44" t="s">
        <v>221</v>
      </c>
      <c r="DN8" s="44" t="s">
        <v>221</v>
      </c>
      <c r="DO8" s="44" t="s">
        <v>221</v>
      </c>
      <c r="DP8" s="44" t="s">
        <v>221</v>
      </c>
      <c r="DQ8" s="44" t="s">
        <v>221</v>
      </c>
      <c r="DR8" s="44" t="s">
        <v>221</v>
      </c>
      <c r="DS8" s="44" t="s">
        <v>221</v>
      </c>
      <c r="DT8" s="44" t="s">
        <v>221</v>
      </c>
      <c r="DU8" s="44" t="s">
        <v>221</v>
      </c>
      <c r="DV8" s="44" t="s">
        <v>221</v>
      </c>
      <c r="DW8" s="44" t="s">
        <v>221</v>
      </c>
      <c r="DX8" s="44" t="s">
        <v>221</v>
      </c>
      <c r="DY8" s="44" t="s">
        <v>221</v>
      </c>
      <c r="DZ8" s="44" t="s">
        <v>221</v>
      </c>
      <c r="EA8" s="44" t="s">
        <v>221</v>
      </c>
      <c r="EB8" s="44" t="s">
        <v>221</v>
      </c>
      <c r="EC8" s="44" t="s">
        <v>221</v>
      </c>
      <c r="ED8" s="44" t="s">
        <v>221</v>
      </c>
      <c r="EE8" s="44" t="s">
        <v>221</v>
      </c>
      <c r="EF8" s="44" t="s">
        <v>221</v>
      </c>
      <c r="EG8" s="44" t="s">
        <v>221</v>
      </c>
      <c r="EH8" s="44" t="s">
        <v>221</v>
      </c>
      <c r="EI8" s="67">
        <v>44229</v>
      </c>
      <c r="EJ8" s="48" t="s">
        <v>316</v>
      </c>
      <c r="EK8" s="44" t="s">
        <v>256</v>
      </c>
      <c r="EL8" s="48" t="s">
        <v>317</v>
      </c>
      <c r="EM8" s="67">
        <v>44271</v>
      </c>
      <c r="EN8" s="67">
        <v>44299</v>
      </c>
      <c r="EO8" s="48" t="s">
        <v>318</v>
      </c>
      <c r="EP8" s="44" t="s">
        <v>256</v>
      </c>
      <c r="EQ8" s="48" t="s">
        <v>319</v>
      </c>
      <c r="ER8" s="48" t="s">
        <v>320</v>
      </c>
      <c r="ES8" s="44" t="s">
        <v>240</v>
      </c>
      <c r="ET8" s="48" t="s">
        <v>321</v>
      </c>
      <c r="EU8" s="48" t="s">
        <v>234</v>
      </c>
      <c r="EV8" s="44" t="s">
        <v>221</v>
      </c>
      <c r="EW8" s="44" t="s">
        <v>221</v>
      </c>
      <c r="EX8" s="44" t="s">
        <v>221</v>
      </c>
      <c r="EY8" s="44" t="s">
        <v>221</v>
      </c>
      <c r="EZ8" s="44" t="s">
        <v>221</v>
      </c>
      <c r="FA8" s="44" t="s">
        <v>221</v>
      </c>
      <c r="FB8" s="44" t="s">
        <v>221</v>
      </c>
      <c r="FC8" s="44" t="s">
        <v>221</v>
      </c>
      <c r="FD8" s="44" t="s">
        <v>221</v>
      </c>
      <c r="FE8" s="44" t="s">
        <v>221</v>
      </c>
      <c r="FF8" s="44" t="s">
        <v>221</v>
      </c>
      <c r="FG8" s="44" t="s">
        <v>221</v>
      </c>
      <c r="FH8" s="44" t="s">
        <v>221</v>
      </c>
      <c r="FI8" s="44" t="s">
        <v>221</v>
      </c>
      <c r="FJ8" s="44" t="s">
        <v>221</v>
      </c>
      <c r="FK8" s="44" t="s">
        <v>221</v>
      </c>
      <c r="FL8" s="44" t="s">
        <v>221</v>
      </c>
      <c r="FM8" s="44" t="s">
        <v>221</v>
      </c>
      <c r="FN8" s="44" t="s">
        <v>221</v>
      </c>
      <c r="FO8" s="44" t="s">
        <v>221</v>
      </c>
      <c r="FP8" s="44" t="s">
        <v>221</v>
      </c>
      <c r="FQ8" s="44" t="s">
        <v>221</v>
      </c>
      <c r="FR8" s="44" t="s">
        <v>221</v>
      </c>
      <c r="FS8" s="44" t="s">
        <v>221</v>
      </c>
      <c r="FT8" s="44" t="s">
        <v>221</v>
      </c>
      <c r="FU8" s="44" t="s">
        <v>221</v>
      </c>
      <c r="FV8" s="44" t="s">
        <v>221</v>
      </c>
      <c r="FW8" s="44" t="s">
        <v>221</v>
      </c>
      <c r="FX8" s="44" t="s">
        <v>221</v>
      </c>
      <c r="FY8" s="44" t="s">
        <v>221</v>
      </c>
      <c r="FZ8" s="44" t="s">
        <v>221</v>
      </c>
      <c r="GA8" s="44" t="s">
        <v>221</v>
      </c>
      <c r="GB8" s="44" t="s">
        <v>221</v>
      </c>
      <c r="GC8" s="44" t="s">
        <v>221</v>
      </c>
      <c r="GD8" s="44" t="s">
        <v>221</v>
      </c>
      <c r="GE8" s="44" t="s">
        <v>221</v>
      </c>
      <c r="GF8" s="45" t="s">
        <v>245</v>
      </c>
      <c r="GG8" s="71">
        <v>45170</v>
      </c>
      <c r="GH8" s="42" t="s">
        <v>220</v>
      </c>
      <c r="GI8" s="50" t="s">
        <v>234</v>
      </c>
      <c r="GJ8" s="67">
        <v>45055</v>
      </c>
      <c r="GK8" s="67" t="s">
        <v>221</v>
      </c>
      <c r="GL8" s="67" t="s">
        <v>322</v>
      </c>
      <c r="GM8" s="79">
        <f t="shared" si="1"/>
        <v>2.2000000000000002</v>
      </c>
      <c r="GN8" s="79">
        <f t="shared" si="2"/>
        <v>87.86666666666666</v>
      </c>
      <c r="GO8" s="79" t="str">
        <f t="shared" si="3"/>
        <v>N/A</v>
      </c>
      <c r="GP8" s="79">
        <f t="shared" si="4"/>
        <v>69.766666666666666</v>
      </c>
      <c r="GQ8" s="79">
        <f t="shared" si="5"/>
        <v>80.733333333333334</v>
      </c>
      <c r="GR8" s="79">
        <f t="shared" si="6"/>
        <v>80.733333333333334</v>
      </c>
      <c r="GS8" s="79" t="str">
        <f t="shared" si="7"/>
        <v>N/A</v>
      </c>
      <c r="GT8" s="79" t="str">
        <f t="shared" si="8"/>
        <v>N/A</v>
      </c>
      <c r="GU8" s="79" t="str">
        <f t="shared" si="9"/>
        <v>N/A</v>
      </c>
      <c r="GV8" s="79" t="str">
        <f t="shared" si="10"/>
        <v>N/A</v>
      </c>
      <c r="GW8" s="79" t="str">
        <f t="shared" si="11"/>
        <v>N/A</v>
      </c>
      <c r="GX8" s="79" t="str">
        <f t="shared" si="12"/>
        <v>N/A</v>
      </c>
      <c r="GY8" s="79">
        <f t="shared" si="13"/>
        <v>56.5</v>
      </c>
      <c r="GZ8" s="79">
        <f t="shared" si="14"/>
        <v>57.9</v>
      </c>
      <c r="HA8" s="79">
        <f t="shared" si="15"/>
        <v>58.833333333333336</v>
      </c>
      <c r="HB8" s="79">
        <f t="shared" si="16"/>
        <v>56.5</v>
      </c>
      <c r="HC8" s="79">
        <f t="shared" si="17"/>
        <v>87.86666666666666</v>
      </c>
      <c r="HD8" s="79">
        <f t="shared" si="18"/>
        <v>84.033333333333331</v>
      </c>
      <c r="HE8" s="79" t="str">
        <f t="shared" si="19"/>
        <v>N/A</v>
      </c>
      <c r="HF8" s="80">
        <f t="shared" si="20"/>
        <v>87.86666666666666</v>
      </c>
      <c r="HG8" s="80" cm="1">
        <f t="array" ref="HG8">INDEX($HB8:$HD8,MATCH(TRUE,INDEX(ISNUMBER($HB8:$HD8),0),0))</f>
        <v>56.5</v>
      </c>
      <c r="HH8" s="77">
        <f t="shared" si="21"/>
        <v>1</v>
      </c>
      <c r="HI8" s="77">
        <f t="shared" si="22"/>
        <v>1</v>
      </c>
      <c r="HJ8" s="77">
        <f t="shared" si="23"/>
        <v>1</v>
      </c>
      <c r="HK8" s="130" t="str">
        <f t="shared" si="24"/>
        <v>1</v>
      </c>
    </row>
    <row r="9" spans="1:219" ht="15" customHeight="1" x14ac:dyDescent="0.3">
      <c r="A9" s="48">
        <v>4124075472</v>
      </c>
      <c r="B9" s="46" t="s">
        <v>222</v>
      </c>
      <c r="C9" s="42" t="s">
        <v>221</v>
      </c>
      <c r="D9" s="43" t="s">
        <v>220</v>
      </c>
      <c r="E9" s="48" t="s">
        <v>221</v>
      </c>
      <c r="F9" s="48" t="s">
        <v>221</v>
      </c>
      <c r="G9" s="48" t="s">
        <v>221</v>
      </c>
      <c r="H9" s="67" t="s">
        <v>221</v>
      </c>
      <c r="I9" s="48" t="s">
        <v>323</v>
      </c>
      <c r="J9" s="48" t="s">
        <v>221</v>
      </c>
      <c r="K9" s="67">
        <v>44301</v>
      </c>
      <c r="L9" s="48" t="s">
        <v>324</v>
      </c>
      <c r="M9" s="48" t="s">
        <v>325</v>
      </c>
      <c r="N9" s="48" t="s">
        <v>298</v>
      </c>
      <c r="O9" s="48" t="s">
        <v>326</v>
      </c>
      <c r="P9" s="69">
        <v>44985</v>
      </c>
      <c r="Q9" s="42" t="s">
        <v>228</v>
      </c>
      <c r="R9" s="78" t="s">
        <v>221</v>
      </c>
      <c r="S9" s="78" t="s">
        <v>221</v>
      </c>
      <c r="T9" s="78" t="s">
        <v>221</v>
      </c>
      <c r="U9" s="78" t="s">
        <v>221</v>
      </c>
      <c r="V9" s="78" t="s">
        <v>221</v>
      </c>
      <c r="W9" s="43" t="s">
        <v>221</v>
      </c>
      <c r="X9" s="43" t="s">
        <v>221</v>
      </c>
      <c r="Y9" s="43" t="s">
        <v>221</v>
      </c>
      <c r="Z9" s="70" t="s">
        <v>221</v>
      </c>
      <c r="AA9" s="43" t="s">
        <v>221</v>
      </c>
      <c r="AB9" s="43" t="s">
        <v>221</v>
      </c>
      <c r="AC9" s="43" t="s">
        <v>221</v>
      </c>
      <c r="AD9" s="43" t="s">
        <v>221</v>
      </c>
      <c r="AE9" s="70" t="s">
        <v>221</v>
      </c>
      <c r="AF9" s="43" t="s">
        <v>221</v>
      </c>
      <c r="AG9" s="43" t="s">
        <v>221</v>
      </c>
      <c r="AH9" s="43" t="s">
        <v>221</v>
      </c>
      <c r="AI9" s="43" t="s">
        <v>221</v>
      </c>
      <c r="AJ9" s="70" t="s">
        <v>221</v>
      </c>
      <c r="AK9" s="43" t="s">
        <v>221</v>
      </c>
      <c r="AL9" s="50" t="s">
        <v>221</v>
      </c>
      <c r="AM9" s="48" t="s">
        <v>221</v>
      </c>
      <c r="AN9" s="48" t="s">
        <v>221</v>
      </c>
      <c r="AO9" s="69" t="s">
        <v>221</v>
      </c>
      <c r="AP9" s="42" t="s">
        <v>221</v>
      </c>
      <c r="AQ9" s="50" t="s">
        <v>252</v>
      </c>
      <c r="AR9" s="67">
        <v>25474</v>
      </c>
      <c r="AS9" s="67">
        <v>44301</v>
      </c>
      <c r="AT9" s="62">
        <f t="shared" si="0"/>
        <v>51</v>
      </c>
      <c r="AU9" s="51" t="s">
        <v>327</v>
      </c>
      <c r="AV9" s="42" t="s">
        <v>270</v>
      </c>
      <c r="AW9" s="43" t="s">
        <v>220</v>
      </c>
      <c r="AX9" s="48" t="s">
        <v>328</v>
      </c>
      <c r="AY9" s="48" t="s">
        <v>271</v>
      </c>
      <c r="AZ9" s="48" t="s">
        <v>234</v>
      </c>
      <c r="BA9" s="48">
        <v>0</v>
      </c>
      <c r="BB9" s="48" t="s">
        <v>329</v>
      </c>
      <c r="BC9" s="49">
        <v>3</v>
      </c>
      <c r="BD9" s="45" t="s">
        <v>235</v>
      </c>
      <c r="BE9" s="51" t="s">
        <v>330</v>
      </c>
      <c r="BF9" s="42" t="s">
        <v>222</v>
      </c>
      <c r="BG9" s="42" t="s">
        <v>221</v>
      </c>
      <c r="BH9" s="42" t="s">
        <v>221</v>
      </c>
      <c r="BI9" s="42" t="s">
        <v>221</v>
      </c>
      <c r="BJ9" s="42" t="s">
        <v>221</v>
      </c>
      <c r="BK9" s="42" t="s">
        <v>221</v>
      </c>
      <c r="BL9" s="42" t="s">
        <v>221</v>
      </c>
      <c r="BM9" s="42" t="s">
        <v>221</v>
      </c>
      <c r="BN9" s="42" t="s">
        <v>221</v>
      </c>
      <c r="BO9" s="42" t="s">
        <v>221</v>
      </c>
      <c r="BP9" s="42" t="s">
        <v>221</v>
      </c>
      <c r="BQ9" s="42" t="s">
        <v>221</v>
      </c>
      <c r="BR9" s="42" t="s">
        <v>221</v>
      </c>
      <c r="BS9" s="42" t="s">
        <v>221</v>
      </c>
      <c r="BT9" s="42" t="s">
        <v>221</v>
      </c>
      <c r="BU9" s="42" t="s">
        <v>221</v>
      </c>
      <c r="BV9" s="42" t="s">
        <v>221</v>
      </c>
      <c r="BW9" s="42" t="s">
        <v>221</v>
      </c>
      <c r="BX9" s="42" t="s">
        <v>221</v>
      </c>
      <c r="BY9" s="42" t="s">
        <v>221</v>
      </c>
      <c r="BZ9" s="42" t="s">
        <v>221</v>
      </c>
      <c r="CA9" s="42" t="s">
        <v>221</v>
      </c>
      <c r="CB9" s="42" t="s">
        <v>221</v>
      </c>
      <c r="CC9" s="42" t="s">
        <v>221</v>
      </c>
      <c r="CD9" s="42" t="s">
        <v>221</v>
      </c>
      <c r="CE9" s="42" t="s">
        <v>221</v>
      </c>
      <c r="CF9" s="42" t="s">
        <v>221</v>
      </c>
      <c r="CG9" s="42" t="s">
        <v>221</v>
      </c>
      <c r="CH9" s="42" t="s">
        <v>221</v>
      </c>
      <c r="CI9" s="42" t="s">
        <v>221</v>
      </c>
      <c r="CJ9" s="42" t="s">
        <v>221</v>
      </c>
      <c r="CK9" s="42" t="s">
        <v>221</v>
      </c>
      <c r="CL9" s="42" t="s">
        <v>221</v>
      </c>
      <c r="CM9" s="42" t="s">
        <v>221</v>
      </c>
      <c r="CN9" s="42" t="s">
        <v>221</v>
      </c>
      <c r="CO9" s="42" t="s">
        <v>221</v>
      </c>
      <c r="CP9" s="42" t="s">
        <v>221</v>
      </c>
      <c r="CQ9" s="42" t="s">
        <v>221</v>
      </c>
      <c r="CR9" s="42" t="s">
        <v>221</v>
      </c>
      <c r="CS9" s="42" t="s">
        <v>221</v>
      </c>
      <c r="CT9" s="42" t="s">
        <v>221</v>
      </c>
      <c r="CU9" s="42" t="s">
        <v>221</v>
      </c>
      <c r="CV9" s="42" t="s">
        <v>221</v>
      </c>
      <c r="CW9" s="42" t="s">
        <v>221</v>
      </c>
      <c r="CX9" s="42" t="s">
        <v>221</v>
      </c>
      <c r="CY9" s="42" t="s">
        <v>221</v>
      </c>
      <c r="CZ9" s="42" t="s">
        <v>221</v>
      </c>
      <c r="DA9" s="42" t="s">
        <v>221</v>
      </c>
      <c r="DB9" s="42" t="s">
        <v>221</v>
      </c>
      <c r="DC9" s="42" t="s">
        <v>221</v>
      </c>
      <c r="DD9" s="42" t="s">
        <v>221</v>
      </c>
      <c r="DE9" s="42" t="s">
        <v>221</v>
      </c>
      <c r="DF9" s="42" t="s">
        <v>221</v>
      </c>
      <c r="DG9" s="42" t="s">
        <v>221</v>
      </c>
      <c r="DH9" s="42" t="s">
        <v>221</v>
      </c>
      <c r="DI9" s="42" t="s">
        <v>221</v>
      </c>
      <c r="DJ9" s="42" t="s">
        <v>221</v>
      </c>
      <c r="DK9" s="42" t="s">
        <v>221</v>
      </c>
      <c r="DL9" s="42" t="s">
        <v>221</v>
      </c>
      <c r="DM9" s="42" t="s">
        <v>221</v>
      </c>
      <c r="DN9" s="42" t="s">
        <v>221</v>
      </c>
      <c r="DO9" s="42" t="s">
        <v>221</v>
      </c>
      <c r="DP9" s="42" t="s">
        <v>221</v>
      </c>
      <c r="DQ9" s="42" t="s">
        <v>221</v>
      </c>
      <c r="DR9" s="42" t="s">
        <v>221</v>
      </c>
      <c r="DS9" s="42" t="s">
        <v>221</v>
      </c>
      <c r="DT9" s="42" t="s">
        <v>221</v>
      </c>
      <c r="DU9" s="42" t="s">
        <v>221</v>
      </c>
      <c r="DV9" s="42" t="s">
        <v>221</v>
      </c>
      <c r="DW9" s="42" t="s">
        <v>221</v>
      </c>
      <c r="DX9" s="42" t="s">
        <v>221</v>
      </c>
      <c r="DY9" s="42" t="s">
        <v>221</v>
      </c>
      <c r="DZ9" s="42" t="s">
        <v>221</v>
      </c>
      <c r="EA9" s="42" t="s">
        <v>221</v>
      </c>
      <c r="EB9" s="42" t="s">
        <v>221</v>
      </c>
      <c r="EC9" s="42" t="s">
        <v>221</v>
      </c>
      <c r="ED9" s="42" t="s">
        <v>221</v>
      </c>
      <c r="EE9" s="42" t="s">
        <v>221</v>
      </c>
      <c r="EF9" s="42" t="s">
        <v>221</v>
      </c>
      <c r="EG9" s="42" t="s">
        <v>221</v>
      </c>
      <c r="EH9" s="42" t="s">
        <v>221</v>
      </c>
      <c r="EI9" s="67">
        <v>44657</v>
      </c>
      <c r="EJ9" s="48" t="s">
        <v>331</v>
      </c>
      <c r="EK9" s="44" t="s">
        <v>240</v>
      </c>
      <c r="EL9" s="48" t="s">
        <v>332</v>
      </c>
      <c r="EM9" s="67">
        <v>45069</v>
      </c>
      <c r="EN9" s="67">
        <v>45069</v>
      </c>
      <c r="EO9" s="48" t="s">
        <v>234</v>
      </c>
      <c r="EP9" s="44" t="s">
        <v>240</v>
      </c>
      <c r="EQ9" s="48" t="s">
        <v>291</v>
      </c>
      <c r="ER9" s="48" t="s">
        <v>234</v>
      </c>
      <c r="ES9" s="44" t="s">
        <v>221</v>
      </c>
      <c r="ET9" s="44" t="s">
        <v>221</v>
      </c>
      <c r="EU9" s="44" t="s">
        <v>221</v>
      </c>
      <c r="EV9" s="44" t="s">
        <v>221</v>
      </c>
      <c r="EW9" s="44" t="s">
        <v>221</v>
      </c>
      <c r="EX9" s="44" t="s">
        <v>221</v>
      </c>
      <c r="EY9" s="44" t="s">
        <v>221</v>
      </c>
      <c r="EZ9" s="44" t="s">
        <v>221</v>
      </c>
      <c r="FA9" s="44" t="s">
        <v>221</v>
      </c>
      <c r="FB9" s="44" t="s">
        <v>221</v>
      </c>
      <c r="FC9" s="44" t="s">
        <v>221</v>
      </c>
      <c r="FD9" s="44" t="s">
        <v>221</v>
      </c>
      <c r="FE9" s="44" t="s">
        <v>221</v>
      </c>
      <c r="FF9" s="44" t="s">
        <v>221</v>
      </c>
      <c r="FG9" s="44" t="s">
        <v>221</v>
      </c>
      <c r="FH9" s="44" t="s">
        <v>221</v>
      </c>
      <c r="FI9" s="44" t="s">
        <v>221</v>
      </c>
      <c r="FJ9" s="44" t="s">
        <v>221</v>
      </c>
      <c r="FK9" s="44" t="s">
        <v>221</v>
      </c>
      <c r="FL9" s="44" t="s">
        <v>221</v>
      </c>
      <c r="FM9" s="44" t="s">
        <v>221</v>
      </c>
      <c r="FN9" s="44" t="s">
        <v>221</v>
      </c>
      <c r="FO9" s="44" t="s">
        <v>221</v>
      </c>
      <c r="FP9" s="44" t="s">
        <v>221</v>
      </c>
      <c r="FQ9" s="44" t="s">
        <v>221</v>
      </c>
      <c r="FR9" s="44" t="s">
        <v>221</v>
      </c>
      <c r="FS9" s="44" t="s">
        <v>221</v>
      </c>
      <c r="FT9" s="44" t="s">
        <v>221</v>
      </c>
      <c r="FU9" s="44" t="s">
        <v>221</v>
      </c>
      <c r="FV9" s="44" t="s">
        <v>221</v>
      </c>
      <c r="FW9" s="44" t="s">
        <v>221</v>
      </c>
      <c r="FX9" s="44" t="s">
        <v>221</v>
      </c>
      <c r="FY9" s="44" t="s">
        <v>221</v>
      </c>
      <c r="FZ9" s="44" t="s">
        <v>221</v>
      </c>
      <c r="GA9" s="44" t="s">
        <v>221</v>
      </c>
      <c r="GB9" s="44" t="s">
        <v>221</v>
      </c>
      <c r="GC9" s="44" t="s">
        <v>221</v>
      </c>
      <c r="GD9" s="44" t="s">
        <v>221</v>
      </c>
      <c r="GE9" s="44" t="s">
        <v>221</v>
      </c>
      <c r="GF9" s="45" t="s">
        <v>245</v>
      </c>
      <c r="GG9" s="71">
        <v>45407</v>
      </c>
      <c r="GH9" s="42" t="s">
        <v>220</v>
      </c>
      <c r="GI9" s="50" t="s">
        <v>234</v>
      </c>
      <c r="GJ9" s="67">
        <v>45394</v>
      </c>
      <c r="GK9" s="67" t="s">
        <v>221</v>
      </c>
      <c r="GL9" s="67" t="s">
        <v>221</v>
      </c>
      <c r="GM9" s="79" t="str">
        <f t="shared" si="1"/>
        <v>N/A</v>
      </c>
      <c r="GN9" s="79" t="str">
        <f t="shared" si="2"/>
        <v>N/A</v>
      </c>
      <c r="GO9" s="79" t="str">
        <f t="shared" si="3"/>
        <v>N/A</v>
      </c>
      <c r="GP9" s="79">
        <f t="shared" si="4"/>
        <v>0</v>
      </c>
      <c r="GQ9" s="79">
        <f t="shared" si="5"/>
        <v>22.8</v>
      </c>
      <c r="GR9" s="79" t="str">
        <f t="shared" si="6"/>
        <v>N/A</v>
      </c>
      <c r="GS9" s="79" t="str">
        <f t="shared" si="7"/>
        <v>N/A</v>
      </c>
      <c r="GT9" s="79" t="str">
        <f t="shared" si="8"/>
        <v>N/A</v>
      </c>
      <c r="GU9" s="79" t="str">
        <f t="shared" si="9"/>
        <v>N/A</v>
      </c>
      <c r="GV9" s="79" t="str">
        <f t="shared" si="10"/>
        <v>N/A</v>
      </c>
      <c r="GW9" s="79" t="str">
        <f t="shared" si="11"/>
        <v>N/A</v>
      </c>
      <c r="GX9" s="79" t="str">
        <f t="shared" si="12"/>
        <v>N/A</v>
      </c>
      <c r="GY9" s="79">
        <f t="shared" si="13"/>
        <v>11.866666666666667</v>
      </c>
      <c r="GZ9" s="79">
        <f t="shared" si="14"/>
        <v>25.6</v>
      </c>
      <c r="HA9" s="79">
        <f t="shared" si="15"/>
        <v>25.6</v>
      </c>
      <c r="HB9" s="79">
        <f t="shared" si="16"/>
        <v>11.866666666666667</v>
      </c>
      <c r="HC9" s="79">
        <f t="shared" si="17"/>
        <v>36.866666666666667</v>
      </c>
      <c r="HD9" s="79">
        <f t="shared" si="18"/>
        <v>36.43333333333333</v>
      </c>
      <c r="HE9" s="79" t="str">
        <f t="shared" si="19"/>
        <v>N/A</v>
      </c>
      <c r="HF9" s="80">
        <f t="shared" si="20"/>
        <v>36.866666666666667</v>
      </c>
      <c r="HG9" s="80" cm="1">
        <f t="array" ref="HG9">INDEX($HB9:$HD9,MATCH(TRUE,INDEX(ISNUMBER($HB9:$HD9),0),0))</f>
        <v>11.866666666666667</v>
      </c>
      <c r="HH9" s="77">
        <f t="shared" si="21"/>
        <v>1</v>
      </c>
      <c r="HI9" s="77">
        <f t="shared" si="22"/>
        <v>1</v>
      </c>
      <c r="HJ9" s="77">
        <f t="shared" si="23"/>
        <v>1</v>
      </c>
      <c r="HK9" s="130" t="str">
        <f t="shared" si="24"/>
        <v>1</v>
      </c>
    </row>
    <row r="10" spans="1:219" ht="15" customHeight="1" x14ac:dyDescent="0.3">
      <c r="A10" s="48">
        <v>4381374088</v>
      </c>
      <c r="B10" s="46" t="s">
        <v>222</v>
      </c>
      <c r="C10" s="42" t="s">
        <v>221</v>
      </c>
      <c r="D10" s="43" t="s">
        <v>220</v>
      </c>
      <c r="E10" s="48" t="s">
        <v>221</v>
      </c>
      <c r="F10" s="48" t="s">
        <v>221</v>
      </c>
      <c r="G10" s="48" t="s">
        <v>221</v>
      </c>
      <c r="H10" s="67" t="s">
        <v>221</v>
      </c>
      <c r="I10" s="48" t="s">
        <v>333</v>
      </c>
      <c r="J10" s="48" t="s">
        <v>221</v>
      </c>
      <c r="K10" s="67">
        <v>39183</v>
      </c>
      <c r="L10" s="48" t="s">
        <v>334</v>
      </c>
      <c r="M10" s="48" t="s">
        <v>335</v>
      </c>
      <c r="N10" s="48" t="s">
        <v>309</v>
      </c>
      <c r="O10" s="48" t="s">
        <v>336</v>
      </c>
      <c r="P10" s="69">
        <v>45056</v>
      </c>
      <c r="Q10" s="42" t="s">
        <v>267</v>
      </c>
      <c r="R10" s="50" t="s">
        <v>335</v>
      </c>
      <c r="S10" s="48" t="s">
        <v>337</v>
      </c>
      <c r="T10" s="48" t="s">
        <v>336</v>
      </c>
      <c r="U10" s="69">
        <v>45056</v>
      </c>
      <c r="V10" s="42" t="s">
        <v>267</v>
      </c>
      <c r="W10" s="43" t="s">
        <v>221</v>
      </c>
      <c r="X10" s="43" t="s">
        <v>221</v>
      </c>
      <c r="Y10" s="43" t="s">
        <v>221</v>
      </c>
      <c r="Z10" s="70" t="s">
        <v>221</v>
      </c>
      <c r="AA10" s="43" t="s">
        <v>221</v>
      </c>
      <c r="AB10" s="43" t="s">
        <v>221</v>
      </c>
      <c r="AC10" s="43" t="s">
        <v>221</v>
      </c>
      <c r="AD10" s="43" t="s">
        <v>221</v>
      </c>
      <c r="AE10" s="70" t="s">
        <v>221</v>
      </c>
      <c r="AF10" s="43" t="s">
        <v>221</v>
      </c>
      <c r="AG10" s="43" t="s">
        <v>221</v>
      </c>
      <c r="AH10" s="43" t="s">
        <v>221</v>
      </c>
      <c r="AI10" s="43" t="s">
        <v>221</v>
      </c>
      <c r="AJ10" s="70" t="s">
        <v>221</v>
      </c>
      <c r="AK10" s="43" t="s">
        <v>221</v>
      </c>
      <c r="AL10" s="50" t="s">
        <v>221</v>
      </c>
      <c r="AM10" s="48" t="s">
        <v>221</v>
      </c>
      <c r="AN10" s="48" t="s">
        <v>221</v>
      </c>
      <c r="AO10" s="69" t="s">
        <v>221</v>
      </c>
      <c r="AP10" s="42" t="s">
        <v>221</v>
      </c>
      <c r="AQ10" s="50" t="s">
        <v>229</v>
      </c>
      <c r="AR10" s="67">
        <v>14976</v>
      </c>
      <c r="AS10" s="69">
        <v>39183</v>
      </c>
      <c r="AT10" s="62">
        <f t="shared" si="0"/>
        <v>66</v>
      </c>
      <c r="AU10" s="51" t="s">
        <v>338</v>
      </c>
      <c r="AV10" s="42" t="s">
        <v>270</v>
      </c>
      <c r="AW10" s="43" t="s">
        <v>220</v>
      </c>
      <c r="AX10" s="48">
        <v>3</v>
      </c>
      <c r="AY10" s="48" t="s">
        <v>271</v>
      </c>
      <c r="AZ10" s="48" t="s">
        <v>234</v>
      </c>
      <c r="BA10" s="48">
        <v>0</v>
      </c>
      <c r="BB10" s="48" t="s">
        <v>339</v>
      </c>
      <c r="BC10" s="49" t="s">
        <v>234</v>
      </c>
      <c r="BD10" s="45" t="s">
        <v>302</v>
      </c>
      <c r="BE10" s="51" t="s">
        <v>340</v>
      </c>
      <c r="BF10" s="42" t="s">
        <v>222</v>
      </c>
      <c r="BG10" s="74" t="s">
        <v>221</v>
      </c>
      <c r="BH10" s="74" t="s">
        <v>221</v>
      </c>
      <c r="BI10" s="74" t="s">
        <v>221</v>
      </c>
      <c r="BJ10" s="74" t="s">
        <v>221</v>
      </c>
      <c r="BK10" s="74" t="s">
        <v>221</v>
      </c>
      <c r="BL10" s="74" t="s">
        <v>221</v>
      </c>
      <c r="BM10" s="74" t="s">
        <v>221</v>
      </c>
      <c r="BN10" s="74" t="s">
        <v>221</v>
      </c>
      <c r="BO10" s="74" t="s">
        <v>221</v>
      </c>
      <c r="BP10" s="74" t="s">
        <v>221</v>
      </c>
      <c r="BQ10" s="74" t="s">
        <v>221</v>
      </c>
      <c r="BR10" s="74" t="s">
        <v>221</v>
      </c>
      <c r="BS10" s="74" t="s">
        <v>221</v>
      </c>
      <c r="BT10" s="74" t="s">
        <v>221</v>
      </c>
      <c r="BU10" s="74" t="s">
        <v>221</v>
      </c>
      <c r="BV10" s="74" t="s">
        <v>221</v>
      </c>
      <c r="BW10" s="74" t="s">
        <v>221</v>
      </c>
      <c r="BX10" s="74" t="s">
        <v>221</v>
      </c>
      <c r="BY10" s="74" t="s">
        <v>221</v>
      </c>
      <c r="BZ10" s="74" t="s">
        <v>221</v>
      </c>
      <c r="CA10" s="74" t="s">
        <v>221</v>
      </c>
      <c r="CB10" s="74" t="s">
        <v>221</v>
      </c>
      <c r="CC10" s="74" t="s">
        <v>221</v>
      </c>
      <c r="CD10" s="74" t="s">
        <v>221</v>
      </c>
      <c r="CE10" s="74" t="s">
        <v>221</v>
      </c>
      <c r="CF10" s="74" t="s">
        <v>221</v>
      </c>
      <c r="CG10" s="74" t="s">
        <v>221</v>
      </c>
      <c r="CH10" s="74" t="s">
        <v>221</v>
      </c>
      <c r="CI10" s="74" t="s">
        <v>221</v>
      </c>
      <c r="CJ10" s="74" t="s">
        <v>221</v>
      </c>
      <c r="CK10" s="74" t="s">
        <v>221</v>
      </c>
      <c r="CL10" s="74" t="s">
        <v>221</v>
      </c>
      <c r="CM10" s="74" t="s">
        <v>221</v>
      </c>
      <c r="CN10" s="44" t="s">
        <v>240</v>
      </c>
      <c r="CO10" s="48" t="s">
        <v>341</v>
      </c>
      <c r="CP10" s="67">
        <v>39282</v>
      </c>
      <c r="CQ10" s="67">
        <v>39282</v>
      </c>
      <c r="CR10" s="48" t="s">
        <v>221</v>
      </c>
      <c r="CS10" s="44" t="s">
        <v>221</v>
      </c>
      <c r="CT10" s="44" t="s">
        <v>221</v>
      </c>
      <c r="CU10" s="44" t="s">
        <v>221</v>
      </c>
      <c r="CV10" s="44" t="s">
        <v>221</v>
      </c>
      <c r="CW10" s="44" t="s">
        <v>221</v>
      </c>
      <c r="CX10" s="44" t="s">
        <v>221</v>
      </c>
      <c r="CY10" s="44" t="s">
        <v>221</v>
      </c>
      <c r="CZ10" s="44" t="s">
        <v>221</v>
      </c>
      <c r="DA10" s="44" t="s">
        <v>221</v>
      </c>
      <c r="DB10" s="44" t="s">
        <v>221</v>
      </c>
      <c r="DC10" s="44" t="s">
        <v>221</v>
      </c>
      <c r="DD10" s="44" t="s">
        <v>221</v>
      </c>
      <c r="DE10" s="44" t="s">
        <v>221</v>
      </c>
      <c r="DF10" s="44" t="s">
        <v>221</v>
      </c>
      <c r="DG10" s="44" t="s">
        <v>221</v>
      </c>
      <c r="DH10" s="44" t="s">
        <v>221</v>
      </c>
      <c r="DI10" s="44" t="s">
        <v>221</v>
      </c>
      <c r="DJ10" s="44" t="s">
        <v>221</v>
      </c>
      <c r="DK10" s="44" t="s">
        <v>221</v>
      </c>
      <c r="DL10" s="44" t="s">
        <v>221</v>
      </c>
      <c r="DM10" s="44" t="s">
        <v>221</v>
      </c>
      <c r="DN10" s="44" t="s">
        <v>221</v>
      </c>
      <c r="DO10" s="44" t="s">
        <v>221</v>
      </c>
      <c r="DP10" s="44" t="s">
        <v>221</v>
      </c>
      <c r="DQ10" s="44" t="s">
        <v>221</v>
      </c>
      <c r="DR10" s="44" t="s">
        <v>221</v>
      </c>
      <c r="DS10" s="44" t="s">
        <v>221</v>
      </c>
      <c r="DT10" s="44" t="s">
        <v>221</v>
      </c>
      <c r="DU10" s="44" t="s">
        <v>221</v>
      </c>
      <c r="DV10" s="44" t="s">
        <v>221</v>
      </c>
      <c r="DW10" s="44" t="s">
        <v>221</v>
      </c>
      <c r="DX10" s="44" t="s">
        <v>221</v>
      </c>
      <c r="DY10" s="44" t="s">
        <v>221</v>
      </c>
      <c r="DZ10" s="44" t="s">
        <v>221</v>
      </c>
      <c r="EA10" s="44" t="s">
        <v>221</v>
      </c>
      <c r="EB10" s="44" t="s">
        <v>221</v>
      </c>
      <c r="EC10" s="44" t="s">
        <v>221</v>
      </c>
      <c r="ED10" s="44" t="s">
        <v>221</v>
      </c>
      <c r="EE10" s="44" t="s">
        <v>221</v>
      </c>
      <c r="EF10" s="44" t="s">
        <v>221</v>
      </c>
      <c r="EG10" s="44" t="s">
        <v>221</v>
      </c>
      <c r="EH10" s="44" t="s">
        <v>221</v>
      </c>
      <c r="EI10" s="67">
        <v>44968</v>
      </c>
      <c r="EJ10" s="48" t="s">
        <v>342</v>
      </c>
      <c r="EK10" s="44" t="s">
        <v>221</v>
      </c>
      <c r="EL10" s="44" t="s">
        <v>221</v>
      </c>
      <c r="EM10" s="44" t="s">
        <v>221</v>
      </c>
      <c r="EN10" s="44" t="s">
        <v>221</v>
      </c>
      <c r="EO10" s="44" t="s">
        <v>221</v>
      </c>
      <c r="EP10" s="44" t="s">
        <v>221</v>
      </c>
      <c r="EQ10" s="44" t="s">
        <v>221</v>
      </c>
      <c r="ER10" s="44" t="s">
        <v>221</v>
      </c>
      <c r="ES10" s="44" t="s">
        <v>221</v>
      </c>
      <c r="ET10" s="44" t="s">
        <v>221</v>
      </c>
      <c r="EU10" s="44" t="s">
        <v>221</v>
      </c>
      <c r="EV10" s="44" t="s">
        <v>221</v>
      </c>
      <c r="EW10" s="44" t="s">
        <v>221</v>
      </c>
      <c r="EX10" s="44" t="s">
        <v>221</v>
      </c>
      <c r="EY10" s="44" t="s">
        <v>221</v>
      </c>
      <c r="EZ10" s="44" t="s">
        <v>221</v>
      </c>
      <c r="FA10" s="44" t="s">
        <v>221</v>
      </c>
      <c r="FB10" s="44" t="s">
        <v>221</v>
      </c>
      <c r="FC10" s="44" t="s">
        <v>221</v>
      </c>
      <c r="FD10" s="44" t="s">
        <v>221</v>
      </c>
      <c r="FE10" s="44" t="s">
        <v>221</v>
      </c>
      <c r="FF10" s="44" t="s">
        <v>221</v>
      </c>
      <c r="FG10" s="44" t="s">
        <v>221</v>
      </c>
      <c r="FH10" s="44" t="s">
        <v>221</v>
      </c>
      <c r="FI10" s="44" t="s">
        <v>221</v>
      </c>
      <c r="FJ10" s="44" t="s">
        <v>221</v>
      </c>
      <c r="FK10" s="44" t="s">
        <v>221</v>
      </c>
      <c r="FL10" s="44" t="s">
        <v>221</v>
      </c>
      <c r="FM10" s="44" t="s">
        <v>221</v>
      </c>
      <c r="FN10" s="44" t="s">
        <v>221</v>
      </c>
      <c r="FO10" s="44" t="s">
        <v>221</v>
      </c>
      <c r="FP10" s="44" t="s">
        <v>221</v>
      </c>
      <c r="FQ10" s="44" t="s">
        <v>221</v>
      </c>
      <c r="FR10" s="44" t="s">
        <v>221</v>
      </c>
      <c r="FS10" s="44" t="s">
        <v>221</v>
      </c>
      <c r="FT10" s="44" t="s">
        <v>221</v>
      </c>
      <c r="FU10" s="44" t="s">
        <v>221</v>
      </c>
      <c r="FV10" s="44" t="s">
        <v>221</v>
      </c>
      <c r="FW10" s="44" t="s">
        <v>221</v>
      </c>
      <c r="FX10" s="44" t="s">
        <v>221</v>
      </c>
      <c r="FY10" s="44" t="s">
        <v>221</v>
      </c>
      <c r="FZ10" s="44" t="s">
        <v>221</v>
      </c>
      <c r="GA10" s="44" t="s">
        <v>221</v>
      </c>
      <c r="GB10" s="44" t="s">
        <v>221</v>
      </c>
      <c r="GC10" s="44" t="s">
        <v>221</v>
      </c>
      <c r="GD10" s="44" t="s">
        <v>221</v>
      </c>
      <c r="GE10" s="44" t="s">
        <v>221</v>
      </c>
      <c r="GF10" s="45" t="s">
        <v>262</v>
      </c>
      <c r="GG10" s="71" t="s">
        <v>221</v>
      </c>
      <c r="GH10" s="71" t="s">
        <v>221</v>
      </c>
      <c r="GI10" s="71" t="s">
        <v>221</v>
      </c>
      <c r="GJ10" s="67">
        <v>46045</v>
      </c>
      <c r="GK10" s="67">
        <v>46058</v>
      </c>
      <c r="GL10" s="67" t="s">
        <v>221</v>
      </c>
      <c r="GM10" s="79" t="str">
        <f t="shared" si="1"/>
        <v>N/A</v>
      </c>
      <c r="GN10" s="79" t="str">
        <f t="shared" si="2"/>
        <v>N/A</v>
      </c>
      <c r="GO10" s="79" t="str">
        <f t="shared" si="3"/>
        <v>N/A</v>
      </c>
      <c r="GP10" s="79">
        <f t="shared" si="4"/>
        <v>0</v>
      </c>
      <c r="GQ10" s="79">
        <f t="shared" si="5"/>
        <v>195.76666666666668</v>
      </c>
      <c r="GR10" s="79">
        <f t="shared" si="6"/>
        <v>195.76666666666668</v>
      </c>
      <c r="GS10" s="79" t="str">
        <f t="shared" si="7"/>
        <v>N/A</v>
      </c>
      <c r="GT10" s="79" t="str">
        <f t="shared" si="8"/>
        <v>N/A</v>
      </c>
      <c r="GU10" s="79" t="str">
        <f t="shared" si="9"/>
        <v>N/A</v>
      </c>
      <c r="GV10" s="79" t="str">
        <f t="shared" si="10"/>
        <v>N/A</v>
      </c>
      <c r="GW10" s="79">
        <f t="shared" si="11"/>
        <v>3.3</v>
      </c>
      <c r="GX10" s="79">
        <f t="shared" si="12"/>
        <v>3.3</v>
      </c>
      <c r="GY10" s="79">
        <f t="shared" si="13"/>
        <v>192.83333333333334</v>
      </c>
      <c r="GZ10" s="79" t="str">
        <f t="shared" si="14"/>
        <v>N/A</v>
      </c>
      <c r="HA10" s="79" t="str">
        <f t="shared" si="15"/>
        <v>N/A</v>
      </c>
      <c r="HB10" s="79">
        <f t="shared" si="16"/>
        <v>192.83333333333334</v>
      </c>
      <c r="HC10" s="79" t="str">
        <f t="shared" si="17"/>
        <v>N/A</v>
      </c>
      <c r="HD10" s="79">
        <f t="shared" si="18"/>
        <v>228.73333333333332</v>
      </c>
      <c r="HE10" s="79">
        <f t="shared" si="19"/>
        <v>229.16666666666666</v>
      </c>
      <c r="HF10" s="80">
        <f t="shared" si="20"/>
        <v>229.16666666666666</v>
      </c>
      <c r="HG10" s="80" cm="1">
        <f t="array" ref="HG10">INDEX($HB10:$HD10,MATCH(TRUE,INDEX(ISNUMBER($HB10:$HD10),0),0))</f>
        <v>192.83333333333334</v>
      </c>
      <c r="HH10" s="77">
        <f t="shared" si="21"/>
        <v>1</v>
      </c>
      <c r="HI10" s="77">
        <f t="shared" si="22"/>
        <v>0</v>
      </c>
      <c r="HJ10" s="77">
        <f t="shared" si="23"/>
        <v>0</v>
      </c>
      <c r="HK10" s="130" t="str">
        <f t="shared" si="24"/>
        <v>1</v>
      </c>
    </row>
    <row r="11" spans="1:219" ht="15" customHeight="1" x14ac:dyDescent="0.3">
      <c r="A11" s="48">
        <v>4388771279</v>
      </c>
      <c r="B11" s="46" t="s">
        <v>222</v>
      </c>
      <c r="C11" s="42" t="s">
        <v>221</v>
      </c>
      <c r="D11" s="43" t="s">
        <v>222</v>
      </c>
      <c r="E11" s="48" t="s">
        <v>221</v>
      </c>
      <c r="F11" s="48" t="s">
        <v>221</v>
      </c>
      <c r="G11" s="48" t="s">
        <v>221</v>
      </c>
      <c r="H11" s="67" t="s">
        <v>221</v>
      </c>
      <c r="I11" s="48" t="s">
        <v>343</v>
      </c>
      <c r="J11" s="48" t="s">
        <v>221</v>
      </c>
      <c r="K11" s="67" t="s">
        <v>221</v>
      </c>
      <c r="L11" s="48" t="s">
        <v>344</v>
      </c>
      <c r="M11" s="48" t="s">
        <v>345</v>
      </c>
      <c r="N11" s="48" t="s">
        <v>251</v>
      </c>
      <c r="O11" s="48" t="s">
        <v>346</v>
      </c>
      <c r="P11" s="69">
        <v>45086</v>
      </c>
      <c r="Q11" s="42" t="s">
        <v>228</v>
      </c>
      <c r="R11" s="78" t="s">
        <v>221</v>
      </c>
      <c r="S11" s="78" t="s">
        <v>221</v>
      </c>
      <c r="T11" s="78" t="s">
        <v>221</v>
      </c>
      <c r="U11" s="78" t="s">
        <v>221</v>
      </c>
      <c r="V11" s="78" t="s">
        <v>221</v>
      </c>
      <c r="W11" s="43" t="s">
        <v>221</v>
      </c>
      <c r="X11" s="43" t="s">
        <v>221</v>
      </c>
      <c r="Y11" s="43" t="s">
        <v>221</v>
      </c>
      <c r="Z11" s="70" t="s">
        <v>221</v>
      </c>
      <c r="AA11" s="43" t="s">
        <v>221</v>
      </c>
      <c r="AB11" s="43" t="s">
        <v>221</v>
      </c>
      <c r="AC11" s="43" t="s">
        <v>221</v>
      </c>
      <c r="AD11" s="43" t="s">
        <v>221</v>
      </c>
      <c r="AE11" s="70" t="s">
        <v>221</v>
      </c>
      <c r="AF11" s="43" t="s">
        <v>221</v>
      </c>
      <c r="AG11" s="43" t="s">
        <v>221</v>
      </c>
      <c r="AH11" s="43" t="s">
        <v>221</v>
      </c>
      <c r="AI11" s="43" t="s">
        <v>221</v>
      </c>
      <c r="AJ11" s="70" t="s">
        <v>221</v>
      </c>
      <c r="AK11" s="43" t="s">
        <v>221</v>
      </c>
      <c r="AL11" s="50" t="s">
        <v>221</v>
      </c>
      <c r="AM11" s="48" t="s">
        <v>221</v>
      </c>
      <c r="AN11" s="48" t="s">
        <v>221</v>
      </c>
      <c r="AO11" s="69" t="s">
        <v>221</v>
      </c>
      <c r="AP11" s="42" t="s">
        <v>221</v>
      </c>
      <c r="AQ11" s="50" t="s">
        <v>229</v>
      </c>
      <c r="AR11" s="67">
        <v>16688</v>
      </c>
      <c r="AS11" s="69">
        <v>45065</v>
      </c>
      <c r="AT11" s="62">
        <f t="shared" si="0"/>
        <v>77</v>
      </c>
      <c r="AU11" s="51" t="s">
        <v>347</v>
      </c>
      <c r="AV11" s="42" t="s">
        <v>231</v>
      </c>
      <c r="AW11" s="43" t="s">
        <v>221</v>
      </c>
      <c r="AX11" s="48" t="s">
        <v>221</v>
      </c>
      <c r="AY11" s="48" t="s">
        <v>221</v>
      </c>
      <c r="AZ11" s="48" t="s">
        <v>232</v>
      </c>
      <c r="BA11" s="48" t="s">
        <v>232</v>
      </c>
      <c r="BB11" s="48" t="s">
        <v>348</v>
      </c>
      <c r="BC11" s="49" t="s">
        <v>234</v>
      </c>
      <c r="BD11" s="45" t="s">
        <v>235</v>
      </c>
      <c r="BE11" s="51" t="s">
        <v>236</v>
      </c>
      <c r="BF11" s="42" t="s">
        <v>222</v>
      </c>
      <c r="BG11" s="74" t="s">
        <v>221</v>
      </c>
      <c r="BH11" s="74" t="s">
        <v>221</v>
      </c>
      <c r="BI11" s="74" t="s">
        <v>221</v>
      </c>
      <c r="BJ11" s="74" t="s">
        <v>221</v>
      </c>
      <c r="BK11" s="74" t="s">
        <v>221</v>
      </c>
      <c r="BL11" s="74" t="s">
        <v>221</v>
      </c>
      <c r="BM11" s="74" t="s">
        <v>221</v>
      </c>
      <c r="BN11" s="74" t="s">
        <v>221</v>
      </c>
      <c r="BO11" s="74" t="s">
        <v>221</v>
      </c>
      <c r="BP11" s="74" t="s">
        <v>221</v>
      </c>
      <c r="BQ11" s="74" t="s">
        <v>221</v>
      </c>
      <c r="BR11" s="74" t="s">
        <v>221</v>
      </c>
      <c r="BS11" s="74" t="s">
        <v>221</v>
      </c>
      <c r="BT11" s="74" t="s">
        <v>221</v>
      </c>
      <c r="BU11" s="74" t="s">
        <v>221</v>
      </c>
      <c r="BV11" s="74" t="s">
        <v>221</v>
      </c>
      <c r="BW11" s="74" t="s">
        <v>221</v>
      </c>
      <c r="BX11" s="74" t="s">
        <v>221</v>
      </c>
      <c r="BY11" s="74" t="s">
        <v>221</v>
      </c>
      <c r="BZ11" s="74" t="s">
        <v>221</v>
      </c>
      <c r="CA11" s="74" t="s">
        <v>221</v>
      </c>
      <c r="CB11" s="74" t="s">
        <v>221</v>
      </c>
      <c r="CC11" s="74" t="s">
        <v>221</v>
      </c>
      <c r="CD11" s="74" t="s">
        <v>221</v>
      </c>
      <c r="CE11" s="74" t="s">
        <v>221</v>
      </c>
      <c r="CF11" s="74" t="s">
        <v>221</v>
      </c>
      <c r="CG11" s="74" t="s">
        <v>221</v>
      </c>
      <c r="CH11" s="74" t="s">
        <v>221</v>
      </c>
      <c r="CI11" s="74" t="s">
        <v>221</v>
      </c>
      <c r="CJ11" s="74" t="s">
        <v>221</v>
      </c>
      <c r="CK11" s="74" t="s">
        <v>221</v>
      </c>
      <c r="CL11" s="74" t="s">
        <v>221</v>
      </c>
      <c r="CM11" s="74" t="s">
        <v>221</v>
      </c>
      <c r="CN11" s="44" t="s">
        <v>256</v>
      </c>
      <c r="CO11" s="48" t="s">
        <v>349</v>
      </c>
      <c r="CP11" s="67">
        <v>45103</v>
      </c>
      <c r="CQ11" s="67">
        <v>45112</v>
      </c>
      <c r="CR11" s="48" t="s">
        <v>234</v>
      </c>
      <c r="CS11" s="44" t="s">
        <v>256</v>
      </c>
      <c r="CT11" s="48" t="s">
        <v>286</v>
      </c>
      <c r="CU11" s="48" t="s">
        <v>350</v>
      </c>
      <c r="CV11" s="44" t="s">
        <v>240</v>
      </c>
      <c r="CW11" s="48" t="s">
        <v>351</v>
      </c>
      <c r="CX11" s="48" t="s">
        <v>234</v>
      </c>
      <c r="CY11" s="44" t="s">
        <v>243</v>
      </c>
      <c r="CZ11" s="48" t="s">
        <v>352</v>
      </c>
      <c r="DA11" s="48" t="s">
        <v>350</v>
      </c>
      <c r="DB11" s="44" t="s">
        <v>221</v>
      </c>
      <c r="DC11" s="44" t="s">
        <v>221</v>
      </c>
      <c r="DD11" s="44" t="s">
        <v>221</v>
      </c>
      <c r="DE11" s="44" t="s">
        <v>221</v>
      </c>
      <c r="DF11" s="44" t="s">
        <v>221</v>
      </c>
      <c r="DG11" s="44" t="s">
        <v>221</v>
      </c>
      <c r="DH11" s="44" t="s">
        <v>221</v>
      </c>
      <c r="DI11" s="44" t="s">
        <v>221</v>
      </c>
      <c r="DJ11" s="44" t="s">
        <v>221</v>
      </c>
      <c r="DK11" s="44" t="s">
        <v>221</v>
      </c>
      <c r="DL11" s="44" t="s">
        <v>221</v>
      </c>
      <c r="DM11" s="44" t="s">
        <v>221</v>
      </c>
      <c r="DN11" s="44" t="s">
        <v>221</v>
      </c>
      <c r="DO11" s="44" t="s">
        <v>221</v>
      </c>
      <c r="DP11" s="44" t="s">
        <v>221</v>
      </c>
      <c r="DQ11" s="44" t="s">
        <v>221</v>
      </c>
      <c r="DR11" s="44" t="s">
        <v>221</v>
      </c>
      <c r="DS11" s="44" t="s">
        <v>221</v>
      </c>
      <c r="DT11" s="44" t="s">
        <v>221</v>
      </c>
      <c r="DU11" s="44" t="s">
        <v>221</v>
      </c>
      <c r="DV11" s="44" t="s">
        <v>221</v>
      </c>
      <c r="DW11" s="44" t="s">
        <v>221</v>
      </c>
      <c r="DX11" s="44" t="s">
        <v>221</v>
      </c>
      <c r="DY11" s="44" t="s">
        <v>221</v>
      </c>
      <c r="DZ11" s="44" t="s">
        <v>221</v>
      </c>
      <c r="EA11" s="44" t="s">
        <v>221</v>
      </c>
      <c r="EB11" s="44" t="s">
        <v>221</v>
      </c>
      <c r="EC11" s="44" t="s">
        <v>221</v>
      </c>
      <c r="ED11" s="44" t="s">
        <v>221</v>
      </c>
      <c r="EE11" s="44" t="s">
        <v>221</v>
      </c>
      <c r="EF11" s="44" t="s">
        <v>221</v>
      </c>
      <c r="EG11" s="44" t="s">
        <v>221</v>
      </c>
      <c r="EH11" s="44" t="s">
        <v>221</v>
      </c>
      <c r="EI11" s="67">
        <v>45787</v>
      </c>
      <c r="EJ11" s="48" t="s">
        <v>353</v>
      </c>
      <c r="EK11" s="44" t="s">
        <v>221</v>
      </c>
      <c r="EL11" s="44" t="s">
        <v>221</v>
      </c>
      <c r="EM11" s="44" t="s">
        <v>221</v>
      </c>
      <c r="EN11" s="44" t="s">
        <v>221</v>
      </c>
      <c r="EO11" s="44" t="s">
        <v>221</v>
      </c>
      <c r="EP11" s="44" t="s">
        <v>221</v>
      </c>
      <c r="EQ11" s="44" t="s">
        <v>221</v>
      </c>
      <c r="ER11" s="44" t="s">
        <v>221</v>
      </c>
      <c r="ES11" s="44" t="s">
        <v>221</v>
      </c>
      <c r="ET11" s="44" t="s">
        <v>221</v>
      </c>
      <c r="EU11" s="44" t="s">
        <v>221</v>
      </c>
      <c r="EV11" s="44" t="s">
        <v>221</v>
      </c>
      <c r="EW11" s="44" t="s">
        <v>221</v>
      </c>
      <c r="EX11" s="44" t="s">
        <v>221</v>
      </c>
      <c r="EY11" s="44" t="s">
        <v>221</v>
      </c>
      <c r="EZ11" s="44" t="s">
        <v>221</v>
      </c>
      <c r="FA11" s="44" t="s">
        <v>221</v>
      </c>
      <c r="FB11" s="44" t="s">
        <v>221</v>
      </c>
      <c r="FC11" s="44" t="s">
        <v>221</v>
      </c>
      <c r="FD11" s="44" t="s">
        <v>221</v>
      </c>
      <c r="FE11" s="44" t="s">
        <v>221</v>
      </c>
      <c r="FF11" s="44" t="s">
        <v>221</v>
      </c>
      <c r="FG11" s="44" t="s">
        <v>221</v>
      </c>
      <c r="FH11" s="44" t="s">
        <v>221</v>
      </c>
      <c r="FI11" s="44" t="s">
        <v>221</v>
      </c>
      <c r="FJ11" s="44" t="s">
        <v>221</v>
      </c>
      <c r="FK11" s="44" t="s">
        <v>221</v>
      </c>
      <c r="FL11" s="44" t="s">
        <v>221</v>
      </c>
      <c r="FM11" s="44" t="s">
        <v>221</v>
      </c>
      <c r="FN11" s="44" t="s">
        <v>221</v>
      </c>
      <c r="FO11" s="44" t="s">
        <v>221</v>
      </c>
      <c r="FP11" s="44" t="s">
        <v>221</v>
      </c>
      <c r="FQ11" s="44" t="s">
        <v>221</v>
      </c>
      <c r="FR11" s="44" t="s">
        <v>221</v>
      </c>
      <c r="FS11" s="44" t="s">
        <v>221</v>
      </c>
      <c r="FT11" s="44" t="s">
        <v>221</v>
      </c>
      <c r="FU11" s="44" t="s">
        <v>221</v>
      </c>
      <c r="FV11" s="44" t="s">
        <v>221</v>
      </c>
      <c r="FW11" s="44" t="s">
        <v>221</v>
      </c>
      <c r="FX11" s="44" t="s">
        <v>221</v>
      </c>
      <c r="FY11" s="44" t="s">
        <v>221</v>
      </c>
      <c r="FZ11" s="44" t="s">
        <v>221</v>
      </c>
      <c r="GA11" s="44" t="s">
        <v>221</v>
      </c>
      <c r="GB11" s="44" t="s">
        <v>221</v>
      </c>
      <c r="GC11" s="44" t="s">
        <v>221</v>
      </c>
      <c r="GD11" s="44" t="s">
        <v>221</v>
      </c>
      <c r="GE11" s="44" t="s">
        <v>221</v>
      </c>
      <c r="GF11" s="45" t="s">
        <v>262</v>
      </c>
      <c r="GG11" s="71" t="s">
        <v>221</v>
      </c>
      <c r="GH11" s="71" t="s">
        <v>221</v>
      </c>
      <c r="GI11" s="71" t="s">
        <v>221</v>
      </c>
      <c r="GJ11" s="67">
        <v>46078</v>
      </c>
      <c r="GK11" s="67">
        <v>46078</v>
      </c>
      <c r="GL11" s="67" t="s">
        <v>221</v>
      </c>
      <c r="GM11" s="79" t="str">
        <f t="shared" si="1"/>
        <v>N/A</v>
      </c>
      <c r="GN11" s="79" t="str">
        <f t="shared" si="2"/>
        <v>N/A</v>
      </c>
      <c r="GO11" s="79" t="str">
        <f t="shared" si="3"/>
        <v>N/A</v>
      </c>
      <c r="GP11" s="79" t="str">
        <f t="shared" si="4"/>
        <v>N/A</v>
      </c>
      <c r="GQ11" s="79">
        <f t="shared" si="5"/>
        <v>0.7</v>
      </c>
      <c r="GR11" s="79" t="str">
        <f t="shared" si="6"/>
        <v>N/A</v>
      </c>
      <c r="GS11" s="79" t="str">
        <f t="shared" si="7"/>
        <v>N/A</v>
      </c>
      <c r="GT11" s="79" t="str">
        <f t="shared" si="8"/>
        <v>N/A</v>
      </c>
      <c r="GU11" s="79" t="str">
        <f t="shared" si="9"/>
        <v>N/A</v>
      </c>
      <c r="GV11" s="79" t="str">
        <f t="shared" si="10"/>
        <v>N/A</v>
      </c>
      <c r="GW11" s="79">
        <f t="shared" si="11"/>
        <v>1.2666666666666666</v>
      </c>
      <c r="GX11" s="79">
        <f t="shared" si="12"/>
        <v>1.5666666666666667</v>
      </c>
      <c r="GY11" s="79">
        <f t="shared" si="13"/>
        <v>24.066666666666666</v>
      </c>
      <c r="GZ11" s="79" t="str">
        <f t="shared" si="14"/>
        <v>N/A</v>
      </c>
      <c r="HA11" s="79" t="str">
        <f t="shared" si="15"/>
        <v>N/A</v>
      </c>
      <c r="HB11" s="79">
        <f t="shared" si="16"/>
        <v>24.066666666666666</v>
      </c>
      <c r="HC11" s="79" t="str">
        <f t="shared" si="17"/>
        <v>N/A</v>
      </c>
      <c r="HD11" s="79">
        <f t="shared" si="18"/>
        <v>33.766666666666666</v>
      </c>
      <c r="HE11" s="79">
        <f t="shared" si="19"/>
        <v>33.766666666666666</v>
      </c>
      <c r="HF11" s="80">
        <f t="shared" si="20"/>
        <v>33.766666666666666</v>
      </c>
      <c r="HG11" s="80" cm="1">
        <f t="array" ref="HG11">INDEX($HB11:$HD11,MATCH(TRUE,INDEX(ISNUMBER($HB11:$HD11),0),0))</f>
        <v>24.066666666666666</v>
      </c>
      <c r="HH11" s="77">
        <f t="shared" si="21"/>
        <v>1</v>
      </c>
      <c r="HI11" s="77">
        <f t="shared" si="22"/>
        <v>0</v>
      </c>
      <c r="HJ11" s="77">
        <f t="shared" si="23"/>
        <v>0</v>
      </c>
      <c r="HK11" s="130" t="str">
        <f t="shared" si="24"/>
        <v>1</v>
      </c>
    </row>
    <row r="12" spans="1:219" ht="15" customHeight="1" x14ac:dyDescent="0.3">
      <c r="A12" s="48">
        <v>4406553371</v>
      </c>
      <c r="B12" s="46" t="s">
        <v>222</v>
      </c>
      <c r="C12" s="42" t="s">
        <v>221</v>
      </c>
      <c r="D12" s="43" t="s">
        <v>220</v>
      </c>
      <c r="E12" s="48" t="s">
        <v>221</v>
      </c>
      <c r="F12" s="48" t="s">
        <v>221</v>
      </c>
      <c r="G12" s="48" t="s">
        <v>221</v>
      </c>
      <c r="H12" s="67" t="s">
        <v>221</v>
      </c>
      <c r="I12" s="48" t="s">
        <v>263</v>
      </c>
      <c r="J12" s="48" t="s">
        <v>221</v>
      </c>
      <c r="K12" s="67">
        <v>40726</v>
      </c>
      <c r="L12" s="48" t="s">
        <v>354</v>
      </c>
      <c r="M12" s="48" t="s">
        <v>355</v>
      </c>
      <c r="N12" s="48" t="s">
        <v>356</v>
      </c>
      <c r="O12" s="48" t="s">
        <v>297</v>
      </c>
      <c r="P12" s="69">
        <v>45111</v>
      </c>
      <c r="Q12" s="42" t="s">
        <v>267</v>
      </c>
      <c r="R12" s="50" t="s">
        <v>355</v>
      </c>
      <c r="S12" s="48" t="s">
        <v>357</v>
      </c>
      <c r="T12" s="48" t="s">
        <v>358</v>
      </c>
      <c r="U12" s="69">
        <v>45111</v>
      </c>
      <c r="V12" s="42" t="s">
        <v>267</v>
      </c>
      <c r="W12" s="43" t="s">
        <v>221</v>
      </c>
      <c r="X12" s="43" t="s">
        <v>221</v>
      </c>
      <c r="Y12" s="43" t="s">
        <v>221</v>
      </c>
      <c r="Z12" s="70" t="s">
        <v>221</v>
      </c>
      <c r="AA12" s="43" t="s">
        <v>221</v>
      </c>
      <c r="AB12" s="43" t="s">
        <v>221</v>
      </c>
      <c r="AC12" s="43" t="s">
        <v>221</v>
      </c>
      <c r="AD12" s="43" t="s">
        <v>221</v>
      </c>
      <c r="AE12" s="70" t="s">
        <v>221</v>
      </c>
      <c r="AF12" s="43" t="s">
        <v>221</v>
      </c>
      <c r="AG12" s="43" t="s">
        <v>221</v>
      </c>
      <c r="AH12" s="43" t="s">
        <v>221</v>
      </c>
      <c r="AI12" s="43" t="s">
        <v>221</v>
      </c>
      <c r="AJ12" s="70" t="s">
        <v>221</v>
      </c>
      <c r="AK12" s="43" t="s">
        <v>221</v>
      </c>
      <c r="AL12" s="50" t="s">
        <v>221</v>
      </c>
      <c r="AM12" s="48" t="s">
        <v>221</v>
      </c>
      <c r="AN12" s="48" t="s">
        <v>221</v>
      </c>
      <c r="AO12" s="69" t="s">
        <v>221</v>
      </c>
      <c r="AP12" s="42" t="s">
        <v>221</v>
      </c>
      <c r="AQ12" s="50" t="s">
        <v>229</v>
      </c>
      <c r="AR12" s="67">
        <v>15778</v>
      </c>
      <c r="AS12" s="69">
        <v>40726</v>
      </c>
      <c r="AT12" s="62">
        <f t="shared" si="0"/>
        <v>68</v>
      </c>
      <c r="AU12" s="51" t="s">
        <v>359</v>
      </c>
      <c r="AV12" s="42" t="s">
        <v>270</v>
      </c>
      <c r="AW12" s="43" t="s">
        <v>220</v>
      </c>
      <c r="AX12" s="48" t="s">
        <v>234</v>
      </c>
      <c r="AY12" s="48">
        <v>0</v>
      </c>
      <c r="AZ12" s="48" t="s">
        <v>234</v>
      </c>
      <c r="BA12" s="48" t="s">
        <v>234</v>
      </c>
      <c r="BB12" s="48" t="s">
        <v>360</v>
      </c>
      <c r="BC12" s="49" t="s">
        <v>234</v>
      </c>
      <c r="BD12" s="45" t="s">
        <v>221</v>
      </c>
      <c r="BE12" s="51" t="s">
        <v>234</v>
      </c>
      <c r="BF12" s="42" t="s">
        <v>222</v>
      </c>
      <c r="BG12" s="74" t="s">
        <v>221</v>
      </c>
      <c r="BH12" s="74" t="s">
        <v>221</v>
      </c>
      <c r="BI12" s="74" t="s">
        <v>221</v>
      </c>
      <c r="BJ12" s="74" t="s">
        <v>221</v>
      </c>
      <c r="BK12" s="74" t="s">
        <v>221</v>
      </c>
      <c r="BL12" s="74" t="s">
        <v>221</v>
      </c>
      <c r="BM12" s="74" t="s">
        <v>221</v>
      </c>
      <c r="BN12" s="74" t="s">
        <v>221</v>
      </c>
      <c r="BO12" s="74" t="s">
        <v>221</v>
      </c>
      <c r="BP12" s="74" t="s">
        <v>221</v>
      </c>
      <c r="BQ12" s="74" t="s">
        <v>221</v>
      </c>
      <c r="BR12" s="74" t="s">
        <v>221</v>
      </c>
      <c r="BS12" s="74" t="s">
        <v>221</v>
      </c>
      <c r="BT12" s="74" t="s">
        <v>221</v>
      </c>
      <c r="BU12" s="74" t="s">
        <v>221</v>
      </c>
      <c r="BV12" s="74" t="s">
        <v>221</v>
      </c>
      <c r="BW12" s="74" t="s">
        <v>221</v>
      </c>
      <c r="BX12" s="74" t="s">
        <v>221</v>
      </c>
      <c r="BY12" s="74" t="s">
        <v>221</v>
      </c>
      <c r="BZ12" s="74" t="s">
        <v>221</v>
      </c>
      <c r="CA12" s="74" t="s">
        <v>221</v>
      </c>
      <c r="CB12" s="74" t="s">
        <v>221</v>
      </c>
      <c r="CC12" s="74" t="s">
        <v>221</v>
      </c>
      <c r="CD12" s="74" t="s">
        <v>221</v>
      </c>
      <c r="CE12" s="74" t="s">
        <v>221</v>
      </c>
      <c r="CF12" s="74" t="s">
        <v>221</v>
      </c>
      <c r="CG12" s="74" t="s">
        <v>221</v>
      </c>
      <c r="CH12" s="74" t="s">
        <v>221</v>
      </c>
      <c r="CI12" s="74" t="s">
        <v>221</v>
      </c>
      <c r="CJ12" s="74" t="s">
        <v>221</v>
      </c>
      <c r="CK12" s="74" t="s">
        <v>221</v>
      </c>
      <c r="CL12" s="74" t="s">
        <v>221</v>
      </c>
      <c r="CM12" s="74" t="s">
        <v>221</v>
      </c>
      <c r="CN12" s="44" t="s">
        <v>240</v>
      </c>
      <c r="CO12" s="48" t="s">
        <v>234</v>
      </c>
      <c r="CP12" s="67" t="s">
        <v>234</v>
      </c>
      <c r="CQ12" s="67" t="s">
        <v>234</v>
      </c>
      <c r="CR12" s="48" t="s">
        <v>221</v>
      </c>
      <c r="CS12" s="44" t="s">
        <v>256</v>
      </c>
      <c r="CT12" s="48" t="s">
        <v>361</v>
      </c>
      <c r="CU12" s="48" t="s">
        <v>221</v>
      </c>
      <c r="CV12" s="48" t="s">
        <v>221</v>
      </c>
      <c r="CW12" s="48" t="s">
        <v>221</v>
      </c>
      <c r="CX12" s="48" t="s">
        <v>221</v>
      </c>
      <c r="CY12" s="48" t="s">
        <v>221</v>
      </c>
      <c r="CZ12" s="48" t="s">
        <v>221</v>
      </c>
      <c r="DA12" s="48" t="s">
        <v>221</v>
      </c>
      <c r="DB12" s="48" t="s">
        <v>221</v>
      </c>
      <c r="DC12" s="48" t="s">
        <v>221</v>
      </c>
      <c r="DD12" s="48" t="s">
        <v>221</v>
      </c>
      <c r="DE12" s="48" t="s">
        <v>221</v>
      </c>
      <c r="DF12" s="48" t="s">
        <v>221</v>
      </c>
      <c r="DG12" s="48" t="s">
        <v>221</v>
      </c>
      <c r="DH12" s="48" t="s">
        <v>221</v>
      </c>
      <c r="DI12" s="48" t="s">
        <v>221</v>
      </c>
      <c r="DJ12" s="48" t="s">
        <v>221</v>
      </c>
      <c r="DK12" s="48" t="s">
        <v>221</v>
      </c>
      <c r="DL12" s="48" t="s">
        <v>221</v>
      </c>
      <c r="DM12" s="48" t="s">
        <v>221</v>
      </c>
      <c r="DN12" s="48" t="s">
        <v>221</v>
      </c>
      <c r="DO12" s="48" t="s">
        <v>221</v>
      </c>
      <c r="DP12" s="48" t="s">
        <v>221</v>
      </c>
      <c r="DQ12" s="48" t="s">
        <v>221</v>
      </c>
      <c r="DR12" s="48" t="s">
        <v>221</v>
      </c>
      <c r="DS12" s="48" t="s">
        <v>221</v>
      </c>
      <c r="DT12" s="48" t="s">
        <v>221</v>
      </c>
      <c r="DU12" s="48" t="s">
        <v>221</v>
      </c>
      <c r="DV12" s="48" t="s">
        <v>221</v>
      </c>
      <c r="DW12" s="48" t="s">
        <v>221</v>
      </c>
      <c r="DX12" s="48" t="s">
        <v>221</v>
      </c>
      <c r="DY12" s="48" t="s">
        <v>221</v>
      </c>
      <c r="DZ12" s="48" t="s">
        <v>221</v>
      </c>
      <c r="EA12" s="48" t="s">
        <v>221</v>
      </c>
      <c r="EB12" s="48" t="s">
        <v>221</v>
      </c>
      <c r="EC12" s="48" t="s">
        <v>221</v>
      </c>
      <c r="ED12" s="48" t="s">
        <v>221</v>
      </c>
      <c r="EE12" s="48" t="s">
        <v>221</v>
      </c>
      <c r="EF12" s="48" t="s">
        <v>221</v>
      </c>
      <c r="EG12" s="48" t="s">
        <v>221</v>
      </c>
      <c r="EH12" s="48" t="s">
        <v>221</v>
      </c>
      <c r="EI12" s="67">
        <v>45069</v>
      </c>
      <c r="EJ12" s="48" t="s">
        <v>362</v>
      </c>
      <c r="EK12" s="44" t="s">
        <v>221</v>
      </c>
      <c r="EL12" s="44" t="s">
        <v>221</v>
      </c>
      <c r="EM12" s="44" t="s">
        <v>221</v>
      </c>
      <c r="EN12" s="44" t="s">
        <v>221</v>
      </c>
      <c r="EO12" s="44" t="s">
        <v>221</v>
      </c>
      <c r="EP12" s="44" t="s">
        <v>221</v>
      </c>
      <c r="EQ12" s="44" t="s">
        <v>221</v>
      </c>
      <c r="ER12" s="44" t="s">
        <v>221</v>
      </c>
      <c r="ES12" s="44" t="s">
        <v>221</v>
      </c>
      <c r="ET12" s="44" t="s">
        <v>221</v>
      </c>
      <c r="EU12" s="44" t="s">
        <v>221</v>
      </c>
      <c r="EV12" s="44" t="s">
        <v>221</v>
      </c>
      <c r="EW12" s="44" t="s">
        <v>221</v>
      </c>
      <c r="EX12" s="44" t="s">
        <v>221</v>
      </c>
      <c r="EY12" s="44" t="s">
        <v>221</v>
      </c>
      <c r="EZ12" s="44" t="s">
        <v>221</v>
      </c>
      <c r="FA12" s="44" t="s">
        <v>221</v>
      </c>
      <c r="FB12" s="44" t="s">
        <v>221</v>
      </c>
      <c r="FC12" s="44" t="s">
        <v>221</v>
      </c>
      <c r="FD12" s="44" t="s">
        <v>221</v>
      </c>
      <c r="FE12" s="44" t="s">
        <v>221</v>
      </c>
      <c r="FF12" s="44" t="s">
        <v>221</v>
      </c>
      <c r="FG12" s="44" t="s">
        <v>221</v>
      </c>
      <c r="FH12" s="44" t="s">
        <v>221</v>
      </c>
      <c r="FI12" s="44" t="s">
        <v>221</v>
      </c>
      <c r="FJ12" s="44" t="s">
        <v>221</v>
      </c>
      <c r="FK12" s="44" t="s">
        <v>221</v>
      </c>
      <c r="FL12" s="44" t="s">
        <v>221</v>
      </c>
      <c r="FM12" s="44" t="s">
        <v>221</v>
      </c>
      <c r="FN12" s="44" t="s">
        <v>221</v>
      </c>
      <c r="FO12" s="44" t="s">
        <v>221</v>
      </c>
      <c r="FP12" s="44" t="s">
        <v>221</v>
      </c>
      <c r="FQ12" s="44" t="s">
        <v>221</v>
      </c>
      <c r="FR12" s="44" t="s">
        <v>221</v>
      </c>
      <c r="FS12" s="44" t="s">
        <v>221</v>
      </c>
      <c r="FT12" s="44" t="s">
        <v>221</v>
      </c>
      <c r="FU12" s="44" t="s">
        <v>221</v>
      </c>
      <c r="FV12" s="44" t="s">
        <v>221</v>
      </c>
      <c r="FW12" s="44" t="s">
        <v>221</v>
      </c>
      <c r="FX12" s="44" t="s">
        <v>221</v>
      </c>
      <c r="FY12" s="44" t="s">
        <v>221</v>
      </c>
      <c r="FZ12" s="44" t="s">
        <v>221</v>
      </c>
      <c r="GA12" s="44" t="s">
        <v>221</v>
      </c>
      <c r="GB12" s="44" t="s">
        <v>221</v>
      </c>
      <c r="GC12" s="44" t="s">
        <v>221</v>
      </c>
      <c r="GD12" s="44" t="s">
        <v>221</v>
      </c>
      <c r="GE12" s="44" t="s">
        <v>221</v>
      </c>
      <c r="GF12" s="45" t="s">
        <v>245</v>
      </c>
      <c r="GG12" s="71">
        <v>45414</v>
      </c>
      <c r="GH12" s="42" t="s">
        <v>220</v>
      </c>
      <c r="GI12" s="50" t="s">
        <v>234</v>
      </c>
      <c r="GJ12" s="67">
        <v>45378</v>
      </c>
      <c r="GK12" s="67" t="s">
        <v>221</v>
      </c>
      <c r="GL12" s="67" t="s">
        <v>363</v>
      </c>
      <c r="GM12" s="79" t="str">
        <f t="shared" si="1"/>
        <v>N/A</v>
      </c>
      <c r="GN12" s="79" t="str">
        <f t="shared" si="2"/>
        <v>N/A</v>
      </c>
      <c r="GO12" s="79" t="str">
        <f t="shared" si="3"/>
        <v>N/A</v>
      </c>
      <c r="GP12" s="79">
        <f t="shared" si="4"/>
        <v>0</v>
      </c>
      <c r="GQ12" s="79">
        <f t="shared" si="5"/>
        <v>146.16666666666666</v>
      </c>
      <c r="GR12" s="79">
        <f t="shared" si="6"/>
        <v>146.16666666666666</v>
      </c>
      <c r="GS12" s="79" t="str">
        <f t="shared" si="7"/>
        <v>N/A</v>
      </c>
      <c r="GT12" s="79" t="str">
        <f t="shared" si="8"/>
        <v>N/A</v>
      </c>
      <c r="GU12" s="79" t="str">
        <f t="shared" si="9"/>
        <v>N/A</v>
      </c>
      <c r="GV12" s="79" t="str">
        <f t="shared" si="10"/>
        <v>N/A</v>
      </c>
      <c r="GW12" s="79" t="str">
        <f t="shared" si="11"/>
        <v>N/A</v>
      </c>
      <c r="GX12" s="79" t="str">
        <f t="shared" si="12"/>
        <v>N/A</v>
      </c>
      <c r="GY12" s="79">
        <f t="shared" si="13"/>
        <v>144.76666666666668</v>
      </c>
      <c r="GZ12" s="79" t="str">
        <f t="shared" si="14"/>
        <v>N/A</v>
      </c>
      <c r="HA12" s="79" t="str">
        <f t="shared" si="15"/>
        <v>N/A</v>
      </c>
      <c r="HB12" s="79">
        <f t="shared" si="16"/>
        <v>144.76666666666668</v>
      </c>
      <c r="HC12" s="79">
        <f t="shared" si="17"/>
        <v>156.26666666666668</v>
      </c>
      <c r="HD12" s="79">
        <f t="shared" si="18"/>
        <v>155.06666666666666</v>
      </c>
      <c r="HE12" s="79" t="str">
        <f t="shared" si="19"/>
        <v>N/A</v>
      </c>
      <c r="HF12" s="80">
        <f t="shared" si="20"/>
        <v>156.26666666666668</v>
      </c>
      <c r="HG12" s="80" cm="1">
        <f t="array" ref="HG12">INDEX($HB12:$HD12,MATCH(TRUE,INDEX(ISNUMBER($HB12:$HD12),0),0))</f>
        <v>144.76666666666668</v>
      </c>
      <c r="HH12" s="77">
        <f t="shared" si="21"/>
        <v>1</v>
      </c>
      <c r="HI12" s="77">
        <f t="shared" si="22"/>
        <v>1</v>
      </c>
      <c r="HJ12" s="77">
        <f t="shared" si="23"/>
        <v>1</v>
      </c>
      <c r="HK12" s="130" t="str">
        <f t="shared" si="24"/>
        <v>1</v>
      </c>
    </row>
    <row r="13" spans="1:219" ht="15" customHeight="1" x14ac:dyDescent="0.3">
      <c r="A13" s="48">
        <v>4445569178</v>
      </c>
      <c r="B13" s="46" t="s">
        <v>220</v>
      </c>
      <c r="C13" s="42" t="s">
        <v>221</v>
      </c>
      <c r="D13" s="43" t="s">
        <v>220</v>
      </c>
      <c r="E13" s="48" t="s">
        <v>221</v>
      </c>
      <c r="F13" s="48" t="s">
        <v>221</v>
      </c>
      <c r="G13" s="48" t="s">
        <v>221</v>
      </c>
      <c r="H13" s="67" t="s">
        <v>221</v>
      </c>
      <c r="I13" s="48" t="s">
        <v>364</v>
      </c>
      <c r="J13" s="48" t="s">
        <v>221</v>
      </c>
      <c r="K13" s="67">
        <v>44672</v>
      </c>
      <c r="L13" s="48" t="s">
        <v>365</v>
      </c>
      <c r="M13" s="48" t="s">
        <v>366</v>
      </c>
      <c r="N13" s="48" t="s">
        <v>298</v>
      </c>
      <c r="O13" s="48" t="s">
        <v>367</v>
      </c>
      <c r="P13" s="69">
        <v>45120</v>
      </c>
      <c r="Q13" s="42" t="s">
        <v>267</v>
      </c>
      <c r="R13" s="78" t="s">
        <v>221</v>
      </c>
      <c r="S13" s="78" t="s">
        <v>221</v>
      </c>
      <c r="T13" s="78" t="s">
        <v>221</v>
      </c>
      <c r="U13" s="78" t="s">
        <v>221</v>
      </c>
      <c r="V13" s="78" t="s">
        <v>221</v>
      </c>
      <c r="W13" s="43" t="s">
        <v>221</v>
      </c>
      <c r="X13" s="43" t="s">
        <v>221</v>
      </c>
      <c r="Y13" s="43" t="s">
        <v>221</v>
      </c>
      <c r="Z13" s="70" t="s">
        <v>221</v>
      </c>
      <c r="AA13" s="43" t="s">
        <v>221</v>
      </c>
      <c r="AB13" s="43" t="s">
        <v>221</v>
      </c>
      <c r="AC13" s="43" t="s">
        <v>221</v>
      </c>
      <c r="AD13" s="43" t="s">
        <v>221</v>
      </c>
      <c r="AE13" s="70" t="s">
        <v>221</v>
      </c>
      <c r="AF13" s="43" t="s">
        <v>221</v>
      </c>
      <c r="AG13" s="43" t="s">
        <v>221</v>
      </c>
      <c r="AH13" s="43" t="s">
        <v>221</v>
      </c>
      <c r="AI13" s="43" t="s">
        <v>221</v>
      </c>
      <c r="AJ13" s="70" t="s">
        <v>221</v>
      </c>
      <c r="AK13" s="43" t="s">
        <v>221</v>
      </c>
      <c r="AL13" s="50" t="s">
        <v>221</v>
      </c>
      <c r="AM13" s="48" t="s">
        <v>221</v>
      </c>
      <c r="AN13" s="48" t="s">
        <v>221</v>
      </c>
      <c r="AO13" s="69" t="s">
        <v>221</v>
      </c>
      <c r="AP13" s="42" t="s">
        <v>221</v>
      </c>
      <c r="AQ13" s="50" t="s">
        <v>252</v>
      </c>
      <c r="AR13" s="67">
        <v>18209</v>
      </c>
      <c r="AS13" s="67">
        <v>44672</v>
      </c>
      <c r="AT13" s="62">
        <f t="shared" si="0"/>
        <v>72</v>
      </c>
      <c r="AU13" s="51" t="s">
        <v>368</v>
      </c>
      <c r="AV13" s="42" t="s">
        <v>270</v>
      </c>
      <c r="AW13" s="43" t="s">
        <v>222</v>
      </c>
      <c r="AX13" s="48">
        <v>4</v>
      </c>
      <c r="AY13" s="48">
        <v>0</v>
      </c>
      <c r="AZ13" s="48" t="s">
        <v>234</v>
      </c>
      <c r="BA13" s="48">
        <v>0</v>
      </c>
      <c r="BB13" s="48" t="s">
        <v>369</v>
      </c>
      <c r="BC13" s="49">
        <v>3</v>
      </c>
      <c r="BD13" s="45" t="s">
        <v>235</v>
      </c>
      <c r="BE13" s="51" t="s">
        <v>236</v>
      </c>
      <c r="BF13" s="42" t="s">
        <v>222</v>
      </c>
      <c r="BG13" s="74" t="s">
        <v>221</v>
      </c>
      <c r="BH13" s="74" t="s">
        <v>221</v>
      </c>
      <c r="BI13" s="74" t="s">
        <v>221</v>
      </c>
      <c r="BJ13" s="74" t="s">
        <v>221</v>
      </c>
      <c r="BK13" s="74" t="s">
        <v>221</v>
      </c>
      <c r="BL13" s="74" t="s">
        <v>221</v>
      </c>
      <c r="BM13" s="74" t="s">
        <v>221</v>
      </c>
      <c r="BN13" s="74" t="s">
        <v>221</v>
      </c>
      <c r="BO13" s="74" t="s">
        <v>221</v>
      </c>
      <c r="BP13" s="74" t="s">
        <v>221</v>
      </c>
      <c r="BQ13" s="74" t="s">
        <v>221</v>
      </c>
      <c r="BR13" s="74" t="s">
        <v>221</v>
      </c>
      <c r="BS13" s="74" t="s">
        <v>221</v>
      </c>
      <c r="BT13" s="74" t="s">
        <v>221</v>
      </c>
      <c r="BU13" s="74" t="s">
        <v>221</v>
      </c>
      <c r="BV13" s="74" t="s">
        <v>221</v>
      </c>
      <c r="BW13" s="74" t="s">
        <v>221</v>
      </c>
      <c r="BX13" s="74" t="s">
        <v>221</v>
      </c>
      <c r="BY13" s="74" t="s">
        <v>221</v>
      </c>
      <c r="BZ13" s="74" t="s">
        <v>221</v>
      </c>
      <c r="CA13" s="74" t="s">
        <v>221</v>
      </c>
      <c r="CB13" s="74" t="s">
        <v>221</v>
      </c>
      <c r="CC13" s="74" t="s">
        <v>221</v>
      </c>
      <c r="CD13" s="74" t="s">
        <v>221</v>
      </c>
      <c r="CE13" s="74" t="s">
        <v>221</v>
      </c>
      <c r="CF13" s="74" t="s">
        <v>221</v>
      </c>
      <c r="CG13" s="74" t="s">
        <v>221</v>
      </c>
      <c r="CH13" s="74" t="s">
        <v>221</v>
      </c>
      <c r="CI13" s="74" t="s">
        <v>221</v>
      </c>
      <c r="CJ13" s="74" t="s">
        <v>221</v>
      </c>
      <c r="CK13" s="74" t="s">
        <v>221</v>
      </c>
      <c r="CL13" s="74" t="s">
        <v>221</v>
      </c>
      <c r="CM13" s="74" t="s">
        <v>221</v>
      </c>
      <c r="CN13" s="44" t="s">
        <v>275</v>
      </c>
      <c r="CO13" s="48" t="s">
        <v>370</v>
      </c>
      <c r="CP13" s="67">
        <v>44768</v>
      </c>
      <c r="CQ13" s="67">
        <v>44860</v>
      </c>
      <c r="CR13" s="48" t="s">
        <v>221</v>
      </c>
      <c r="CS13" s="48" t="s">
        <v>221</v>
      </c>
      <c r="CT13" s="48" t="s">
        <v>221</v>
      </c>
      <c r="CU13" s="48" t="s">
        <v>221</v>
      </c>
      <c r="CV13" s="48" t="s">
        <v>221</v>
      </c>
      <c r="CW13" s="48" t="s">
        <v>221</v>
      </c>
      <c r="CX13" s="48" t="s">
        <v>221</v>
      </c>
      <c r="CY13" s="48" t="s">
        <v>221</v>
      </c>
      <c r="CZ13" s="48" t="s">
        <v>221</v>
      </c>
      <c r="DA13" s="48" t="s">
        <v>221</v>
      </c>
      <c r="DB13" s="48" t="s">
        <v>221</v>
      </c>
      <c r="DC13" s="48" t="s">
        <v>221</v>
      </c>
      <c r="DD13" s="48" t="s">
        <v>221</v>
      </c>
      <c r="DE13" s="48" t="s">
        <v>221</v>
      </c>
      <c r="DF13" s="48" t="s">
        <v>221</v>
      </c>
      <c r="DG13" s="48" t="s">
        <v>221</v>
      </c>
      <c r="DH13" s="48" t="s">
        <v>221</v>
      </c>
      <c r="DI13" s="48" t="s">
        <v>221</v>
      </c>
      <c r="DJ13" s="48" t="s">
        <v>221</v>
      </c>
      <c r="DK13" s="48" t="s">
        <v>221</v>
      </c>
      <c r="DL13" s="48" t="s">
        <v>221</v>
      </c>
      <c r="DM13" s="48" t="s">
        <v>221</v>
      </c>
      <c r="DN13" s="48" t="s">
        <v>221</v>
      </c>
      <c r="DO13" s="48" t="s">
        <v>221</v>
      </c>
      <c r="DP13" s="48" t="s">
        <v>221</v>
      </c>
      <c r="DQ13" s="48" t="s">
        <v>221</v>
      </c>
      <c r="DR13" s="48" t="s">
        <v>221</v>
      </c>
      <c r="DS13" s="48" t="s">
        <v>221</v>
      </c>
      <c r="DT13" s="48" t="s">
        <v>221</v>
      </c>
      <c r="DU13" s="48" t="s">
        <v>221</v>
      </c>
      <c r="DV13" s="48" t="s">
        <v>221</v>
      </c>
      <c r="DW13" s="48" t="s">
        <v>221</v>
      </c>
      <c r="DX13" s="48" t="s">
        <v>221</v>
      </c>
      <c r="DY13" s="48" t="s">
        <v>221</v>
      </c>
      <c r="DZ13" s="48" t="s">
        <v>221</v>
      </c>
      <c r="EA13" s="48" t="s">
        <v>221</v>
      </c>
      <c r="EB13" s="48" t="s">
        <v>221</v>
      </c>
      <c r="EC13" s="48" t="s">
        <v>221</v>
      </c>
      <c r="ED13" s="48" t="s">
        <v>221</v>
      </c>
      <c r="EE13" s="48" t="s">
        <v>221</v>
      </c>
      <c r="EF13" s="48" t="s">
        <v>221</v>
      </c>
      <c r="EG13" s="48" t="s">
        <v>221</v>
      </c>
      <c r="EH13" s="48" t="s">
        <v>221</v>
      </c>
      <c r="EI13" s="67">
        <v>45091</v>
      </c>
      <c r="EJ13" s="48" t="s">
        <v>371</v>
      </c>
      <c r="EK13" s="44" t="s">
        <v>240</v>
      </c>
      <c r="EL13" s="48" t="s">
        <v>372</v>
      </c>
      <c r="EM13" s="67">
        <v>45169</v>
      </c>
      <c r="EN13" s="67">
        <v>45182</v>
      </c>
      <c r="EO13" s="48" t="s">
        <v>221</v>
      </c>
      <c r="EP13" s="44" t="s">
        <v>373</v>
      </c>
      <c r="EQ13" s="48" t="s">
        <v>374</v>
      </c>
      <c r="ER13" s="48" t="s">
        <v>239</v>
      </c>
      <c r="ES13" s="44" t="s">
        <v>240</v>
      </c>
      <c r="ET13" s="48" t="s">
        <v>321</v>
      </c>
      <c r="EU13" s="48" t="s">
        <v>234</v>
      </c>
      <c r="EV13" s="44" t="s">
        <v>373</v>
      </c>
      <c r="EW13" s="48" t="s">
        <v>375</v>
      </c>
      <c r="EX13" s="48" t="s">
        <v>350</v>
      </c>
      <c r="EY13" s="44" t="s">
        <v>221</v>
      </c>
      <c r="EZ13" s="44" t="s">
        <v>221</v>
      </c>
      <c r="FA13" s="44" t="s">
        <v>221</v>
      </c>
      <c r="FB13" s="44" t="s">
        <v>221</v>
      </c>
      <c r="FC13" s="44" t="s">
        <v>221</v>
      </c>
      <c r="FD13" s="44" t="s">
        <v>221</v>
      </c>
      <c r="FE13" s="44" t="s">
        <v>221</v>
      </c>
      <c r="FF13" s="44" t="s">
        <v>221</v>
      </c>
      <c r="FG13" s="44" t="s">
        <v>221</v>
      </c>
      <c r="FH13" s="44" t="s">
        <v>221</v>
      </c>
      <c r="FI13" s="44" t="s">
        <v>221</v>
      </c>
      <c r="FJ13" s="44" t="s">
        <v>221</v>
      </c>
      <c r="FK13" s="44" t="s">
        <v>221</v>
      </c>
      <c r="FL13" s="44" t="s">
        <v>221</v>
      </c>
      <c r="FM13" s="44" t="s">
        <v>221</v>
      </c>
      <c r="FN13" s="44" t="s">
        <v>221</v>
      </c>
      <c r="FO13" s="44" t="s">
        <v>221</v>
      </c>
      <c r="FP13" s="44" t="s">
        <v>221</v>
      </c>
      <c r="FQ13" s="44" t="s">
        <v>221</v>
      </c>
      <c r="FR13" s="44" t="s">
        <v>221</v>
      </c>
      <c r="FS13" s="44" t="s">
        <v>221</v>
      </c>
      <c r="FT13" s="44" t="s">
        <v>221</v>
      </c>
      <c r="FU13" s="44" t="s">
        <v>221</v>
      </c>
      <c r="FV13" s="44" t="s">
        <v>221</v>
      </c>
      <c r="FW13" s="44" t="s">
        <v>221</v>
      </c>
      <c r="FX13" s="44" t="s">
        <v>221</v>
      </c>
      <c r="FY13" s="44" t="s">
        <v>221</v>
      </c>
      <c r="FZ13" s="44" t="s">
        <v>221</v>
      </c>
      <c r="GA13" s="44" t="s">
        <v>221</v>
      </c>
      <c r="GB13" s="44" t="s">
        <v>221</v>
      </c>
      <c r="GC13" s="44" t="s">
        <v>221</v>
      </c>
      <c r="GD13" s="44" t="s">
        <v>221</v>
      </c>
      <c r="GE13" s="44" t="s">
        <v>221</v>
      </c>
      <c r="GF13" s="45" t="s">
        <v>245</v>
      </c>
      <c r="GG13" s="71">
        <v>45731</v>
      </c>
      <c r="GH13" s="42" t="s">
        <v>220</v>
      </c>
      <c r="GI13" s="50" t="s">
        <v>234</v>
      </c>
      <c r="GJ13" s="67">
        <v>45636</v>
      </c>
      <c r="GK13" s="67" t="s">
        <v>221</v>
      </c>
      <c r="GL13" s="67" t="s">
        <v>221</v>
      </c>
      <c r="GM13" s="79" t="str">
        <f t="shared" si="1"/>
        <v>N/A</v>
      </c>
      <c r="GN13" s="79" t="str">
        <f t="shared" si="2"/>
        <v>N/A</v>
      </c>
      <c r="GO13" s="79" t="str">
        <f t="shared" si="3"/>
        <v>N/A</v>
      </c>
      <c r="GP13" s="79">
        <f t="shared" si="4"/>
        <v>0</v>
      </c>
      <c r="GQ13" s="79">
        <f t="shared" si="5"/>
        <v>14.933333333333334</v>
      </c>
      <c r="GR13" s="79" t="str">
        <f t="shared" si="6"/>
        <v>N/A</v>
      </c>
      <c r="GS13" s="79" t="str">
        <f t="shared" si="7"/>
        <v>N/A</v>
      </c>
      <c r="GT13" s="79" t="str">
        <f t="shared" si="8"/>
        <v>N/A</v>
      </c>
      <c r="GU13" s="79" t="str">
        <f t="shared" si="9"/>
        <v>N/A</v>
      </c>
      <c r="GV13" s="79" t="str">
        <f t="shared" si="10"/>
        <v>N/A</v>
      </c>
      <c r="GW13" s="79">
        <f t="shared" si="11"/>
        <v>3.2</v>
      </c>
      <c r="GX13" s="79">
        <f t="shared" si="12"/>
        <v>6.2666666666666666</v>
      </c>
      <c r="GY13" s="79">
        <f t="shared" si="13"/>
        <v>13.966666666666667</v>
      </c>
      <c r="GZ13" s="79">
        <f t="shared" si="14"/>
        <v>16.566666666666666</v>
      </c>
      <c r="HA13" s="79">
        <f t="shared" si="15"/>
        <v>17</v>
      </c>
      <c r="HB13" s="79">
        <f t="shared" si="16"/>
        <v>13.966666666666667</v>
      </c>
      <c r="HC13" s="79">
        <f t="shared" si="17"/>
        <v>35.299999999999997</v>
      </c>
      <c r="HD13" s="79">
        <f t="shared" si="18"/>
        <v>32.133333333333333</v>
      </c>
      <c r="HE13" s="79" t="str">
        <f t="shared" si="19"/>
        <v>N/A</v>
      </c>
      <c r="HF13" s="80">
        <f t="shared" si="20"/>
        <v>35.299999999999997</v>
      </c>
      <c r="HG13" s="80" cm="1">
        <f t="array" ref="HG13">INDEX($HB13:$HD13,MATCH(TRUE,INDEX(ISNUMBER($HB13:$HD13),0),0))</f>
        <v>13.966666666666667</v>
      </c>
      <c r="HH13" s="77">
        <f t="shared" si="21"/>
        <v>1</v>
      </c>
      <c r="HI13" s="77">
        <f t="shared" si="22"/>
        <v>1</v>
      </c>
      <c r="HJ13" s="77">
        <f t="shared" si="23"/>
        <v>1</v>
      </c>
      <c r="HK13" s="130" t="str">
        <f t="shared" si="24"/>
        <v>1</v>
      </c>
    </row>
    <row r="14" spans="1:219" ht="15" customHeight="1" x14ac:dyDescent="0.3">
      <c r="A14" s="48">
        <v>4947349018</v>
      </c>
      <c r="B14" s="46" t="s">
        <v>222</v>
      </c>
      <c r="C14" s="42" t="s">
        <v>221</v>
      </c>
      <c r="D14" s="43" t="s">
        <v>222</v>
      </c>
      <c r="E14" s="48" t="s">
        <v>221</v>
      </c>
      <c r="F14" s="48" t="s">
        <v>221</v>
      </c>
      <c r="G14" s="48" t="s">
        <v>221</v>
      </c>
      <c r="H14" s="67" t="s">
        <v>221</v>
      </c>
      <c r="I14" s="48" t="s">
        <v>376</v>
      </c>
      <c r="J14" s="48" t="s">
        <v>221</v>
      </c>
      <c r="K14" s="67" t="s">
        <v>221</v>
      </c>
      <c r="L14" s="48" t="s">
        <v>247</v>
      </c>
      <c r="M14" s="48" t="s">
        <v>377</v>
      </c>
      <c r="N14" s="48" t="s">
        <v>298</v>
      </c>
      <c r="O14" s="48" t="s">
        <v>378</v>
      </c>
      <c r="P14" s="69">
        <v>45154</v>
      </c>
      <c r="Q14" s="42" t="s">
        <v>228</v>
      </c>
      <c r="R14" s="50" t="s">
        <v>377</v>
      </c>
      <c r="S14" s="48" t="s">
        <v>251</v>
      </c>
      <c r="T14" s="48" t="s">
        <v>378</v>
      </c>
      <c r="U14" s="69">
        <v>45154</v>
      </c>
      <c r="V14" s="42" t="s">
        <v>228</v>
      </c>
      <c r="W14" s="43" t="s">
        <v>221</v>
      </c>
      <c r="X14" s="43" t="s">
        <v>221</v>
      </c>
      <c r="Y14" s="43" t="s">
        <v>221</v>
      </c>
      <c r="Z14" s="70" t="s">
        <v>221</v>
      </c>
      <c r="AA14" s="43" t="s">
        <v>221</v>
      </c>
      <c r="AB14" s="43" t="s">
        <v>221</v>
      </c>
      <c r="AC14" s="43" t="s">
        <v>221</v>
      </c>
      <c r="AD14" s="43" t="s">
        <v>221</v>
      </c>
      <c r="AE14" s="70" t="s">
        <v>221</v>
      </c>
      <c r="AF14" s="43" t="s">
        <v>221</v>
      </c>
      <c r="AG14" s="43" t="s">
        <v>221</v>
      </c>
      <c r="AH14" s="43" t="s">
        <v>221</v>
      </c>
      <c r="AI14" s="43" t="s">
        <v>221</v>
      </c>
      <c r="AJ14" s="70" t="s">
        <v>221</v>
      </c>
      <c r="AK14" s="43" t="s">
        <v>221</v>
      </c>
      <c r="AL14" s="50" t="s">
        <v>221</v>
      </c>
      <c r="AM14" s="48" t="s">
        <v>221</v>
      </c>
      <c r="AN14" s="48" t="s">
        <v>221</v>
      </c>
      <c r="AO14" s="69" t="s">
        <v>221</v>
      </c>
      <c r="AP14" s="42" t="s">
        <v>221</v>
      </c>
      <c r="AQ14" s="50" t="s">
        <v>252</v>
      </c>
      <c r="AR14" s="67">
        <v>17066</v>
      </c>
      <c r="AS14" s="69">
        <v>45154</v>
      </c>
      <c r="AT14" s="62">
        <f t="shared" si="0"/>
        <v>76</v>
      </c>
      <c r="AU14" s="51" t="s">
        <v>379</v>
      </c>
      <c r="AV14" s="42" t="s">
        <v>231</v>
      </c>
      <c r="AW14" s="43" t="s">
        <v>221</v>
      </c>
      <c r="AX14" s="48" t="s">
        <v>221</v>
      </c>
      <c r="AY14" s="48" t="s">
        <v>221</v>
      </c>
      <c r="AZ14" s="48" t="s">
        <v>232</v>
      </c>
      <c r="BA14" s="48" t="s">
        <v>232</v>
      </c>
      <c r="BB14" s="48" t="s">
        <v>380</v>
      </c>
      <c r="BC14" s="49" t="s">
        <v>234</v>
      </c>
      <c r="BD14" s="45" t="s">
        <v>235</v>
      </c>
      <c r="BE14" s="51" t="s">
        <v>236</v>
      </c>
      <c r="BF14" s="42" t="s">
        <v>220</v>
      </c>
      <c r="BG14" s="74" t="s">
        <v>221</v>
      </c>
      <c r="BH14" s="44" t="s">
        <v>256</v>
      </c>
      <c r="BI14" s="48" t="s">
        <v>381</v>
      </c>
      <c r="BJ14" s="67">
        <v>45237</v>
      </c>
      <c r="BK14" s="71">
        <v>45362</v>
      </c>
      <c r="BL14" s="48" t="s">
        <v>382</v>
      </c>
      <c r="BM14" s="44" t="s">
        <v>240</v>
      </c>
      <c r="BN14" s="48" t="s">
        <v>383</v>
      </c>
      <c r="BO14" s="48" t="s">
        <v>221</v>
      </c>
      <c r="BP14" s="44" t="s">
        <v>256</v>
      </c>
      <c r="BQ14" s="48" t="s">
        <v>384</v>
      </c>
      <c r="BR14" s="48" t="s">
        <v>239</v>
      </c>
      <c r="BS14" s="44" t="s">
        <v>221</v>
      </c>
      <c r="BT14" s="44" t="s">
        <v>221</v>
      </c>
      <c r="BU14" s="44" t="s">
        <v>221</v>
      </c>
      <c r="BV14" s="44" t="s">
        <v>221</v>
      </c>
      <c r="BW14" s="44" t="s">
        <v>221</v>
      </c>
      <c r="BX14" s="44" t="s">
        <v>221</v>
      </c>
      <c r="BY14" s="44" t="s">
        <v>221</v>
      </c>
      <c r="BZ14" s="44" t="s">
        <v>221</v>
      </c>
      <c r="CA14" s="44" t="s">
        <v>221</v>
      </c>
      <c r="CB14" s="44" t="s">
        <v>221</v>
      </c>
      <c r="CC14" s="44" t="s">
        <v>221</v>
      </c>
      <c r="CD14" s="44" t="s">
        <v>221</v>
      </c>
      <c r="CE14" s="44" t="s">
        <v>221</v>
      </c>
      <c r="CF14" s="44" t="s">
        <v>221</v>
      </c>
      <c r="CG14" s="44" t="s">
        <v>221</v>
      </c>
      <c r="CH14" s="44" t="s">
        <v>221</v>
      </c>
      <c r="CI14" s="44" t="s">
        <v>221</v>
      </c>
      <c r="CJ14" s="44" t="s">
        <v>221</v>
      </c>
      <c r="CK14" s="44" t="s">
        <v>221</v>
      </c>
      <c r="CL14" s="44" t="s">
        <v>221</v>
      </c>
      <c r="CM14" s="44" t="s">
        <v>221</v>
      </c>
      <c r="CN14" s="44" t="s">
        <v>221</v>
      </c>
      <c r="CO14" s="44" t="s">
        <v>221</v>
      </c>
      <c r="CP14" s="44" t="s">
        <v>221</v>
      </c>
      <c r="CQ14" s="44" t="s">
        <v>221</v>
      </c>
      <c r="CR14" s="44" t="s">
        <v>221</v>
      </c>
      <c r="CS14" s="44" t="s">
        <v>221</v>
      </c>
      <c r="CT14" s="44" t="s">
        <v>221</v>
      </c>
      <c r="CU14" s="44" t="s">
        <v>221</v>
      </c>
      <c r="CV14" s="44" t="s">
        <v>221</v>
      </c>
      <c r="CW14" s="44" t="s">
        <v>221</v>
      </c>
      <c r="CX14" s="44" t="s">
        <v>221</v>
      </c>
      <c r="CY14" s="44" t="s">
        <v>221</v>
      </c>
      <c r="CZ14" s="44" t="s">
        <v>221</v>
      </c>
      <c r="DA14" s="44" t="s">
        <v>221</v>
      </c>
      <c r="DB14" s="44" t="s">
        <v>221</v>
      </c>
      <c r="DC14" s="44" t="s">
        <v>221</v>
      </c>
      <c r="DD14" s="44" t="s">
        <v>221</v>
      </c>
      <c r="DE14" s="44" t="s">
        <v>221</v>
      </c>
      <c r="DF14" s="44" t="s">
        <v>221</v>
      </c>
      <c r="DG14" s="44" t="s">
        <v>221</v>
      </c>
      <c r="DH14" s="44" t="s">
        <v>221</v>
      </c>
      <c r="DI14" s="44" t="s">
        <v>221</v>
      </c>
      <c r="DJ14" s="44" t="s">
        <v>221</v>
      </c>
      <c r="DK14" s="44" t="s">
        <v>221</v>
      </c>
      <c r="DL14" s="44" t="s">
        <v>221</v>
      </c>
      <c r="DM14" s="44" t="s">
        <v>221</v>
      </c>
      <c r="DN14" s="44" t="s">
        <v>221</v>
      </c>
      <c r="DO14" s="44" t="s">
        <v>221</v>
      </c>
      <c r="DP14" s="44" t="s">
        <v>221</v>
      </c>
      <c r="DQ14" s="44" t="s">
        <v>221</v>
      </c>
      <c r="DR14" s="44" t="s">
        <v>221</v>
      </c>
      <c r="DS14" s="44" t="s">
        <v>221</v>
      </c>
      <c r="DT14" s="44" t="s">
        <v>221</v>
      </c>
      <c r="DU14" s="44" t="s">
        <v>221</v>
      </c>
      <c r="DV14" s="44" t="s">
        <v>221</v>
      </c>
      <c r="DW14" s="44" t="s">
        <v>221</v>
      </c>
      <c r="DX14" s="44" t="s">
        <v>221</v>
      </c>
      <c r="DY14" s="44" t="s">
        <v>221</v>
      </c>
      <c r="DZ14" s="44" t="s">
        <v>221</v>
      </c>
      <c r="EA14" s="44" t="s">
        <v>221</v>
      </c>
      <c r="EB14" s="44" t="s">
        <v>221</v>
      </c>
      <c r="EC14" s="44" t="s">
        <v>221</v>
      </c>
      <c r="ED14" s="44" t="s">
        <v>221</v>
      </c>
      <c r="EE14" s="44" t="s">
        <v>221</v>
      </c>
      <c r="EF14" s="44" t="s">
        <v>221</v>
      </c>
      <c r="EG14" s="44" t="s">
        <v>221</v>
      </c>
      <c r="EH14" s="44" t="s">
        <v>221</v>
      </c>
      <c r="EI14" s="67">
        <v>45314</v>
      </c>
      <c r="EJ14" s="48" t="s">
        <v>385</v>
      </c>
      <c r="EK14" s="44" t="s">
        <v>240</v>
      </c>
      <c r="EL14" s="48" t="s">
        <v>386</v>
      </c>
      <c r="EM14" s="67">
        <v>45320</v>
      </c>
      <c r="EN14" s="67">
        <v>45320</v>
      </c>
      <c r="EO14" s="48" t="s">
        <v>234</v>
      </c>
      <c r="EP14" s="44" t="s">
        <v>221</v>
      </c>
      <c r="EQ14" s="44" t="s">
        <v>221</v>
      </c>
      <c r="ER14" s="44" t="s">
        <v>221</v>
      </c>
      <c r="ES14" s="44" t="s">
        <v>221</v>
      </c>
      <c r="ET14" s="44" t="s">
        <v>221</v>
      </c>
      <c r="EU14" s="44" t="s">
        <v>221</v>
      </c>
      <c r="EV14" s="44" t="s">
        <v>221</v>
      </c>
      <c r="EW14" s="44" t="s">
        <v>221</v>
      </c>
      <c r="EX14" s="44" t="s">
        <v>221</v>
      </c>
      <c r="EY14" s="44" t="s">
        <v>221</v>
      </c>
      <c r="EZ14" s="44" t="s">
        <v>221</v>
      </c>
      <c r="FA14" s="44" t="s">
        <v>221</v>
      </c>
      <c r="FB14" s="44" t="s">
        <v>221</v>
      </c>
      <c r="FC14" s="44" t="s">
        <v>221</v>
      </c>
      <c r="FD14" s="44" t="s">
        <v>221</v>
      </c>
      <c r="FE14" s="44" t="s">
        <v>221</v>
      </c>
      <c r="FF14" s="44" t="s">
        <v>221</v>
      </c>
      <c r="FG14" s="44" t="s">
        <v>221</v>
      </c>
      <c r="FH14" s="44" t="s">
        <v>221</v>
      </c>
      <c r="FI14" s="44" t="s">
        <v>221</v>
      </c>
      <c r="FJ14" s="44" t="s">
        <v>221</v>
      </c>
      <c r="FK14" s="44" t="s">
        <v>221</v>
      </c>
      <c r="FL14" s="44" t="s">
        <v>221</v>
      </c>
      <c r="FM14" s="44" t="s">
        <v>221</v>
      </c>
      <c r="FN14" s="44" t="s">
        <v>221</v>
      </c>
      <c r="FO14" s="44" t="s">
        <v>221</v>
      </c>
      <c r="FP14" s="44" t="s">
        <v>221</v>
      </c>
      <c r="FQ14" s="44" t="s">
        <v>221</v>
      </c>
      <c r="FR14" s="44" t="s">
        <v>221</v>
      </c>
      <c r="FS14" s="44" t="s">
        <v>221</v>
      </c>
      <c r="FT14" s="44" t="s">
        <v>221</v>
      </c>
      <c r="FU14" s="44" t="s">
        <v>221</v>
      </c>
      <c r="FV14" s="44" t="s">
        <v>221</v>
      </c>
      <c r="FW14" s="44" t="s">
        <v>221</v>
      </c>
      <c r="FX14" s="44" t="s">
        <v>221</v>
      </c>
      <c r="FY14" s="44" t="s">
        <v>221</v>
      </c>
      <c r="FZ14" s="44" t="s">
        <v>221</v>
      </c>
      <c r="GA14" s="44" t="s">
        <v>221</v>
      </c>
      <c r="GB14" s="44" t="s">
        <v>221</v>
      </c>
      <c r="GC14" s="44" t="s">
        <v>221</v>
      </c>
      <c r="GD14" s="44" t="s">
        <v>221</v>
      </c>
      <c r="GE14" s="44" t="s">
        <v>221</v>
      </c>
      <c r="GF14" s="45" t="s">
        <v>245</v>
      </c>
      <c r="GG14" s="71">
        <v>45362</v>
      </c>
      <c r="GH14" s="42" t="s">
        <v>220</v>
      </c>
      <c r="GI14" s="50" t="s">
        <v>234</v>
      </c>
      <c r="GJ14" s="67">
        <v>45335</v>
      </c>
      <c r="GK14" s="67" t="s">
        <v>221</v>
      </c>
      <c r="GL14" s="67" t="s">
        <v>387</v>
      </c>
      <c r="GM14" s="79">
        <f t="shared" si="1"/>
        <v>2.7666666666666666</v>
      </c>
      <c r="GN14" s="79">
        <f t="shared" si="2"/>
        <v>6.9333333333333336</v>
      </c>
      <c r="GO14" s="79" t="str">
        <f t="shared" si="3"/>
        <v>N/A</v>
      </c>
      <c r="GP14" s="79" t="str">
        <f t="shared" si="4"/>
        <v>N/A</v>
      </c>
      <c r="GQ14" s="79">
        <f t="shared" si="5"/>
        <v>0</v>
      </c>
      <c r="GR14" s="79">
        <f t="shared" si="6"/>
        <v>0</v>
      </c>
      <c r="GS14" s="79" t="str">
        <f t="shared" si="7"/>
        <v>N/A</v>
      </c>
      <c r="GT14" s="79" t="str">
        <f t="shared" si="8"/>
        <v>N/A</v>
      </c>
      <c r="GU14" s="79" t="str">
        <f t="shared" si="9"/>
        <v>N/A</v>
      </c>
      <c r="GV14" s="79" t="str">
        <f t="shared" si="10"/>
        <v>N/A</v>
      </c>
      <c r="GW14" s="79" t="str">
        <f t="shared" si="11"/>
        <v>N/A</v>
      </c>
      <c r="GX14" s="79" t="str">
        <f t="shared" si="12"/>
        <v>N/A</v>
      </c>
      <c r="GY14" s="79">
        <f t="shared" si="13"/>
        <v>5.333333333333333</v>
      </c>
      <c r="GZ14" s="79">
        <f t="shared" si="14"/>
        <v>5.5333333333333332</v>
      </c>
      <c r="HA14" s="79">
        <f t="shared" si="15"/>
        <v>5.5333333333333332</v>
      </c>
      <c r="HB14" s="79">
        <f t="shared" si="16"/>
        <v>5.333333333333333</v>
      </c>
      <c r="HC14" s="79">
        <f t="shared" si="17"/>
        <v>6.9333333333333336</v>
      </c>
      <c r="HD14" s="79">
        <f t="shared" si="18"/>
        <v>6.0333333333333332</v>
      </c>
      <c r="HE14" s="79" t="str">
        <f t="shared" si="19"/>
        <v>N/A</v>
      </c>
      <c r="HF14" s="80">
        <f t="shared" si="20"/>
        <v>6.9333333333333336</v>
      </c>
      <c r="HG14" s="80" cm="1">
        <f t="array" ref="HG14">INDEX($HB14:$HD14,MATCH(TRUE,INDEX(ISNUMBER($HB14:$HD14),0),0))</f>
        <v>5.333333333333333</v>
      </c>
      <c r="HH14" s="77">
        <f t="shared" si="21"/>
        <v>1</v>
      </c>
      <c r="HI14" s="77">
        <f t="shared" si="22"/>
        <v>1</v>
      </c>
      <c r="HJ14" s="77">
        <f t="shared" si="23"/>
        <v>1</v>
      </c>
      <c r="HK14" s="130" t="str">
        <f t="shared" si="24"/>
        <v>1</v>
      </c>
    </row>
    <row r="15" spans="1:219" ht="15" customHeight="1" x14ac:dyDescent="0.3">
      <c r="A15" s="48">
        <v>4507901820</v>
      </c>
      <c r="B15" s="46" t="s">
        <v>222</v>
      </c>
      <c r="C15" s="42" t="s">
        <v>221</v>
      </c>
      <c r="D15" s="43" t="s">
        <v>222</v>
      </c>
      <c r="E15" s="48" t="s">
        <v>221</v>
      </c>
      <c r="F15" s="48" t="s">
        <v>221</v>
      </c>
      <c r="G15" s="48" t="s">
        <v>221</v>
      </c>
      <c r="H15" s="67" t="s">
        <v>221</v>
      </c>
      <c r="I15" s="48" t="s">
        <v>388</v>
      </c>
      <c r="J15" s="48" t="s">
        <v>221</v>
      </c>
      <c r="K15" s="67" t="s">
        <v>221</v>
      </c>
      <c r="L15" s="48" t="s">
        <v>389</v>
      </c>
      <c r="M15" s="48" t="s">
        <v>390</v>
      </c>
      <c r="N15" s="48" t="s">
        <v>251</v>
      </c>
      <c r="O15" s="48" t="s">
        <v>250</v>
      </c>
      <c r="P15" s="69">
        <v>45257</v>
      </c>
      <c r="Q15" s="42" t="s">
        <v>228</v>
      </c>
      <c r="R15" s="50" t="s">
        <v>390</v>
      </c>
      <c r="S15" s="48" t="s">
        <v>309</v>
      </c>
      <c r="T15" s="48" t="s">
        <v>250</v>
      </c>
      <c r="U15" s="69">
        <v>45257</v>
      </c>
      <c r="V15" s="42" t="s">
        <v>228</v>
      </c>
      <c r="W15" s="43" t="s">
        <v>221</v>
      </c>
      <c r="X15" s="43" t="s">
        <v>221</v>
      </c>
      <c r="Y15" s="43" t="s">
        <v>221</v>
      </c>
      <c r="Z15" s="70" t="s">
        <v>221</v>
      </c>
      <c r="AA15" s="43" t="s">
        <v>221</v>
      </c>
      <c r="AB15" s="43" t="s">
        <v>221</v>
      </c>
      <c r="AC15" s="43" t="s">
        <v>221</v>
      </c>
      <c r="AD15" s="43" t="s">
        <v>221</v>
      </c>
      <c r="AE15" s="70" t="s">
        <v>221</v>
      </c>
      <c r="AF15" s="43" t="s">
        <v>221</v>
      </c>
      <c r="AG15" s="43" t="s">
        <v>221</v>
      </c>
      <c r="AH15" s="43" t="s">
        <v>221</v>
      </c>
      <c r="AI15" s="43" t="s">
        <v>221</v>
      </c>
      <c r="AJ15" s="70" t="s">
        <v>221</v>
      </c>
      <c r="AK15" s="43" t="s">
        <v>221</v>
      </c>
      <c r="AL15" s="50" t="s">
        <v>221</v>
      </c>
      <c r="AM15" s="48" t="s">
        <v>221</v>
      </c>
      <c r="AN15" s="48" t="s">
        <v>221</v>
      </c>
      <c r="AO15" s="69" t="s">
        <v>221</v>
      </c>
      <c r="AP15" s="42" t="s">
        <v>221</v>
      </c>
      <c r="AQ15" s="50" t="s">
        <v>229</v>
      </c>
      <c r="AR15" s="67">
        <v>17218</v>
      </c>
      <c r="AS15" s="69">
        <v>45257</v>
      </c>
      <c r="AT15" s="62">
        <f t="shared" si="0"/>
        <v>76</v>
      </c>
      <c r="AU15" s="51" t="s">
        <v>391</v>
      </c>
      <c r="AV15" s="42" t="s">
        <v>231</v>
      </c>
      <c r="AW15" s="43" t="s">
        <v>221</v>
      </c>
      <c r="AX15" s="48" t="s">
        <v>221</v>
      </c>
      <c r="AY15" s="48" t="s">
        <v>221</v>
      </c>
      <c r="AZ15" s="48" t="s">
        <v>232</v>
      </c>
      <c r="BA15" s="48" t="s">
        <v>392</v>
      </c>
      <c r="BB15" s="48" t="s">
        <v>393</v>
      </c>
      <c r="BC15" s="49" t="s">
        <v>234</v>
      </c>
      <c r="BD15" s="45" t="s">
        <v>235</v>
      </c>
      <c r="BE15" s="51" t="s">
        <v>394</v>
      </c>
      <c r="BF15" s="42" t="s">
        <v>220</v>
      </c>
      <c r="BG15" s="74" t="s">
        <v>221</v>
      </c>
      <c r="BH15" s="44" t="s">
        <v>243</v>
      </c>
      <c r="BI15" s="48" t="s">
        <v>395</v>
      </c>
      <c r="BJ15" s="67">
        <v>45296</v>
      </c>
      <c r="BK15" s="71">
        <v>45875</v>
      </c>
      <c r="BL15" s="48" t="s">
        <v>382</v>
      </c>
      <c r="BM15" s="44" t="s">
        <v>221</v>
      </c>
      <c r="BN15" s="44" t="s">
        <v>221</v>
      </c>
      <c r="BO15" s="44" t="s">
        <v>221</v>
      </c>
      <c r="BP15" s="44" t="s">
        <v>221</v>
      </c>
      <c r="BQ15" s="44" t="s">
        <v>221</v>
      </c>
      <c r="BR15" s="44" t="s">
        <v>221</v>
      </c>
      <c r="BS15" s="44" t="s">
        <v>221</v>
      </c>
      <c r="BT15" s="44" t="s">
        <v>221</v>
      </c>
      <c r="BU15" s="44" t="s">
        <v>221</v>
      </c>
      <c r="BV15" s="44" t="s">
        <v>221</v>
      </c>
      <c r="BW15" s="44" t="s">
        <v>221</v>
      </c>
      <c r="BX15" s="44" t="s">
        <v>221</v>
      </c>
      <c r="BY15" s="44" t="s">
        <v>221</v>
      </c>
      <c r="BZ15" s="44" t="s">
        <v>221</v>
      </c>
      <c r="CA15" s="44" t="s">
        <v>221</v>
      </c>
      <c r="CB15" s="44" t="s">
        <v>221</v>
      </c>
      <c r="CC15" s="44" t="s">
        <v>221</v>
      </c>
      <c r="CD15" s="44" t="s">
        <v>221</v>
      </c>
      <c r="CE15" s="44" t="s">
        <v>221</v>
      </c>
      <c r="CF15" s="44" t="s">
        <v>221</v>
      </c>
      <c r="CG15" s="44" t="s">
        <v>221</v>
      </c>
      <c r="CH15" s="44" t="s">
        <v>221</v>
      </c>
      <c r="CI15" s="44" t="s">
        <v>221</v>
      </c>
      <c r="CJ15" s="44" t="s">
        <v>221</v>
      </c>
      <c r="CK15" s="44" t="s">
        <v>221</v>
      </c>
      <c r="CL15" s="44" t="s">
        <v>221</v>
      </c>
      <c r="CM15" s="44" t="s">
        <v>221</v>
      </c>
      <c r="CN15" s="44" t="s">
        <v>221</v>
      </c>
      <c r="CO15" s="44" t="s">
        <v>221</v>
      </c>
      <c r="CP15" s="44" t="s">
        <v>221</v>
      </c>
      <c r="CQ15" s="44" t="s">
        <v>221</v>
      </c>
      <c r="CR15" s="44" t="s">
        <v>221</v>
      </c>
      <c r="CS15" s="44" t="s">
        <v>221</v>
      </c>
      <c r="CT15" s="44" t="s">
        <v>221</v>
      </c>
      <c r="CU15" s="44" t="s">
        <v>221</v>
      </c>
      <c r="CV15" s="44" t="s">
        <v>221</v>
      </c>
      <c r="CW15" s="44" t="s">
        <v>221</v>
      </c>
      <c r="CX15" s="44" t="s">
        <v>221</v>
      </c>
      <c r="CY15" s="44" t="s">
        <v>221</v>
      </c>
      <c r="CZ15" s="44" t="s">
        <v>221</v>
      </c>
      <c r="DA15" s="44" t="s">
        <v>221</v>
      </c>
      <c r="DB15" s="44" t="s">
        <v>221</v>
      </c>
      <c r="DC15" s="44" t="s">
        <v>221</v>
      </c>
      <c r="DD15" s="44" t="s">
        <v>221</v>
      </c>
      <c r="DE15" s="44" t="s">
        <v>221</v>
      </c>
      <c r="DF15" s="44" t="s">
        <v>221</v>
      </c>
      <c r="DG15" s="44" t="s">
        <v>221</v>
      </c>
      <c r="DH15" s="44" t="s">
        <v>221</v>
      </c>
      <c r="DI15" s="44" t="s">
        <v>221</v>
      </c>
      <c r="DJ15" s="44" t="s">
        <v>221</v>
      </c>
      <c r="DK15" s="44" t="s">
        <v>221</v>
      </c>
      <c r="DL15" s="44" t="s">
        <v>221</v>
      </c>
      <c r="DM15" s="44" t="s">
        <v>221</v>
      </c>
      <c r="DN15" s="44" t="s">
        <v>221</v>
      </c>
      <c r="DO15" s="44" t="s">
        <v>221</v>
      </c>
      <c r="DP15" s="44" t="s">
        <v>221</v>
      </c>
      <c r="DQ15" s="44" t="s">
        <v>221</v>
      </c>
      <c r="DR15" s="44" t="s">
        <v>221</v>
      </c>
      <c r="DS15" s="44" t="s">
        <v>221</v>
      </c>
      <c r="DT15" s="44" t="s">
        <v>221</v>
      </c>
      <c r="DU15" s="44" t="s">
        <v>221</v>
      </c>
      <c r="DV15" s="44" t="s">
        <v>221</v>
      </c>
      <c r="DW15" s="44" t="s">
        <v>221</v>
      </c>
      <c r="DX15" s="44" t="s">
        <v>221</v>
      </c>
      <c r="DY15" s="44" t="s">
        <v>221</v>
      </c>
      <c r="DZ15" s="44" t="s">
        <v>221</v>
      </c>
      <c r="EA15" s="44" t="s">
        <v>221</v>
      </c>
      <c r="EB15" s="44" t="s">
        <v>221</v>
      </c>
      <c r="EC15" s="44" t="s">
        <v>221</v>
      </c>
      <c r="ED15" s="44" t="s">
        <v>221</v>
      </c>
      <c r="EE15" s="44" t="s">
        <v>221</v>
      </c>
      <c r="EF15" s="44" t="s">
        <v>221</v>
      </c>
      <c r="EG15" s="44" t="s">
        <v>221</v>
      </c>
      <c r="EH15" s="44" t="s">
        <v>221</v>
      </c>
      <c r="EI15" s="67">
        <v>45795</v>
      </c>
      <c r="EJ15" s="48" t="s">
        <v>396</v>
      </c>
      <c r="EK15" s="44" t="s">
        <v>221</v>
      </c>
      <c r="EL15" s="44" t="s">
        <v>221</v>
      </c>
      <c r="EM15" s="44" t="s">
        <v>221</v>
      </c>
      <c r="EN15" s="44" t="s">
        <v>221</v>
      </c>
      <c r="EO15" s="44" t="s">
        <v>221</v>
      </c>
      <c r="EP15" s="44" t="s">
        <v>221</v>
      </c>
      <c r="EQ15" s="44" t="s">
        <v>221</v>
      </c>
      <c r="ER15" s="44" t="s">
        <v>221</v>
      </c>
      <c r="ES15" s="44" t="s">
        <v>221</v>
      </c>
      <c r="ET15" s="44" t="s">
        <v>221</v>
      </c>
      <c r="EU15" s="44" t="s">
        <v>221</v>
      </c>
      <c r="EV15" s="44" t="s">
        <v>221</v>
      </c>
      <c r="EW15" s="44" t="s">
        <v>221</v>
      </c>
      <c r="EX15" s="44" t="s">
        <v>221</v>
      </c>
      <c r="EY15" s="44" t="s">
        <v>221</v>
      </c>
      <c r="EZ15" s="44" t="s">
        <v>221</v>
      </c>
      <c r="FA15" s="44" t="s">
        <v>221</v>
      </c>
      <c r="FB15" s="44" t="s">
        <v>221</v>
      </c>
      <c r="FC15" s="44" t="s">
        <v>221</v>
      </c>
      <c r="FD15" s="44" t="s">
        <v>221</v>
      </c>
      <c r="FE15" s="44" t="s">
        <v>221</v>
      </c>
      <c r="FF15" s="44" t="s">
        <v>221</v>
      </c>
      <c r="FG15" s="44" t="s">
        <v>221</v>
      </c>
      <c r="FH15" s="44" t="s">
        <v>221</v>
      </c>
      <c r="FI15" s="44" t="s">
        <v>221</v>
      </c>
      <c r="FJ15" s="44" t="s">
        <v>221</v>
      </c>
      <c r="FK15" s="44" t="s">
        <v>221</v>
      </c>
      <c r="FL15" s="44" t="s">
        <v>221</v>
      </c>
      <c r="FM15" s="44" t="s">
        <v>221</v>
      </c>
      <c r="FN15" s="44" t="s">
        <v>221</v>
      </c>
      <c r="FO15" s="44" t="s">
        <v>221</v>
      </c>
      <c r="FP15" s="44" t="s">
        <v>221</v>
      </c>
      <c r="FQ15" s="44" t="s">
        <v>221</v>
      </c>
      <c r="FR15" s="44" t="s">
        <v>221</v>
      </c>
      <c r="FS15" s="44" t="s">
        <v>221</v>
      </c>
      <c r="FT15" s="44" t="s">
        <v>221</v>
      </c>
      <c r="FU15" s="44" t="s">
        <v>221</v>
      </c>
      <c r="FV15" s="44" t="s">
        <v>221</v>
      </c>
      <c r="FW15" s="44" t="s">
        <v>221</v>
      </c>
      <c r="FX15" s="44" t="s">
        <v>221</v>
      </c>
      <c r="FY15" s="44" t="s">
        <v>221</v>
      </c>
      <c r="FZ15" s="44" t="s">
        <v>221</v>
      </c>
      <c r="GA15" s="44" t="s">
        <v>221</v>
      </c>
      <c r="GB15" s="44" t="s">
        <v>221</v>
      </c>
      <c r="GC15" s="44" t="s">
        <v>221</v>
      </c>
      <c r="GD15" s="44" t="s">
        <v>221</v>
      </c>
      <c r="GE15" s="44" t="s">
        <v>221</v>
      </c>
      <c r="GF15" s="45" t="s">
        <v>245</v>
      </c>
      <c r="GG15" s="71">
        <v>45875</v>
      </c>
      <c r="GH15" s="42" t="s">
        <v>220</v>
      </c>
      <c r="GI15" s="50" t="s">
        <v>234</v>
      </c>
      <c r="GJ15" s="67">
        <v>45862</v>
      </c>
      <c r="GK15" s="67" t="s">
        <v>221</v>
      </c>
      <c r="GL15" s="67" t="s">
        <v>221</v>
      </c>
      <c r="GM15" s="79">
        <f t="shared" si="1"/>
        <v>1.3</v>
      </c>
      <c r="GN15" s="79">
        <f t="shared" si="2"/>
        <v>20.6</v>
      </c>
      <c r="GO15" s="79" t="str">
        <f t="shared" si="3"/>
        <v>N/A</v>
      </c>
      <c r="GP15" s="79" t="str">
        <f t="shared" si="4"/>
        <v>N/A</v>
      </c>
      <c r="GQ15" s="79">
        <f t="shared" si="5"/>
        <v>0</v>
      </c>
      <c r="GR15" s="79">
        <f t="shared" si="6"/>
        <v>0</v>
      </c>
      <c r="GS15" s="79" t="str">
        <f t="shared" si="7"/>
        <v>N/A</v>
      </c>
      <c r="GT15" s="79" t="str">
        <f t="shared" si="8"/>
        <v>N/A</v>
      </c>
      <c r="GU15" s="79" t="str">
        <f t="shared" si="9"/>
        <v>N/A</v>
      </c>
      <c r="GV15" s="79" t="str">
        <f t="shared" si="10"/>
        <v>N/A</v>
      </c>
      <c r="GW15" s="79" t="str">
        <f t="shared" si="11"/>
        <v>N/A</v>
      </c>
      <c r="GX15" s="79" t="str">
        <f t="shared" si="12"/>
        <v>N/A</v>
      </c>
      <c r="GY15" s="79">
        <f t="shared" si="13"/>
        <v>17.933333333333334</v>
      </c>
      <c r="GZ15" s="79" t="str">
        <f t="shared" si="14"/>
        <v>N/A</v>
      </c>
      <c r="HA15" s="79" t="str">
        <f t="shared" si="15"/>
        <v>N/A</v>
      </c>
      <c r="HB15" s="79">
        <f t="shared" si="16"/>
        <v>17.933333333333334</v>
      </c>
      <c r="HC15" s="79">
        <f t="shared" si="17"/>
        <v>20.6</v>
      </c>
      <c r="HD15" s="79">
        <f t="shared" si="18"/>
        <v>20.166666666666668</v>
      </c>
      <c r="HE15" s="79" t="str">
        <f t="shared" si="19"/>
        <v>N/A</v>
      </c>
      <c r="HF15" s="80">
        <f t="shared" si="20"/>
        <v>20.6</v>
      </c>
      <c r="HG15" s="80" cm="1">
        <f t="array" ref="HG15">INDEX($HB15:$HD15,MATCH(TRUE,INDEX(ISNUMBER($HB15:$HD15),0),0))</f>
        <v>17.933333333333334</v>
      </c>
      <c r="HH15" s="77">
        <f t="shared" si="21"/>
        <v>1</v>
      </c>
      <c r="HI15" s="77">
        <f t="shared" si="22"/>
        <v>1</v>
      </c>
      <c r="HJ15" s="77">
        <f t="shared" si="23"/>
        <v>1</v>
      </c>
      <c r="HK15" s="130" t="str">
        <f t="shared" si="24"/>
        <v>1</v>
      </c>
    </row>
    <row r="16" spans="1:219" ht="15" customHeight="1" x14ac:dyDescent="0.3">
      <c r="A16" s="48">
        <v>4160571263</v>
      </c>
      <c r="B16" s="46" t="s">
        <v>222</v>
      </c>
      <c r="C16" s="42" t="s">
        <v>221</v>
      </c>
      <c r="D16" s="43" t="s">
        <v>222</v>
      </c>
      <c r="E16" s="48" t="s">
        <v>221</v>
      </c>
      <c r="F16" s="48" t="s">
        <v>221</v>
      </c>
      <c r="G16" s="48" t="s">
        <v>221</v>
      </c>
      <c r="H16" s="67" t="s">
        <v>221</v>
      </c>
      <c r="I16" s="48" t="s">
        <v>397</v>
      </c>
      <c r="J16" s="48" t="s">
        <v>221</v>
      </c>
      <c r="K16" s="67" t="s">
        <v>221</v>
      </c>
      <c r="L16" s="48" t="s">
        <v>398</v>
      </c>
      <c r="M16" s="48" t="s">
        <v>399</v>
      </c>
      <c r="N16" s="48" t="s">
        <v>268</v>
      </c>
      <c r="O16" s="48" t="s">
        <v>400</v>
      </c>
      <c r="P16" s="69">
        <v>45578</v>
      </c>
      <c r="Q16" s="42" t="s">
        <v>228</v>
      </c>
      <c r="R16" s="50" t="s">
        <v>399</v>
      </c>
      <c r="S16" s="48" t="s">
        <v>309</v>
      </c>
      <c r="T16" s="48" t="s">
        <v>401</v>
      </c>
      <c r="U16" s="69">
        <v>45578</v>
      </c>
      <c r="V16" s="42" t="s">
        <v>228</v>
      </c>
      <c r="W16" s="43" t="s">
        <v>221</v>
      </c>
      <c r="X16" s="43" t="s">
        <v>221</v>
      </c>
      <c r="Y16" s="43" t="s">
        <v>221</v>
      </c>
      <c r="Z16" s="70" t="s">
        <v>221</v>
      </c>
      <c r="AA16" s="43" t="s">
        <v>221</v>
      </c>
      <c r="AB16" s="43" t="s">
        <v>221</v>
      </c>
      <c r="AC16" s="43" t="s">
        <v>221</v>
      </c>
      <c r="AD16" s="43" t="s">
        <v>221</v>
      </c>
      <c r="AE16" s="70" t="s">
        <v>221</v>
      </c>
      <c r="AF16" s="43" t="s">
        <v>221</v>
      </c>
      <c r="AG16" s="43" t="s">
        <v>221</v>
      </c>
      <c r="AH16" s="43" t="s">
        <v>221</v>
      </c>
      <c r="AI16" s="43" t="s">
        <v>221</v>
      </c>
      <c r="AJ16" s="70" t="s">
        <v>221</v>
      </c>
      <c r="AK16" s="43" t="s">
        <v>221</v>
      </c>
      <c r="AL16" s="50" t="s">
        <v>221</v>
      </c>
      <c r="AM16" s="48" t="s">
        <v>221</v>
      </c>
      <c r="AN16" s="48" t="s">
        <v>221</v>
      </c>
      <c r="AO16" s="69" t="s">
        <v>221</v>
      </c>
      <c r="AP16" s="42" t="s">
        <v>221</v>
      </c>
      <c r="AQ16" s="50" t="s">
        <v>229</v>
      </c>
      <c r="AR16" s="67">
        <v>24071</v>
      </c>
      <c r="AS16" s="69">
        <v>45578</v>
      </c>
      <c r="AT16" s="62">
        <f t="shared" si="0"/>
        <v>58</v>
      </c>
      <c r="AU16" s="51" t="s">
        <v>402</v>
      </c>
      <c r="AV16" s="42" t="s">
        <v>231</v>
      </c>
      <c r="AW16" s="43" t="s">
        <v>221</v>
      </c>
      <c r="AX16" s="43" t="s">
        <v>221</v>
      </c>
      <c r="AY16" s="43" t="s">
        <v>221</v>
      </c>
      <c r="AZ16" s="48" t="s">
        <v>232</v>
      </c>
      <c r="BA16" s="48" t="s">
        <v>403</v>
      </c>
      <c r="BB16" s="48" t="s">
        <v>404</v>
      </c>
      <c r="BC16" s="49" t="s">
        <v>405</v>
      </c>
      <c r="BD16" s="45" t="s">
        <v>221</v>
      </c>
      <c r="BE16" s="51" t="s">
        <v>236</v>
      </c>
      <c r="BF16" s="42" t="s">
        <v>222</v>
      </c>
      <c r="BG16" s="74" t="s">
        <v>221</v>
      </c>
      <c r="BH16" s="74" t="s">
        <v>221</v>
      </c>
      <c r="BI16" s="74" t="s">
        <v>221</v>
      </c>
      <c r="BJ16" s="74" t="s">
        <v>221</v>
      </c>
      <c r="BK16" s="74" t="s">
        <v>221</v>
      </c>
      <c r="BL16" s="74" t="s">
        <v>221</v>
      </c>
      <c r="BM16" s="74" t="s">
        <v>221</v>
      </c>
      <c r="BN16" s="74" t="s">
        <v>221</v>
      </c>
      <c r="BO16" s="74" t="s">
        <v>221</v>
      </c>
      <c r="BP16" s="74" t="s">
        <v>221</v>
      </c>
      <c r="BQ16" s="74" t="s">
        <v>221</v>
      </c>
      <c r="BR16" s="74" t="s">
        <v>221</v>
      </c>
      <c r="BS16" s="74" t="s">
        <v>221</v>
      </c>
      <c r="BT16" s="74" t="s">
        <v>221</v>
      </c>
      <c r="BU16" s="74" t="s">
        <v>221</v>
      </c>
      <c r="BV16" s="74" t="s">
        <v>221</v>
      </c>
      <c r="BW16" s="74" t="s">
        <v>221</v>
      </c>
      <c r="BX16" s="74" t="s">
        <v>221</v>
      </c>
      <c r="BY16" s="74" t="s">
        <v>221</v>
      </c>
      <c r="BZ16" s="74" t="s">
        <v>221</v>
      </c>
      <c r="CA16" s="74" t="s">
        <v>221</v>
      </c>
      <c r="CB16" s="74" t="s">
        <v>221</v>
      </c>
      <c r="CC16" s="74" t="s">
        <v>221</v>
      </c>
      <c r="CD16" s="74" t="s">
        <v>221</v>
      </c>
      <c r="CE16" s="74" t="s">
        <v>221</v>
      </c>
      <c r="CF16" s="74" t="s">
        <v>221</v>
      </c>
      <c r="CG16" s="74" t="s">
        <v>221</v>
      </c>
      <c r="CH16" s="74" t="s">
        <v>221</v>
      </c>
      <c r="CI16" s="74" t="s">
        <v>221</v>
      </c>
      <c r="CJ16" s="74" t="s">
        <v>221</v>
      </c>
      <c r="CK16" s="74" t="s">
        <v>221</v>
      </c>
      <c r="CL16" s="74" t="s">
        <v>221</v>
      </c>
      <c r="CM16" s="74" t="s">
        <v>221</v>
      </c>
      <c r="CN16" s="74" t="s">
        <v>221</v>
      </c>
      <c r="CO16" s="74" t="s">
        <v>221</v>
      </c>
      <c r="CP16" s="74" t="s">
        <v>221</v>
      </c>
      <c r="CQ16" s="74" t="s">
        <v>221</v>
      </c>
      <c r="CR16" s="74" t="s">
        <v>221</v>
      </c>
      <c r="CS16" s="74" t="s">
        <v>221</v>
      </c>
      <c r="CT16" s="74" t="s">
        <v>221</v>
      </c>
      <c r="CU16" s="74" t="s">
        <v>221</v>
      </c>
      <c r="CV16" s="74" t="s">
        <v>221</v>
      </c>
      <c r="CW16" s="74" t="s">
        <v>221</v>
      </c>
      <c r="CX16" s="74" t="s">
        <v>221</v>
      </c>
      <c r="CY16" s="74" t="s">
        <v>221</v>
      </c>
      <c r="CZ16" s="74" t="s">
        <v>221</v>
      </c>
      <c r="DA16" s="74" t="s">
        <v>221</v>
      </c>
      <c r="DB16" s="74" t="s">
        <v>221</v>
      </c>
      <c r="DC16" s="74" t="s">
        <v>221</v>
      </c>
      <c r="DD16" s="74" t="s">
        <v>221</v>
      </c>
      <c r="DE16" s="74" t="s">
        <v>221</v>
      </c>
      <c r="DF16" s="74" t="s">
        <v>221</v>
      </c>
      <c r="DG16" s="74" t="s">
        <v>221</v>
      </c>
      <c r="DH16" s="74" t="s">
        <v>221</v>
      </c>
      <c r="DI16" s="74" t="s">
        <v>221</v>
      </c>
      <c r="DJ16" s="74" t="s">
        <v>221</v>
      </c>
      <c r="DK16" s="74" t="s">
        <v>221</v>
      </c>
      <c r="DL16" s="74" t="s">
        <v>221</v>
      </c>
      <c r="DM16" s="74" t="s">
        <v>221</v>
      </c>
      <c r="DN16" s="74" t="s">
        <v>221</v>
      </c>
      <c r="DO16" s="74" t="s">
        <v>221</v>
      </c>
      <c r="DP16" s="74" t="s">
        <v>221</v>
      </c>
      <c r="DQ16" s="74" t="s">
        <v>221</v>
      </c>
      <c r="DR16" s="74" t="s">
        <v>221</v>
      </c>
      <c r="DS16" s="74" t="s">
        <v>221</v>
      </c>
      <c r="DT16" s="74" t="s">
        <v>221</v>
      </c>
      <c r="DU16" s="74" t="s">
        <v>221</v>
      </c>
      <c r="DV16" s="74" t="s">
        <v>221</v>
      </c>
      <c r="DW16" s="74" t="s">
        <v>221</v>
      </c>
      <c r="DX16" s="74" t="s">
        <v>221</v>
      </c>
      <c r="DY16" s="74" t="s">
        <v>221</v>
      </c>
      <c r="DZ16" s="74" t="s">
        <v>221</v>
      </c>
      <c r="EA16" s="74" t="s">
        <v>221</v>
      </c>
      <c r="EB16" s="74" t="s">
        <v>221</v>
      </c>
      <c r="EC16" s="74" t="s">
        <v>221</v>
      </c>
      <c r="ED16" s="74" t="s">
        <v>221</v>
      </c>
      <c r="EE16" s="74" t="s">
        <v>221</v>
      </c>
      <c r="EF16" s="74" t="s">
        <v>221</v>
      </c>
      <c r="EG16" s="74" t="s">
        <v>221</v>
      </c>
      <c r="EH16" s="74" t="s">
        <v>221</v>
      </c>
      <c r="EI16" s="67">
        <v>45609</v>
      </c>
      <c r="EJ16" s="48" t="s">
        <v>406</v>
      </c>
      <c r="EK16" s="44" t="s">
        <v>221</v>
      </c>
      <c r="EL16" s="44" t="s">
        <v>221</v>
      </c>
      <c r="EM16" s="44" t="s">
        <v>221</v>
      </c>
      <c r="EN16" s="44" t="s">
        <v>221</v>
      </c>
      <c r="EO16" s="44" t="s">
        <v>221</v>
      </c>
      <c r="EP16" s="44" t="s">
        <v>221</v>
      </c>
      <c r="EQ16" s="44" t="s">
        <v>221</v>
      </c>
      <c r="ER16" s="44" t="s">
        <v>221</v>
      </c>
      <c r="ES16" s="44" t="s">
        <v>221</v>
      </c>
      <c r="ET16" s="44" t="s">
        <v>221</v>
      </c>
      <c r="EU16" s="44" t="s">
        <v>221</v>
      </c>
      <c r="EV16" s="44" t="s">
        <v>221</v>
      </c>
      <c r="EW16" s="44" t="s">
        <v>221</v>
      </c>
      <c r="EX16" s="44" t="s">
        <v>221</v>
      </c>
      <c r="EY16" s="44" t="s">
        <v>221</v>
      </c>
      <c r="EZ16" s="44" t="s">
        <v>221</v>
      </c>
      <c r="FA16" s="44" t="s">
        <v>221</v>
      </c>
      <c r="FB16" s="44" t="s">
        <v>221</v>
      </c>
      <c r="FC16" s="44" t="s">
        <v>221</v>
      </c>
      <c r="FD16" s="44" t="s">
        <v>221</v>
      </c>
      <c r="FE16" s="44" t="s">
        <v>221</v>
      </c>
      <c r="FF16" s="44" t="s">
        <v>221</v>
      </c>
      <c r="FG16" s="44" t="s">
        <v>221</v>
      </c>
      <c r="FH16" s="44" t="s">
        <v>221</v>
      </c>
      <c r="FI16" s="44" t="s">
        <v>221</v>
      </c>
      <c r="FJ16" s="44" t="s">
        <v>221</v>
      </c>
      <c r="FK16" s="44" t="s">
        <v>221</v>
      </c>
      <c r="FL16" s="44" t="s">
        <v>221</v>
      </c>
      <c r="FM16" s="44" t="s">
        <v>221</v>
      </c>
      <c r="FN16" s="44" t="s">
        <v>221</v>
      </c>
      <c r="FO16" s="44" t="s">
        <v>221</v>
      </c>
      <c r="FP16" s="44" t="s">
        <v>221</v>
      </c>
      <c r="FQ16" s="44" t="s">
        <v>221</v>
      </c>
      <c r="FR16" s="44" t="s">
        <v>221</v>
      </c>
      <c r="FS16" s="44" t="s">
        <v>221</v>
      </c>
      <c r="FT16" s="44" t="s">
        <v>221</v>
      </c>
      <c r="FU16" s="44" t="s">
        <v>221</v>
      </c>
      <c r="FV16" s="44" t="s">
        <v>221</v>
      </c>
      <c r="FW16" s="44" t="s">
        <v>221</v>
      </c>
      <c r="FX16" s="44" t="s">
        <v>221</v>
      </c>
      <c r="FY16" s="44" t="s">
        <v>221</v>
      </c>
      <c r="FZ16" s="44" t="s">
        <v>221</v>
      </c>
      <c r="GA16" s="44" t="s">
        <v>221</v>
      </c>
      <c r="GB16" s="44" t="s">
        <v>221</v>
      </c>
      <c r="GC16" s="44" t="s">
        <v>221</v>
      </c>
      <c r="GD16" s="44" t="s">
        <v>221</v>
      </c>
      <c r="GE16" s="44" t="s">
        <v>221</v>
      </c>
      <c r="GF16" s="45" t="s">
        <v>245</v>
      </c>
      <c r="GG16" s="71">
        <v>45653</v>
      </c>
      <c r="GH16" s="42" t="s">
        <v>220</v>
      </c>
      <c r="GI16" s="50" t="s">
        <v>234</v>
      </c>
      <c r="GJ16" s="67">
        <v>45609</v>
      </c>
      <c r="GK16" s="67" t="s">
        <v>221</v>
      </c>
      <c r="GL16" s="67" t="s">
        <v>407</v>
      </c>
      <c r="GM16" s="79" t="str">
        <f t="shared" si="1"/>
        <v>N/A</v>
      </c>
      <c r="GN16" s="79" t="str">
        <f t="shared" si="2"/>
        <v>N/A</v>
      </c>
      <c r="GO16" s="79" t="str">
        <f t="shared" si="3"/>
        <v>N/A</v>
      </c>
      <c r="GP16" s="79" t="str">
        <f t="shared" si="4"/>
        <v>N/A</v>
      </c>
      <c r="GQ16" s="79">
        <f t="shared" si="5"/>
        <v>0</v>
      </c>
      <c r="GR16" s="79">
        <f t="shared" si="6"/>
        <v>0</v>
      </c>
      <c r="GS16" s="79" t="str">
        <f t="shared" si="7"/>
        <v>N/A</v>
      </c>
      <c r="GT16" s="79" t="str">
        <f t="shared" si="8"/>
        <v>N/A</v>
      </c>
      <c r="GU16" s="79" t="str">
        <f t="shared" si="9"/>
        <v>N/A</v>
      </c>
      <c r="GV16" s="79" t="str">
        <f t="shared" si="10"/>
        <v>N/A</v>
      </c>
      <c r="GW16" s="79" t="str">
        <f t="shared" si="11"/>
        <v>N/A</v>
      </c>
      <c r="GX16" s="79" t="str">
        <f t="shared" si="12"/>
        <v>N/A</v>
      </c>
      <c r="GY16" s="79">
        <f t="shared" si="13"/>
        <v>1.0333333333333334</v>
      </c>
      <c r="GZ16" s="79" t="str">
        <f t="shared" si="14"/>
        <v>N/A</v>
      </c>
      <c r="HA16" s="79" t="str">
        <f t="shared" si="15"/>
        <v>N/A</v>
      </c>
      <c r="HB16" s="79">
        <f t="shared" si="16"/>
        <v>1.0333333333333334</v>
      </c>
      <c r="HC16" s="79">
        <f t="shared" si="17"/>
        <v>2.5</v>
      </c>
      <c r="HD16" s="79">
        <f t="shared" si="18"/>
        <v>1.0333333333333334</v>
      </c>
      <c r="HE16" s="79" t="str">
        <f t="shared" si="19"/>
        <v>N/A</v>
      </c>
      <c r="HF16" s="80">
        <f t="shared" si="20"/>
        <v>2.5</v>
      </c>
      <c r="HG16" s="80" cm="1">
        <f t="array" ref="HG16">INDEX($HB16:$HD16,MATCH(TRUE,INDEX(ISNUMBER($HB16:$HD16),0),0))</f>
        <v>1.0333333333333334</v>
      </c>
      <c r="HH16" s="77">
        <f t="shared" si="21"/>
        <v>1</v>
      </c>
      <c r="HI16" s="77">
        <f t="shared" si="22"/>
        <v>1</v>
      </c>
      <c r="HJ16" s="77">
        <f t="shared" si="23"/>
        <v>1</v>
      </c>
      <c r="HK16" s="130" t="str">
        <f t="shared" si="24"/>
        <v>1</v>
      </c>
    </row>
    <row r="17" spans="1:219" ht="15" customHeight="1" x14ac:dyDescent="0.3">
      <c r="A17" s="48">
        <v>4382138280</v>
      </c>
      <c r="B17" s="46" t="s">
        <v>222</v>
      </c>
      <c r="C17" s="42" t="s">
        <v>221</v>
      </c>
      <c r="D17" s="43" t="s">
        <v>222</v>
      </c>
      <c r="E17" s="48" t="s">
        <v>221</v>
      </c>
      <c r="F17" s="48" t="s">
        <v>221</v>
      </c>
      <c r="G17" s="48" t="s">
        <v>221</v>
      </c>
      <c r="H17" s="67" t="s">
        <v>221</v>
      </c>
      <c r="I17" s="48" t="s">
        <v>263</v>
      </c>
      <c r="J17" s="48" t="s">
        <v>221</v>
      </c>
      <c r="K17" s="67" t="s">
        <v>221</v>
      </c>
      <c r="L17" s="48" t="s">
        <v>408</v>
      </c>
      <c r="M17" s="48" t="s">
        <v>409</v>
      </c>
      <c r="N17" s="48" t="s">
        <v>309</v>
      </c>
      <c r="O17" s="48" t="s">
        <v>410</v>
      </c>
      <c r="P17" s="69">
        <v>45691</v>
      </c>
      <c r="Q17" s="42" t="s">
        <v>228</v>
      </c>
      <c r="R17" s="50" t="s">
        <v>409</v>
      </c>
      <c r="S17" s="48" t="s">
        <v>337</v>
      </c>
      <c r="T17" s="48" t="s">
        <v>410</v>
      </c>
      <c r="U17" s="69">
        <v>45691</v>
      </c>
      <c r="V17" s="42" t="s">
        <v>228</v>
      </c>
      <c r="W17" s="43" t="s">
        <v>221</v>
      </c>
      <c r="X17" s="43" t="s">
        <v>221</v>
      </c>
      <c r="Y17" s="43" t="s">
        <v>221</v>
      </c>
      <c r="Z17" s="70" t="s">
        <v>221</v>
      </c>
      <c r="AA17" s="43" t="s">
        <v>221</v>
      </c>
      <c r="AB17" s="43" t="s">
        <v>221</v>
      </c>
      <c r="AC17" s="43" t="s">
        <v>221</v>
      </c>
      <c r="AD17" s="43" t="s">
        <v>221</v>
      </c>
      <c r="AE17" s="70" t="s">
        <v>221</v>
      </c>
      <c r="AF17" s="43" t="s">
        <v>221</v>
      </c>
      <c r="AG17" s="43" t="s">
        <v>221</v>
      </c>
      <c r="AH17" s="43" t="s">
        <v>221</v>
      </c>
      <c r="AI17" s="43" t="s">
        <v>221</v>
      </c>
      <c r="AJ17" s="70" t="s">
        <v>221</v>
      </c>
      <c r="AK17" s="43" t="s">
        <v>221</v>
      </c>
      <c r="AL17" s="50" t="s">
        <v>221</v>
      </c>
      <c r="AM17" s="48" t="s">
        <v>221</v>
      </c>
      <c r="AN17" s="48" t="s">
        <v>221</v>
      </c>
      <c r="AO17" s="69" t="s">
        <v>221</v>
      </c>
      <c r="AP17" s="42" t="s">
        <v>221</v>
      </c>
      <c r="AQ17" s="50" t="s">
        <v>229</v>
      </c>
      <c r="AR17" s="67">
        <v>16881</v>
      </c>
      <c r="AS17" s="69">
        <v>45691</v>
      </c>
      <c r="AT17" s="62">
        <f t="shared" si="0"/>
        <v>78</v>
      </c>
      <c r="AU17" s="51" t="s">
        <v>411</v>
      </c>
      <c r="AV17" s="42" t="s">
        <v>231</v>
      </c>
      <c r="AW17" s="43" t="s">
        <v>221</v>
      </c>
      <c r="AX17" s="48" t="s">
        <v>221</v>
      </c>
      <c r="AY17" s="48" t="s">
        <v>221</v>
      </c>
      <c r="AZ17" s="48" t="s">
        <v>232</v>
      </c>
      <c r="BA17" s="48" t="s">
        <v>412</v>
      </c>
      <c r="BB17" s="48" t="s">
        <v>413</v>
      </c>
      <c r="BC17" s="49" t="s">
        <v>234</v>
      </c>
      <c r="BD17" s="45" t="s">
        <v>235</v>
      </c>
      <c r="BE17" s="51" t="s">
        <v>414</v>
      </c>
      <c r="BF17" s="42" t="s">
        <v>220</v>
      </c>
      <c r="BG17" s="74" t="s">
        <v>221</v>
      </c>
      <c r="BH17" s="44" t="s">
        <v>243</v>
      </c>
      <c r="BI17" s="48" t="s">
        <v>415</v>
      </c>
      <c r="BJ17" s="67">
        <v>45748</v>
      </c>
      <c r="BK17" s="67">
        <v>45946</v>
      </c>
      <c r="BL17" s="48" t="s">
        <v>285</v>
      </c>
      <c r="BM17" s="44" t="s">
        <v>221</v>
      </c>
      <c r="BN17" s="44" t="s">
        <v>221</v>
      </c>
      <c r="BO17" s="44" t="s">
        <v>221</v>
      </c>
      <c r="BP17" s="44" t="s">
        <v>221</v>
      </c>
      <c r="BQ17" s="44" t="s">
        <v>221</v>
      </c>
      <c r="BR17" s="44" t="s">
        <v>221</v>
      </c>
      <c r="BS17" s="44" t="s">
        <v>221</v>
      </c>
      <c r="BT17" s="44" t="s">
        <v>221</v>
      </c>
      <c r="BU17" s="44" t="s">
        <v>221</v>
      </c>
      <c r="BV17" s="44" t="s">
        <v>221</v>
      </c>
      <c r="BW17" s="44" t="s">
        <v>221</v>
      </c>
      <c r="BX17" s="44" t="s">
        <v>221</v>
      </c>
      <c r="BY17" s="44" t="s">
        <v>221</v>
      </c>
      <c r="BZ17" s="44" t="s">
        <v>221</v>
      </c>
      <c r="CA17" s="44" t="s">
        <v>221</v>
      </c>
      <c r="CB17" s="44" t="s">
        <v>221</v>
      </c>
      <c r="CC17" s="44" t="s">
        <v>221</v>
      </c>
      <c r="CD17" s="44" t="s">
        <v>221</v>
      </c>
      <c r="CE17" s="44" t="s">
        <v>221</v>
      </c>
      <c r="CF17" s="44" t="s">
        <v>221</v>
      </c>
      <c r="CG17" s="44" t="s">
        <v>221</v>
      </c>
      <c r="CH17" s="44" t="s">
        <v>221</v>
      </c>
      <c r="CI17" s="44" t="s">
        <v>221</v>
      </c>
      <c r="CJ17" s="44" t="s">
        <v>221</v>
      </c>
      <c r="CK17" s="44" t="s">
        <v>221</v>
      </c>
      <c r="CL17" s="44" t="s">
        <v>221</v>
      </c>
      <c r="CM17" s="44" t="s">
        <v>221</v>
      </c>
      <c r="CN17" s="44" t="s">
        <v>221</v>
      </c>
      <c r="CO17" s="44" t="s">
        <v>221</v>
      </c>
      <c r="CP17" s="44" t="s">
        <v>221</v>
      </c>
      <c r="CQ17" s="44" t="s">
        <v>221</v>
      </c>
      <c r="CR17" s="44" t="s">
        <v>221</v>
      </c>
      <c r="CS17" s="44" t="s">
        <v>221</v>
      </c>
      <c r="CT17" s="44" t="s">
        <v>221</v>
      </c>
      <c r="CU17" s="44" t="s">
        <v>221</v>
      </c>
      <c r="CV17" s="44" t="s">
        <v>221</v>
      </c>
      <c r="CW17" s="44" t="s">
        <v>221</v>
      </c>
      <c r="CX17" s="44" t="s">
        <v>221</v>
      </c>
      <c r="CY17" s="44" t="s">
        <v>221</v>
      </c>
      <c r="CZ17" s="44" t="s">
        <v>221</v>
      </c>
      <c r="DA17" s="44" t="s">
        <v>221</v>
      </c>
      <c r="DB17" s="44" t="s">
        <v>221</v>
      </c>
      <c r="DC17" s="44" t="s">
        <v>221</v>
      </c>
      <c r="DD17" s="44" t="s">
        <v>221</v>
      </c>
      <c r="DE17" s="44" t="s">
        <v>221</v>
      </c>
      <c r="DF17" s="44" t="s">
        <v>221</v>
      </c>
      <c r="DG17" s="44" t="s">
        <v>221</v>
      </c>
      <c r="DH17" s="44" t="s">
        <v>221</v>
      </c>
      <c r="DI17" s="44" t="s">
        <v>221</v>
      </c>
      <c r="DJ17" s="44" t="s">
        <v>221</v>
      </c>
      <c r="DK17" s="44" t="s">
        <v>221</v>
      </c>
      <c r="DL17" s="44" t="s">
        <v>221</v>
      </c>
      <c r="DM17" s="44" t="s">
        <v>221</v>
      </c>
      <c r="DN17" s="44" t="s">
        <v>221</v>
      </c>
      <c r="DO17" s="44" t="s">
        <v>221</v>
      </c>
      <c r="DP17" s="44" t="s">
        <v>221</v>
      </c>
      <c r="DQ17" s="44" t="s">
        <v>221</v>
      </c>
      <c r="DR17" s="44" t="s">
        <v>221</v>
      </c>
      <c r="DS17" s="44" t="s">
        <v>221</v>
      </c>
      <c r="DT17" s="44" t="s">
        <v>221</v>
      </c>
      <c r="DU17" s="44" t="s">
        <v>221</v>
      </c>
      <c r="DV17" s="44" t="s">
        <v>221</v>
      </c>
      <c r="DW17" s="44" t="s">
        <v>221</v>
      </c>
      <c r="DX17" s="44" t="s">
        <v>221</v>
      </c>
      <c r="DY17" s="44" t="s">
        <v>221</v>
      </c>
      <c r="DZ17" s="44" t="s">
        <v>221</v>
      </c>
      <c r="EA17" s="44" t="s">
        <v>221</v>
      </c>
      <c r="EB17" s="44" t="s">
        <v>221</v>
      </c>
      <c r="EC17" s="44" t="s">
        <v>221</v>
      </c>
      <c r="ED17" s="44" t="s">
        <v>221</v>
      </c>
      <c r="EE17" s="44" t="s">
        <v>221</v>
      </c>
      <c r="EF17" s="44" t="s">
        <v>221</v>
      </c>
      <c r="EG17" s="44" t="s">
        <v>221</v>
      </c>
      <c r="EH17" s="44" t="s">
        <v>221</v>
      </c>
      <c r="EI17" s="67">
        <v>45910</v>
      </c>
      <c r="EJ17" s="48" t="s">
        <v>416</v>
      </c>
      <c r="EK17" s="44" t="s">
        <v>240</v>
      </c>
      <c r="EL17" s="48" t="s">
        <v>417</v>
      </c>
      <c r="EM17" s="67">
        <v>45947</v>
      </c>
      <c r="EN17" s="67">
        <v>45953</v>
      </c>
      <c r="EO17" s="48" t="s">
        <v>234</v>
      </c>
      <c r="EP17" s="44" t="s">
        <v>275</v>
      </c>
      <c r="EQ17" s="48" t="s">
        <v>418</v>
      </c>
      <c r="ER17" s="48" t="s">
        <v>234</v>
      </c>
      <c r="ES17" s="44" t="s">
        <v>221</v>
      </c>
      <c r="ET17" s="44" t="s">
        <v>221</v>
      </c>
      <c r="EU17" s="44" t="s">
        <v>221</v>
      </c>
      <c r="EV17" s="44" t="s">
        <v>221</v>
      </c>
      <c r="EW17" s="44" t="s">
        <v>221</v>
      </c>
      <c r="EX17" s="44" t="s">
        <v>221</v>
      </c>
      <c r="EY17" s="44" t="s">
        <v>221</v>
      </c>
      <c r="EZ17" s="44" t="s">
        <v>221</v>
      </c>
      <c r="FA17" s="44" t="s">
        <v>221</v>
      </c>
      <c r="FB17" s="44" t="s">
        <v>221</v>
      </c>
      <c r="FC17" s="44" t="s">
        <v>221</v>
      </c>
      <c r="FD17" s="44" t="s">
        <v>221</v>
      </c>
      <c r="FE17" s="44" t="s">
        <v>221</v>
      </c>
      <c r="FF17" s="44" t="s">
        <v>221</v>
      </c>
      <c r="FG17" s="44" t="s">
        <v>221</v>
      </c>
      <c r="FH17" s="44" t="s">
        <v>221</v>
      </c>
      <c r="FI17" s="44" t="s">
        <v>221</v>
      </c>
      <c r="FJ17" s="44" t="s">
        <v>221</v>
      </c>
      <c r="FK17" s="44" t="s">
        <v>221</v>
      </c>
      <c r="FL17" s="44" t="s">
        <v>221</v>
      </c>
      <c r="FM17" s="44" t="s">
        <v>221</v>
      </c>
      <c r="FN17" s="44" t="s">
        <v>221</v>
      </c>
      <c r="FO17" s="44" t="s">
        <v>221</v>
      </c>
      <c r="FP17" s="44" t="s">
        <v>221</v>
      </c>
      <c r="FQ17" s="44" t="s">
        <v>221</v>
      </c>
      <c r="FR17" s="44" t="s">
        <v>221</v>
      </c>
      <c r="FS17" s="44" t="s">
        <v>221</v>
      </c>
      <c r="FT17" s="44" t="s">
        <v>221</v>
      </c>
      <c r="FU17" s="44" t="s">
        <v>221</v>
      </c>
      <c r="FV17" s="44" t="s">
        <v>221</v>
      </c>
      <c r="FW17" s="44" t="s">
        <v>221</v>
      </c>
      <c r="FX17" s="44" t="s">
        <v>221</v>
      </c>
      <c r="FY17" s="44" t="s">
        <v>221</v>
      </c>
      <c r="FZ17" s="44" t="s">
        <v>221</v>
      </c>
      <c r="GA17" s="44" t="s">
        <v>221</v>
      </c>
      <c r="GB17" s="44" t="s">
        <v>221</v>
      </c>
      <c r="GC17" s="44" t="s">
        <v>221</v>
      </c>
      <c r="GD17" s="44" t="s">
        <v>221</v>
      </c>
      <c r="GE17" s="44" t="s">
        <v>221</v>
      </c>
      <c r="GF17" s="45" t="s">
        <v>245</v>
      </c>
      <c r="GG17" s="71">
        <v>46012</v>
      </c>
      <c r="GH17" s="42" t="s">
        <v>220</v>
      </c>
      <c r="GI17" s="50" t="s">
        <v>234</v>
      </c>
      <c r="GJ17" s="67">
        <v>45988</v>
      </c>
      <c r="GK17" s="67" t="s">
        <v>221</v>
      </c>
      <c r="GL17" s="67" t="s">
        <v>221</v>
      </c>
      <c r="GM17" s="79">
        <f t="shared" si="1"/>
        <v>1.9</v>
      </c>
      <c r="GN17" s="79">
        <f t="shared" si="2"/>
        <v>8.5</v>
      </c>
      <c r="GO17" s="79" t="str">
        <f t="shared" si="3"/>
        <v>N/A</v>
      </c>
      <c r="GP17" s="79" t="str">
        <f t="shared" si="4"/>
        <v>N/A</v>
      </c>
      <c r="GQ17" s="79">
        <f t="shared" si="5"/>
        <v>0</v>
      </c>
      <c r="GR17" s="79">
        <f t="shared" si="6"/>
        <v>0</v>
      </c>
      <c r="GS17" s="79" t="str">
        <f t="shared" si="7"/>
        <v>N/A</v>
      </c>
      <c r="GT17" s="79" t="str">
        <f t="shared" si="8"/>
        <v>N/A</v>
      </c>
      <c r="GU17" s="79" t="str">
        <f t="shared" si="9"/>
        <v>N/A</v>
      </c>
      <c r="GV17" s="79" t="str">
        <f t="shared" si="10"/>
        <v>N/A</v>
      </c>
      <c r="GW17" s="79" t="str">
        <f t="shared" si="11"/>
        <v>N/A</v>
      </c>
      <c r="GX17" s="79" t="str">
        <f t="shared" si="12"/>
        <v>N/A</v>
      </c>
      <c r="GY17" s="79">
        <f t="shared" si="13"/>
        <v>7.3</v>
      </c>
      <c r="GZ17" s="79">
        <f t="shared" si="14"/>
        <v>8.5333333333333332</v>
      </c>
      <c r="HA17" s="79">
        <f t="shared" si="15"/>
        <v>8.7333333333333325</v>
      </c>
      <c r="HB17" s="79">
        <f t="shared" si="16"/>
        <v>7.3</v>
      </c>
      <c r="HC17" s="79">
        <f t="shared" si="17"/>
        <v>10.7</v>
      </c>
      <c r="HD17" s="79">
        <f t="shared" si="18"/>
        <v>9.9</v>
      </c>
      <c r="HE17" s="79" t="str">
        <f t="shared" si="19"/>
        <v>N/A</v>
      </c>
      <c r="HF17" s="80">
        <f t="shared" si="20"/>
        <v>10.7</v>
      </c>
      <c r="HG17" s="80" cm="1">
        <f t="array" ref="HG17">INDEX($HB17:$HD17,MATCH(TRUE,INDEX(ISNUMBER($HB17:$HD17),0),0))</f>
        <v>7.3</v>
      </c>
      <c r="HH17" s="77">
        <f t="shared" si="21"/>
        <v>1</v>
      </c>
      <c r="HI17" s="77">
        <f t="shared" si="22"/>
        <v>1</v>
      </c>
      <c r="HJ17" s="77">
        <f t="shared" si="23"/>
        <v>1</v>
      </c>
      <c r="HK17" s="130" t="str">
        <f t="shared" si="24"/>
        <v>1</v>
      </c>
    </row>
    <row r="18" spans="1:219" ht="15" customHeight="1" x14ac:dyDescent="0.3">
      <c r="A18" s="111">
        <v>6060874681</v>
      </c>
      <c r="B18" s="131" t="s">
        <v>222</v>
      </c>
      <c r="C18" s="132" t="s">
        <v>221</v>
      </c>
      <c r="D18" s="133" t="s">
        <v>220</v>
      </c>
      <c r="E18" s="111" t="s">
        <v>221</v>
      </c>
      <c r="F18" s="111" t="s">
        <v>221</v>
      </c>
      <c r="G18" s="111" t="s">
        <v>221</v>
      </c>
      <c r="H18" s="134" t="s">
        <v>221</v>
      </c>
      <c r="I18" s="111" t="s">
        <v>419</v>
      </c>
      <c r="J18" s="111" t="s">
        <v>221</v>
      </c>
      <c r="K18" s="134">
        <v>42636</v>
      </c>
      <c r="L18" s="111" t="s">
        <v>264</v>
      </c>
      <c r="M18" s="111" t="s">
        <v>420</v>
      </c>
      <c r="N18" s="111" t="s">
        <v>249</v>
      </c>
      <c r="O18" s="111" t="s">
        <v>266</v>
      </c>
      <c r="P18" s="135">
        <v>45687</v>
      </c>
      <c r="Q18" s="132" t="s">
        <v>267</v>
      </c>
      <c r="R18" s="136" t="s">
        <v>420</v>
      </c>
      <c r="S18" s="111" t="s">
        <v>421</v>
      </c>
      <c r="T18" s="111" t="s">
        <v>266</v>
      </c>
      <c r="U18" s="135">
        <v>45687</v>
      </c>
      <c r="V18" s="132" t="s">
        <v>267</v>
      </c>
      <c r="W18" s="133" t="s">
        <v>221</v>
      </c>
      <c r="X18" s="133" t="s">
        <v>221</v>
      </c>
      <c r="Y18" s="133" t="s">
        <v>221</v>
      </c>
      <c r="Z18" s="137" t="s">
        <v>221</v>
      </c>
      <c r="AA18" s="133" t="s">
        <v>221</v>
      </c>
      <c r="AB18" s="133" t="s">
        <v>221</v>
      </c>
      <c r="AC18" s="133" t="s">
        <v>221</v>
      </c>
      <c r="AD18" s="133" t="s">
        <v>221</v>
      </c>
      <c r="AE18" s="137" t="s">
        <v>221</v>
      </c>
      <c r="AF18" s="133" t="s">
        <v>221</v>
      </c>
      <c r="AG18" s="133" t="s">
        <v>221</v>
      </c>
      <c r="AH18" s="133" t="s">
        <v>221</v>
      </c>
      <c r="AI18" s="133" t="s">
        <v>221</v>
      </c>
      <c r="AJ18" s="137" t="s">
        <v>221</v>
      </c>
      <c r="AK18" s="133" t="s">
        <v>221</v>
      </c>
      <c r="AL18" s="136" t="s">
        <v>221</v>
      </c>
      <c r="AM18" s="111" t="s">
        <v>221</v>
      </c>
      <c r="AN18" s="111" t="s">
        <v>221</v>
      </c>
      <c r="AO18" s="135" t="s">
        <v>221</v>
      </c>
      <c r="AP18" s="132" t="s">
        <v>221</v>
      </c>
      <c r="AQ18" s="136" t="s">
        <v>229</v>
      </c>
      <c r="AR18" s="134">
        <v>29438</v>
      </c>
      <c r="AS18" s="135">
        <v>42594</v>
      </c>
      <c r="AT18" s="138">
        <f t="shared" si="0"/>
        <v>36</v>
      </c>
      <c r="AU18" s="139" t="s">
        <v>422</v>
      </c>
      <c r="AV18" s="132" t="s">
        <v>270</v>
      </c>
      <c r="AW18" s="133" t="s">
        <v>220</v>
      </c>
      <c r="AX18" s="111" t="s">
        <v>423</v>
      </c>
      <c r="AY18" s="111">
        <v>0</v>
      </c>
      <c r="AZ18" s="111" t="s">
        <v>271</v>
      </c>
      <c r="BA18" s="111">
        <v>0</v>
      </c>
      <c r="BB18" s="111" t="s">
        <v>424</v>
      </c>
      <c r="BC18" s="140">
        <v>1</v>
      </c>
      <c r="BD18" s="141" t="s">
        <v>273</v>
      </c>
      <c r="BE18" s="139" t="s">
        <v>425</v>
      </c>
      <c r="BF18" s="132" t="s">
        <v>222</v>
      </c>
      <c r="BG18" s="142" t="s">
        <v>221</v>
      </c>
      <c r="BH18" s="142" t="s">
        <v>221</v>
      </c>
      <c r="BI18" s="142" t="s">
        <v>221</v>
      </c>
      <c r="BJ18" s="142" t="s">
        <v>221</v>
      </c>
      <c r="BK18" s="142" t="s">
        <v>221</v>
      </c>
      <c r="BL18" s="142" t="s">
        <v>221</v>
      </c>
      <c r="BM18" s="142" t="s">
        <v>221</v>
      </c>
      <c r="BN18" s="142" t="s">
        <v>221</v>
      </c>
      <c r="BO18" s="142" t="s">
        <v>221</v>
      </c>
      <c r="BP18" s="142" t="s">
        <v>221</v>
      </c>
      <c r="BQ18" s="142" t="s">
        <v>221</v>
      </c>
      <c r="BR18" s="142" t="s">
        <v>221</v>
      </c>
      <c r="BS18" s="142" t="s">
        <v>221</v>
      </c>
      <c r="BT18" s="142" t="s">
        <v>221</v>
      </c>
      <c r="BU18" s="142" t="s">
        <v>221</v>
      </c>
      <c r="BV18" s="142" t="s">
        <v>221</v>
      </c>
      <c r="BW18" s="142" t="s">
        <v>221</v>
      </c>
      <c r="BX18" s="142" t="s">
        <v>221</v>
      </c>
      <c r="BY18" s="142" t="s">
        <v>221</v>
      </c>
      <c r="BZ18" s="142" t="s">
        <v>221</v>
      </c>
      <c r="CA18" s="142" t="s">
        <v>221</v>
      </c>
      <c r="CB18" s="142" t="s">
        <v>221</v>
      </c>
      <c r="CC18" s="142" t="s">
        <v>221</v>
      </c>
      <c r="CD18" s="142" t="s">
        <v>221</v>
      </c>
      <c r="CE18" s="142" t="s">
        <v>221</v>
      </c>
      <c r="CF18" s="142" t="s">
        <v>221</v>
      </c>
      <c r="CG18" s="142" t="s">
        <v>221</v>
      </c>
      <c r="CH18" s="142" t="s">
        <v>221</v>
      </c>
      <c r="CI18" s="142" t="s">
        <v>221</v>
      </c>
      <c r="CJ18" s="142" t="s">
        <v>221</v>
      </c>
      <c r="CK18" s="142" t="s">
        <v>221</v>
      </c>
      <c r="CL18" s="142" t="s">
        <v>221</v>
      </c>
      <c r="CM18" s="142" t="s">
        <v>221</v>
      </c>
      <c r="CN18" s="143" t="s">
        <v>240</v>
      </c>
      <c r="CO18" s="111" t="s">
        <v>426</v>
      </c>
      <c r="CP18" s="134">
        <v>42683</v>
      </c>
      <c r="CQ18" s="134">
        <v>42710</v>
      </c>
      <c r="CR18" s="111" t="s">
        <v>221</v>
      </c>
      <c r="CS18" s="143" t="s">
        <v>256</v>
      </c>
      <c r="CT18" s="111" t="s">
        <v>427</v>
      </c>
      <c r="CU18" s="111" t="s">
        <v>221</v>
      </c>
      <c r="CV18" s="143" t="s">
        <v>221</v>
      </c>
      <c r="CW18" s="143" t="s">
        <v>221</v>
      </c>
      <c r="CX18" s="143" t="s">
        <v>221</v>
      </c>
      <c r="CY18" s="143" t="s">
        <v>221</v>
      </c>
      <c r="CZ18" s="143" t="s">
        <v>221</v>
      </c>
      <c r="DA18" s="143" t="s">
        <v>221</v>
      </c>
      <c r="DB18" s="143" t="s">
        <v>221</v>
      </c>
      <c r="DC18" s="143" t="s">
        <v>221</v>
      </c>
      <c r="DD18" s="143" t="s">
        <v>221</v>
      </c>
      <c r="DE18" s="143" t="s">
        <v>221</v>
      </c>
      <c r="DF18" s="143" t="s">
        <v>221</v>
      </c>
      <c r="DG18" s="143" t="s">
        <v>221</v>
      </c>
      <c r="DH18" s="143" t="s">
        <v>221</v>
      </c>
      <c r="DI18" s="143" t="s">
        <v>221</v>
      </c>
      <c r="DJ18" s="143" t="s">
        <v>221</v>
      </c>
      <c r="DK18" s="143" t="s">
        <v>221</v>
      </c>
      <c r="DL18" s="143" t="s">
        <v>221</v>
      </c>
      <c r="DM18" s="143" t="s">
        <v>221</v>
      </c>
      <c r="DN18" s="143" t="s">
        <v>221</v>
      </c>
      <c r="DO18" s="143" t="s">
        <v>221</v>
      </c>
      <c r="DP18" s="143" t="s">
        <v>221</v>
      </c>
      <c r="DQ18" s="143" t="s">
        <v>221</v>
      </c>
      <c r="DR18" s="143" t="s">
        <v>221</v>
      </c>
      <c r="DS18" s="143" t="s">
        <v>221</v>
      </c>
      <c r="DT18" s="143" t="s">
        <v>221</v>
      </c>
      <c r="DU18" s="143" t="s">
        <v>221</v>
      </c>
      <c r="DV18" s="143" t="s">
        <v>221</v>
      </c>
      <c r="DW18" s="143" t="s">
        <v>221</v>
      </c>
      <c r="DX18" s="143" t="s">
        <v>221</v>
      </c>
      <c r="DY18" s="143" t="s">
        <v>221</v>
      </c>
      <c r="DZ18" s="143" t="s">
        <v>221</v>
      </c>
      <c r="EA18" s="143" t="s">
        <v>221</v>
      </c>
      <c r="EB18" s="143" t="s">
        <v>221</v>
      </c>
      <c r="EC18" s="143" t="s">
        <v>221</v>
      </c>
      <c r="ED18" s="143" t="s">
        <v>221</v>
      </c>
      <c r="EE18" s="143" t="s">
        <v>221</v>
      </c>
      <c r="EF18" s="143" t="s">
        <v>221</v>
      </c>
      <c r="EG18" s="143" t="s">
        <v>221</v>
      </c>
      <c r="EH18" s="143" t="s">
        <v>221</v>
      </c>
      <c r="EI18" s="134">
        <v>43893</v>
      </c>
      <c r="EJ18" s="111" t="s">
        <v>385</v>
      </c>
      <c r="EK18" s="143" t="s">
        <v>256</v>
      </c>
      <c r="EL18" s="111" t="s">
        <v>428</v>
      </c>
      <c r="EM18" s="134">
        <v>43910</v>
      </c>
      <c r="EN18" s="134">
        <v>46076</v>
      </c>
      <c r="EO18" s="111" t="s">
        <v>234</v>
      </c>
      <c r="EP18" s="143" t="s">
        <v>243</v>
      </c>
      <c r="EQ18" s="111" t="s">
        <v>429</v>
      </c>
      <c r="ER18" s="111" t="s">
        <v>234</v>
      </c>
      <c r="ES18" s="143" t="s">
        <v>240</v>
      </c>
      <c r="ET18" s="111" t="s">
        <v>430</v>
      </c>
      <c r="EU18" s="111" t="s">
        <v>234</v>
      </c>
      <c r="EV18" s="143" t="s">
        <v>237</v>
      </c>
      <c r="EW18" s="111" t="s">
        <v>431</v>
      </c>
      <c r="EX18" s="111" t="s">
        <v>234</v>
      </c>
      <c r="EY18" s="143" t="s">
        <v>237</v>
      </c>
      <c r="EZ18" s="111" t="s">
        <v>432</v>
      </c>
      <c r="FA18" s="111" t="s">
        <v>285</v>
      </c>
      <c r="FB18" s="143" t="s">
        <v>237</v>
      </c>
      <c r="FC18" s="111" t="s">
        <v>433</v>
      </c>
      <c r="FD18" s="111" t="s">
        <v>350</v>
      </c>
      <c r="FE18" s="143" t="s">
        <v>237</v>
      </c>
      <c r="FF18" s="111" t="s">
        <v>434</v>
      </c>
      <c r="FG18" s="111" t="s">
        <v>285</v>
      </c>
      <c r="FH18" s="143" t="s">
        <v>275</v>
      </c>
      <c r="FI18" s="111" t="s">
        <v>435</v>
      </c>
      <c r="FJ18" s="111" t="s">
        <v>350</v>
      </c>
      <c r="FK18" s="143" t="s">
        <v>240</v>
      </c>
      <c r="FL18" s="111" t="s">
        <v>436</v>
      </c>
      <c r="FM18" s="111" t="s">
        <v>234</v>
      </c>
      <c r="FN18" s="111" t="s">
        <v>240</v>
      </c>
      <c r="FO18" s="111" t="s">
        <v>437</v>
      </c>
      <c r="FP18" s="111" t="s">
        <v>234</v>
      </c>
      <c r="FQ18" s="143" t="s">
        <v>256</v>
      </c>
      <c r="FR18" s="111" t="s">
        <v>438</v>
      </c>
      <c r="FS18" s="111" t="s">
        <v>239</v>
      </c>
      <c r="FT18" s="143" t="s">
        <v>240</v>
      </c>
      <c r="FU18" s="111" t="s">
        <v>439</v>
      </c>
      <c r="FV18" s="111" t="s">
        <v>234</v>
      </c>
      <c r="FW18" s="143" t="s">
        <v>275</v>
      </c>
      <c r="FX18" s="111" t="s">
        <v>440</v>
      </c>
      <c r="FY18" s="111" t="s">
        <v>350</v>
      </c>
      <c r="FZ18" s="143" t="s">
        <v>221</v>
      </c>
      <c r="GA18" s="143" t="s">
        <v>221</v>
      </c>
      <c r="GB18" s="143" t="s">
        <v>221</v>
      </c>
      <c r="GC18" s="143" t="s">
        <v>221</v>
      </c>
      <c r="GD18" s="143" t="s">
        <v>221</v>
      </c>
      <c r="GE18" s="143" t="s">
        <v>221</v>
      </c>
      <c r="GF18" s="141" t="s">
        <v>262</v>
      </c>
      <c r="GG18" s="144" t="s">
        <v>221</v>
      </c>
      <c r="GH18" s="132" t="s">
        <v>221</v>
      </c>
      <c r="GI18" s="136" t="s">
        <v>221</v>
      </c>
      <c r="GJ18" s="134">
        <v>46076</v>
      </c>
      <c r="GK18" s="134">
        <v>46084</v>
      </c>
      <c r="GL18" s="134" t="s">
        <v>441</v>
      </c>
      <c r="GM18" s="145" t="str">
        <f t="shared" si="1"/>
        <v>N/A</v>
      </c>
      <c r="GN18" s="145" t="str">
        <f t="shared" si="2"/>
        <v>N/A</v>
      </c>
      <c r="GO18" s="145" t="str">
        <f t="shared" si="3"/>
        <v>N/A</v>
      </c>
      <c r="GP18" s="145">
        <f t="shared" si="4"/>
        <v>1.4</v>
      </c>
      <c r="GQ18" s="145">
        <f t="shared" si="5"/>
        <v>103.1</v>
      </c>
      <c r="GR18" s="145">
        <f t="shared" si="6"/>
        <v>103.1</v>
      </c>
      <c r="GS18" s="145" t="str">
        <f t="shared" si="7"/>
        <v>N/A</v>
      </c>
      <c r="GT18" s="145" t="str">
        <f t="shared" si="8"/>
        <v>N/A</v>
      </c>
      <c r="GU18" s="145" t="str">
        <f t="shared" si="9"/>
        <v>N/A</v>
      </c>
      <c r="GV18" s="145" t="str">
        <f t="shared" si="10"/>
        <v>N/A</v>
      </c>
      <c r="GW18" s="145">
        <f t="shared" si="11"/>
        <v>2.9666666666666668</v>
      </c>
      <c r="GX18" s="145">
        <f t="shared" si="12"/>
        <v>3.8666666666666667</v>
      </c>
      <c r="GY18" s="145">
        <f t="shared" si="13"/>
        <v>43.3</v>
      </c>
      <c r="GZ18" s="145">
        <f t="shared" si="14"/>
        <v>43.866666666666667</v>
      </c>
      <c r="HA18" s="145">
        <f t="shared" si="15"/>
        <v>116.06666666666666</v>
      </c>
      <c r="HB18" s="145">
        <f t="shared" si="16"/>
        <v>43.3</v>
      </c>
      <c r="HC18" s="145" t="str">
        <f t="shared" si="17"/>
        <v>N/A</v>
      </c>
      <c r="HD18" s="145">
        <f t="shared" si="18"/>
        <v>116.06666666666666</v>
      </c>
      <c r="HE18" s="145">
        <f t="shared" si="19"/>
        <v>116.33333333333333</v>
      </c>
      <c r="HF18" s="146">
        <f t="shared" si="20"/>
        <v>116.33333333333333</v>
      </c>
      <c r="HG18" s="146" cm="1">
        <f t="array" ref="HG18">INDEX($HB18:$HD18,MATCH(TRUE,INDEX(ISNUMBER($HB18:$HD18),0),0))</f>
        <v>43.3</v>
      </c>
      <c r="HH18" s="147">
        <f t="shared" si="21"/>
        <v>1</v>
      </c>
      <c r="HI18" s="147">
        <f t="shared" si="22"/>
        <v>0</v>
      </c>
      <c r="HJ18" s="147">
        <f t="shared" si="23"/>
        <v>0</v>
      </c>
      <c r="HK18" s="148" t="str">
        <f t="shared" si="24"/>
        <v>1</v>
      </c>
    </row>
    <row r="20" spans="1:219" ht="15" customHeight="1" x14ac:dyDescent="0.3">
      <c r="H20" s="3"/>
      <c r="K20" s="3"/>
      <c r="P20" s="3"/>
      <c r="U20" s="3"/>
      <c r="Z20" s="3"/>
      <c r="AE20" s="3"/>
      <c r="AJ20" s="3"/>
      <c r="AO20" s="3"/>
      <c r="AR20" s="3"/>
      <c r="AS20" s="3"/>
      <c r="BG20" s="3"/>
      <c r="BJ20" s="3"/>
      <c r="BK20" s="3"/>
      <c r="CP20" s="3"/>
      <c r="CQ20" s="3"/>
      <c r="EI20" s="3"/>
      <c r="EM20" s="3"/>
      <c r="EN20" s="3"/>
      <c r="GG20" s="3"/>
      <c r="GJ20" s="3"/>
      <c r="GK20" s="3"/>
      <c r="GL20" s="3"/>
    </row>
    <row r="21" spans="1:219" ht="15" customHeight="1" x14ac:dyDescent="0.3">
      <c r="H21" s="3"/>
      <c r="K21" s="3"/>
      <c r="P21" s="3"/>
      <c r="U21" s="3"/>
      <c r="Z21" s="3"/>
      <c r="AE21" s="3"/>
      <c r="AJ21" s="3"/>
      <c r="AO21" s="3"/>
      <c r="AR21" s="3"/>
      <c r="AS21" s="3"/>
      <c r="BG21" s="3"/>
      <c r="BJ21" s="3"/>
      <c r="BK21" s="3"/>
      <c r="CP21" s="3"/>
      <c r="CQ21" s="3"/>
      <c r="EI21" s="3"/>
      <c r="EM21" s="3"/>
      <c r="EN21" s="3"/>
      <c r="GG21" s="3"/>
      <c r="GJ21" s="3"/>
      <c r="GK21" s="3"/>
      <c r="GL21" s="3"/>
    </row>
    <row r="22" spans="1:219" ht="15" customHeight="1" x14ac:dyDescent="0.3">
      <c r="H22" s="3"/>
      <c r="K22" s="3"/>
      <c r="P22" s="3"/>
      <c r="U22" s="3"/>
      <c r="Z22" s="3"/>
      <c r="AE22" s="3"/>
      <c r="AJ22" s="3"/>
      <c r="AO22" s="3"/>
      <c r="AR22" s="3"/>
      <c r="AS22" s="3"/>
      <c r="BG22" s="3"/>
      <c r="BJ22" s="3"/>
      <c r="BK22" s="3"/>
      <c r="CP22" s="3"/>
      <c r="CQ22" s="3"/>
      <c r="EI22" s="3"/>
      <c r="EM22" s="3"/>
      <c r="EN22" s="3"/>
      <c r="GG22" s="3"/>
      <c r="GJ22" s="3"/>
      <c r="GK22" s="3"/>
      <c r="GL22" s="3"/>
    </row>
    <row r="23" spans="1:219" ht="15" customHeight="1" x14ac:dyDescent="0.3">
      <c r="H23" s="3"/>
      <c r="K23" s="3"/>
      <c r="P23" s="3"/>
      <c r="U23" s="3"/>
      <c r="Z23" s="3"/>
      <c r="AE23" s="3"/>
      <c r="AJ23" s="3"/>
      <c r="AO23" s="3"/>
      <c r="AR23" s="3"/>
      <c r="AS23" s="3"/>
      <c r="BG23" s="3"/>
      <c r="BJ23" s="3"/>
      <c r="BK23" s="3"/>
      <c r="CP23" s="3"/>
      <c r="CQ23" s="3"/>
      <c r="EI23" s="3"/>
      <c r="EM23" s="3"/>
      <c r="EN23" s="3"/>
      <c r="GG23" s="3"/>
      <c r="GJ23" s="3"/>
      <c r="GK23" s="3"/>
      <c r="GL23" s="3"/>
    </row>
    <row r="24" spans="1:219" ht="15" customHeight="1" x14ac:dyDescent="0.3">
      <c r="H24" s="3"/>
      <c r="K24" s="3"/>
      <c r="P24" s="3"/>
      <c r="U24" s="3"/>
      <c r="Z24" s="3"/>
      <c r="AE24" s="3"/>
      <c r="AJ24" s="3"/>
      <c r="AO24" s="3"/>
      <c r="AR24" s="3"/>
      <c r="AS24" s="3"/>
      <c r="BG24" s="3"/>
      <c r="BJ24" s="3"/>
      <c r="BK24" s="3"/>
      <c r="CP24" s="3"/>
      <c r="CQ24" s="3"/>
      <c r="EI24" s="3"/>
      <c r="EM24" s="3"/>
      <c r="EN24" s="3"/>
      <c r="GG24" s="3"/>
      <c r="GJ24" s="3"/>
      <c r="GK24" s="3"/>
      <c r="GL24" s="3"/>
    </row>
    <row r="25" spans="1:219" ht="15" customHeight="1" x14ac:dyDescent="0.3">
      <c r="H25" s="3"/>
      <c r="K25" s="3"/>
      <c r="P25" s="3"/>
      <c r="U25" s="3"/>
      <c r="Z25" s="3"/>
      <c r="AE25" s="3"/>
      <c r="AJ25" s="3"/>
      <c r="AO25" s="3"/>
      <c r="AR25" s="3"/>
      <c r="AS25" s="3"/>
      <c r="BG25" s="3"/>
      <c r="BJ25" s="3"/>
      <c r="BK25" s="3"/>
      <c r="CP25" s="3"/>
      <c r="CQ25" s="3"/>
      <c r="EI25" s="3"/>
      <c r="EM25" s="3"/>
      <c r="EN25" s="3"/>
      <c r="GG25" s="3"/>
      <c r="GJ25" s="3"/>
      <c r="GK25" s="3"/>
      <c r="GL25" s="3"/>
    </row>
    <row r="26" spans="1:219" ht="15" customHeight="1" x14ac:dyDescent="0.3">
      <c r="H26" s="3"/>
      <c r="K26" s="3"/>
      <c r="P26" s="3"/>
      <c r="U26" s="3"/>
      <c r="Z26" s="3"/>
      <c r="AE26" s="3"/>
      <c r="AJ26" s="3"/>
      <c r="AO26" s="3"/>
      <c r="AR26" s="3"/>
      <c r="AS26" s="3"/>
      <c r="BG26" s="3"/>
      <c r="BJ26" s="3"/>
      <c r="BK26" s="3"/>
      <c r="CP26" s="3"/>
      <c r="CQ26" s="3"/>
      <c r="EI26" s="3"/>
      <c r="EM26" s="3"/>
      <c r="EN26" s="3"/>
      <c r="GG26" s="3"/>
      <c r="GJ26" s="3"/>
      <c r="GK26" s="3"/>
      <c r="GL26" s="3"/>
    </row>
    <row r="27" spans="1:219" ht="15" customHeight="1" x14ac:dyDescent="0.3">
      <c r="H27" s="3"/>
      <c r="K27" s="3"/>
      <c r="P27" s="3"/>
      <c r="U27" s="3"/>
      <c r="Z27" s="3"/>
      <c r="AE27" s="3"/>
      <c r="AJ27" s="3"/>
      <c r="AO27" s="3"/>
      <c r="AR27" s="3"/>
      <c r="AS27" s="3"/>
      <c r="BG27" s="3"/>
      <c r="BJ27" s="3"/>
      <c r="BK27" s="3"/>
      <c r="CP27" s="3"/>
      <c r="CQ27" s="3"/>
      <c r="EI27" s="3"/>
      <c r="EM27" s="3"/>
      <c r="EN27" s="3"/>
      <c r="GG27" s="3"/>
      <c r="GJ27" s="3"/>
      <c r="GK27" s="3"/>
      <c r="GL27" s="3"/>
    </row>
    <row r="28" spans="1:219" ht="15" customHeight="1" x14ac:dyDescent="0.3">
      <c r="H28" s="3"/>
      <c r="K28" s="3"/>
      <c r="P28" s="3"/>
      <c r="U28" s="3"/>
      <c r="Z28" s="3"/>
      <c r="AE28" s="3"/>
      <c r="AJ28" s="3"/>
      <c r="AO28" s="3"/>
      <c r="AR28" s="3"/>
      <c r="AS28" s="3"/>
      <c r="BG28" s="3"/>
      <c r="BJ28" s="3"/>
      <c r="BK28" s="3"/>
      <c r="CP28" s="3"/>
      <c r="CQ28" s="3"/>
      <c r="EI28" s="3"/>
      <c r="EM28" s="3"/>
      <c r="EN28" s="3"/>
      <c r="GG28" s="3"/>
      <c r="GJ28" s="3"/>
      <c r="GK28" s="3"/>
      <c r="GL28" s="3"/>
    </row>
    <row r="29" spans="1:219" ht="15" customHeight="1" x14ac:dyDescent="0.3">
      <c r="H29" s="3"/>
      <c r="K29" s="3"/>
      <c r="P29" s="3"/>
      <c r="U29" s="3"/>
      <c r="Z29" s="3"/>
      <c r="AE29" s="3"/>
      <c r="AJ29" s="3"/>
      <c r="AO29" s="3"/>
      <c r="AR29" s="3"/>
      <c r="AS29" s="3"/>
      <c r="BG29" s="3"/>
      <c r="BJ29" s="3"/>
      <c r="BK29" s="3"/>
      <c r="CP29" s="3"/>
      <c r="CQ29" s="3"/>
      <c r="EI29" s="3"/>
      <c r="EM29" s="3"/>
      <c r="EN29" s="3"/>
      <c r="GG29" s="3"/>
      <c r="GJ29" s="3"/>
      <c r="GK29" s="3"/>
      <c r="GL29" s="3"/>
    </row>
    <row r="30" spans="1:219" ht="15" customHeight="1" x14ac:dyDescent="0.3">
      <c r="H30" s="3"/>
      <c r="K30" s="3"/>
      <c r="P30" s="3"/>
      <c r="U30" s="3"/>
      <c r="Z30" s="3"/>
      <c r="AE30" s="3"/>
      <c r="AJ30" s="3"/>
      <c r="AO30" s="3"/>
      <c r="AR30" s="3"/>
      <c r="AS30" s="3"/>
      <c r="BG30" s="3"/>
      <c r="BJ30" s="3"/>
      <c r="BK30" s="3"/>
      <c r="CP30" s="3"/>
      <c r="CQ30" s="3"/>
      <c r="EI30" s="3"/>
      <c r="EM30" s="3"/>
      <c r="EN30" s="3"/>
      <c r="GG30" s="3"/>
      <c r="GJ30" s="3"/>
      <c r="GK30" s="3"/>
      <c r="GL30" s="3"/>
    </row>
    <row r="31" spans="1:219" ht="15" customHeight="1" x14ac:dyDescent="0.3">
      <c r="H31" s="3"/>
      <c r="K31" s="3"/>
      <c r="P31" s="3"/>
      <c r="U31" s="3"/>
      <c r="Z31" s="3"/>
      <c r="AE31" s="3"/>
      <c r="AJ31" s="3"/>
      <c r="AO31" s="3"/>
      <c r="AR31" s="3"/>
      <c r="AS31" s="3"/>
      <c r="BG31" s="3"/>
      <c r="BJ31" s="3"/>
      <c r="BK31" s="3"/>
      <c r="CP31" s="3"/>
      <c r="CQ31" s="3"/>
      <c r="EI31" s="3"/>
      <c r="EM31" s="3"/>
      <c r="EN31" s="3"/>
      <c r="GG31" s="3"/>
      <c r="GJ31" s="3"/>
      <c r="GK31" s="3"/>
      <c r="GL31" s="3"/>
    </row>
    <row r="32" spans="1:219" ht="15" customHeight="1" x14ac:dyDescent="0.3">
      <c r="H32" s="3"/>
      <c r="K32" s="3"/>
      <c r="P32" s="3"/>
      <c r="U32" s="3"/>
      <c r="Z32" s="3"/>
      <c r="AE32" s="3"/>
      <c r="AJ32" s="3"/>
      <c r="AO32" s="3"/>
      <c r="AR32" s="3"/>
      <c r="AS32" s="3"/>
      <c r="BG32" s="3"/>
      <c r="BJ32" s="3"/>
      <c r="BK32" s="3"/>
      <c r="CP32" s="3"/>
      <c r="CQ32" s="3"/>
      <c r="EI32" s="3"/>
      <c r="EM32" s="3"/>
      <c r="EN32" s="3"/>
      <c r="GG32" s="3"/>
      <c r="GJ32" s="3"/>
      <c r="GK32" s="3"/>
      <c r="GL32" s="3"/>
    </row>
    <row r="33" s="3" customFormat="1" ht="15" customHeight="1" x14ac:dyDescent="0.3"/>
    <row r="34" s="3" customFormat="1" ht="15" customHeight="1" x14ac:dyDescent="0.3"/>
    <row r="35" s="3" customFormat="1" ht="15" customHeight="1" x14ac:dyDescent="0.3"/>
    <row r="36" s="3" customFormat="1" ht="15" customHeight="1" x14ac:dyDescent="0.3"/>
    <row r="37" s="3" customFormat="1" ht="15" customHeight="1" x14ac:dyDescent="0.3"/>
    <row r="38" s="3" customFormat="1" ht="15" customHeight="1" x14ac:dyDescent="0.3"/>
    <row r="39" s="3" customFormat="1" ht="15" customHeight="1" x14ac:dyDescent="0.3"/>
    <row r="40" s="3" customFormat="1" ht="15" customHeight="1" x14ac:dyDescent="0.3"/>
    <row r="41" s="3" customFormat="1" ht="15" customHeight="1" x14ac:dyDescent="0.3"/>
    <row r="42" s="3" customFormat="1" ht="15" customHeight="1" x14ac:dyDescent="0.3"/>
    <row r="43" s="3" customFormat="1" ht="15" customHeight="1" x14ac:dyDescent="0.3"/>
    <row r="44" s="3" customFormat="1" ht="15" customHeight="1" x14ac:dyDescent="0.3"/>
    <row r="45" s="3" customFormat="1" ht="15" customHeight="1" x14ac:dyDescent="0.3"/>
    <row r="46" s="3" customFormat="1" ht="15" customHeight="1" x14ac:dyDescent="0.3"/>
    <row r="47" s="3" customFormat="1" ht="15" customHeight="1" x14ac:dyDescent="0.3"/>
    <row r="48" s="3" customFormat="1" ht="15" customHeight="1" x14ac:dyDescent="0.3"/>
    <row r="49" s="3" customFormat="1" ht="15" customHeight="1" x14ac:dyDescent="0.3"/>
    <row r="50" s="3" customFormat="1" ht="15" customHeight="1" x14ac:dyDescent="0.3"/>
    <row r="51" s="3" customFormat="1" ht="15" customHeight="1" x14ac:dyDescent="0.3"/>
  </sheetData>
  <conditionalFormatting sqref="M4">
    <cfRule type="duplicateValues" dxfId="308" priority="2"/>
  </conditionalFormatting>
  <conditionalFormatting sqref="AL4">
    <cfRule type="duplicateValues" dxfId="307" priority="1"/>
  </conditionalFormatting>
  <dataValidations count="1">
    <dataValidation type="list" allowBlank="1" showInputMessage="1" showErrorMessage="1" sqref="GF4:GF18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AX4:AY4 BG9:EH9 AX16:AY16 GH4 GH6:GH9 GH12:GH18 BF4:BF18 AW4:AW18 D4:D18 B4:B18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CO5:CR5 CT5:CU5 CW5:CX5 CZ5:DA5 EL7:EO7 EQ7:ER7 ET7:EU7 CT10:CU10 CW10:CX10 CZ10:DA10 CV10:CV11 DB10:EH11 CY10:CY11 EL10:EO12 EQ10:ER12 ET9:EU12 EW7:EX12 CS10:CS12 BN15:BO15 BQ15:BR15 CO14:EH15 EL15:EO16 EQ14:ER16 CO17:CR17 CT17:CU17 ET14:EU17 EW14:EX17 EZ7:FA17 FC7:FD17 FF7:FG17 FI6:FJ17 FL6:FP17 FR6:FS17 FU6:FV17 FX6:FY17 EK4 CN4:CN6 DB5:DB6 CS5:CS6 CY5:CY6 CV5:CV6 DC5:EH5 BH5 BM8 BH8 BP8:EH8 CN10:CN15 BH14:BH15 BM14:BM15 BP14:BP15 BS14:CM15 FB6:FB18 FE6:FE18 FH6:FH18 FQ6:FQ18 FT6:FT18 FW6:FW18 FZ6:GE18 FK6:FK18 EY6:EY18 EV6:EV18 ES6:ES18 EP6:EP18 EK6:EK18 BH17 BM17:CM17 CV17:EH18 CN17:CN18 CS17:CS18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V10 V5:V8 Q4:Q18 AP4:AP18 C4:C18 W5:AK18 V12 V14:V18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AV4:AV18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AD28"/>
  <sheetViews>
    <sheetView workbookViewId="0">
      <selection activeCell="AQ35" sqref="AQ35"/>
    </sheetView>
  </sheetViews>
  <sheetFormatPr defaultRowHeight="12.5" x14ac:dyDescent="0.25"/>
  <cols>
    <col min="1" max="1" width="13" customWidth="1"/>
    <col min="2" max="2" width="30.7265625" customWidth="1"/>
    <col min="3" max="3" width="40.26953125" customWidth="1"/>
    <col min="4" max="4" width="38.1796875" customWidth="1"/>
    <col min="5" max="5" width="31.36328125" customWidth="1"/>
    <col min="6" max="6" width="32.1796875" customWidth="1"/>
    <col min="7" max="7" width="28.26953125" customWidth="1"/>
    <col min="8" max="8" width="24.36328125" customWidth="1"/>
    <col min="9" max="9" width="37.54296875" customWidth="1"/>
    <col min="10" max="10" width="39.08984375" customWidth="1"/>
    <col min="11" max="11" width="46.7265625" customWidth="1"/>
    <col min="12" max="12" width="34.90625" customWidth="1"/>
    <col min="13" max="13" width="37.54296875" customWidth="1"/>
    <col min="14" max="14" width="45.453125" customWidth="1"/>
    <col min="15" max="15" width="30.81640625" customWidth="1"/>
    <col min="16" max="16" width="41.36328125" customWidth="1"/>
    <col min="17" max="17" width="40.26953125" customWidth="1"/>
    <col min="18" max="18" width="36.1796875" customWidth="1"/>
    <col min="19" max="19" width="38.6328125" customWidth="1"/>
    <col min="20" max="20" width="34.54296875" customWidth="1"/>
    <col min="21" max="21" width="45.54296875" customWidth="1"/>
    <col min="22" max="23" width="46.7265625" customWidth="1"/>
    <col min="24" max="24" width="34.7265625" customWidth="1"/>
    <col min="25" max="26" width="46.7265625" customWidth="1"/>
    <col min="27" max="27" width="30.6328125" bestFit="1" customWidth="1"/>
    <col min="28" max="28" width="37.54296875" customWidth="1"/>
    <col min="29" max="29" width="38.1796875" customWidth="1"/>
    <col min="30" max="30" width="30.6328125" bestFit="1" customWidth="1"/>
    <col min="32" max="32" width="30.6328125" bestFit="1" customWidth="1"/>
    <col min="33" max="33" width="23.36328125" bestFit="1" customWidth="1"/>
    <col min="34" max="34" width="28" bestFit="1" customWidth="1"/>
    <col min="35" max="35" width="30.6328125" bestFit="1" customWidth="1"/>
    <col min="36" max="36" width="17.90625" bestFit="1" customWidth="1"/>
    <col min="37" max="37" width="18.6328125" bestFit="1" customWidth="1"/>
    <col min="38" max="38" width="29.90625" bestFit="1" customWidth="1"/>
    <col min="39" max="39" width="30.6328125" bestFit="1" customWidth="1"/>
    <col min="40" max="40" width="15.08984375" bestFit="1" customWidth="1"/>
    <col min="41" max="41" width="30.6328125" bestFit="1" customWidth="1"/>
    <col min="42" max="42" width="28.36328125" bestFit="1" customWidth="1"/>
    <col min="43" max="43" width="30.6328125" bestFit="1" customWidth="1"/>
    <col min="44" max="46" width="17.08984375" bestFit="1" customWidth="1"/>
    <col min="48" max="48" width="24.90625" bestFit="1" customWidth="1"/>
    <col min="49" max="49" width="30.6328125" bestFit="1" customWidth="1"/>
    <col min="50" max="50" width="27.36328125" bestFit="1" customWidth="1"/>
    <col min="51" max="51" width="30.6328125" bestFit="1" customWidth="1"/>
  </cols>
  <sheetData>
    <row r="1" spans="1:30" ht="13" x14ac:dyDescent="0.25">
      <c r="A1" s="118" t="s">
        <v>1</v>
      </c>
      <c r="B1" s="119" t="s">
        <v>5</v>
      </c>
      <c r="C1" s="110" t="s">
        <v>442</v>
      </c>
      <c r="D1" s="125" t="s">
        <v>443</v>
      </c>
      <c r="E1" s="149" t="s">
        <v>444</v>
      </c>
    </row>
    <row r="2" spans="1:30" x14ac:dyDescent="0.25">
      <c r="A2" s="84">
        <v>6229691280</v>
      </c>
      <c r="B2" s="112" t="s">
        <v>225</v>
      </c>
      <c r="C2" s="84" t="s">
        <v>221</v>
      </c>
      <c r="D2" s="112" t="s">
        <v>221</v>
      </c>
      <c r="E2" s="112" t="s">
        <v>445</v>
      </c>
    </row>
    <row r="3" spans="1:30" x14ac:dyDescent="0.25">
      <c r="A3" s="84">
        <v>4124075472</v>
      </c>
      <c r="B3" s="112" t="s">
        <v>325</v>
      </c>
      <c r="C3" s="84" t="s">
        <v>221</v>
      </c>
      <c r="D3" s="112" t="s">
        <v>221</v>
      </c>
      <c r="E3" s="112" t="s">
        <v>445</v>
      </c>
    </row>
    <row r="4" spans="1:30" x14ac:dyDescent="0.25">
      <c r="A4" s="84">
        <v>4381374088</v>
      </c>
      <c r="B4" s="112" t="s">
        <v>335</v>
      </c>
      <c r="C4" s="84" t="s">
        <v>335</v>
      </c>
      <c r="D4" s="112" t="s">
        <v>92</v>
      </c>
      <c r="E4" s="112" t="s">
        <v>446</v>
      </c>
    </row>
    <row r="5" spans="1:30" x14ac:dyDescent="0.25">
      <c r="A5" s="84">
        <v>4445569178</v>
      </c>
      <c r="B5" s="112" t="s">
        <v>366</v>
      </c>
      <c r="C5" s="84" t="s">
        <v>366</v>
      </c>
      <c r="D5" s="112" t="s">
        <v>92</v>
      </c>
      <c r="E5" s="112" t="s">
        <v>447</v>
      </c>
    </row>
    <row r="6" spans="1:30" x14ac:dyDescent="0.25">
      <c r="A6" s="107">
        <v>4160571263</v>
      </c>
      <c r="B6" s="124" t="s">
        <v>399</v>
      </c>
      <c r="C6" s="107" t="s">
        <v>221</v>
      </c>
      <c r="D6" s="124" t="s">
        <v>221</v>
      </c>
      <c r="E6" s="124" t="s">
        <v>448</v>
      </c>
    </row>
    <row r="9" spans="1:30" ht="26" x14ac:dyDescent="0.25">
      <c r="A9" s="118" t="s">
        <v>1</v>
      </c>
      <c r="B9" s="119" t="s">
        <v>5</v>
      </c>
      <c r="C9" s="106" t="s">
        <v>449</v>
      </c>
      <c r="D9" s="113" t="s">
        <v>450</v>
      </c>
      <c r="E9" s="113" t="s">
        <v>451</v>
      </c>
      <c r="F9" s="113" t="s">
        <v>452</v>
      </c>
      <c r="G9" s="113" t="s">
        <v>453</v>
      </c>
      <c r="H9" s="113" t="s">
        <v>454</v>
      </c>
      <c r="I9" s="113" t="s">
        <v>455</v>
      </c>
      <c r="J9" s="113" t="s">
        <v>456</v>
      </c>
      <c r="K9" s="113" t="s">
        <v>457</v>
      </c>
      <c r="L9" s="113" t="s">
        <v>458</v>
      </c>
      <c r="M9" s="113" t="s">
        <v>459</v>
      </c>
      <c r="N9" s="113" t="s">
        <v>460</v>
      </c>
      <c r="O9" s="113" t="s">
        <v>461</v>
      </c>
      <c r="P9" s="113" t="s">
        <v>462</v>
      </c>
      <c r="Q9" s="113" t="s">
        <v>463</v>
      </c>
      <c r="R9" s="113" t="s">
        <v>464</v>
      </c>
      <c r="S9" s="113" t="s">
        <v>465</v>
      </c>
      <c r="T9" s="113" t="s">
        <v>466</v>
      </c>
      <c r="U9" s="126" t="s">
        <v>467</v>
      </c>
      <c r="V9" s="126" t="s">
        <v>468</v>
      </c>
      <c r="W9" s="126" t="s">
        <v>469</v>
      </c>
      <c r="X9" s="126" t="s">
        <v>470</v>
      </c>
      <c r="Y9" s="126" t="s">
        <v>471</v>
      </c>
      <c r="Z9" s="126" t="s">
        <v>472</v>
      </c>
      <c r="AA9" s="126" t="s">
        <v>473</v>
      </c>
      <c r="AB9" s="110" t="s">
        <v>442</v>
      </c>
      <c r="AC9" s="110" t="s">
        <v>443</v>
      </c>
      <c r="AD9" s="150" t="s">
        <v>444</v>
      </c>
    </row>
    <row r="10" spans="1:30" ht="13" x14ac:dyDescent="0.3">
      <c r="A10" s="84">
        <v>4583316437</v>
      </c>
      <c r="B10" s="84" t="s">
        <v>248</v>
      </c>
      <c r="C10" s="84" t="s">
        <v>231</v>
      </c>
      <c r="D10" s="84" t="s">
        <v>234</v>
      </c>
      <c r="E10" s="84">
        <v>351</v>
      </c>
      <c r="F10" s="84" t="s">
        <v>220</v>
      </c>
      <c r="G10" s="84" t="s">
        <v>222</v>
      </c>
      <c r="H10" s="84" t="s">
        <v>222</v>
      </c>
      <c r="I10" s="84" t="s">
        <v>222</v>
      </c>
      <c r="J10" s="84" t="s">
        <v>474</v>
      </c>
      <c r="K10" s="84" t="s">
        <v>474</v>
      </c>
      <c r="L10" s="67">
        <v>44672</v>
      </c>
      <c r="M10" s="67">
        <v>44681</v>
      </c>
      <c r="N10" s="84" t="s">
        <v>221</v>
      </c>
      <c r="O10" s="84" t="s">
        <v>221</v>
      </c>
      <c r="P10" s="84" t="s">
        <v>221</v>
      </c>
      <c r="Q10" s="120" t="str">
        <f>IFERROR(INT(N10 -$M10)/30,"N/A")</f>
        <v>N/A</v>
      </c>
      <c r="R10" s="120" t="str">
        <f>IFERROR(INT(P10 -$M10)/30,"N/A")</f>
        <v>N/A</v>
      </c>
      <c r="S10" s="120" t="str">
        <f>IFERROR(INT(N10 -$L10)/30,"N/A")</f>
        <v>N/A</v>
      </c>
      <c r="T10" s="127" t="str">
        <f>IFERROR(INT(P10 -$M10)/30,"N/A")</f>
        <v>N/A</v>
      </c>
      <c r="U10" s="84" t="s">
        <v>222</v>
      </c>
      <c r="V10" s="84" t="s">
        <v>220</v>
      </c>
      <c r="W10" s="84" t="s">
        <v>220</v>
      </c>
      <c r="X10" s="84" t="s">
        <v>221</v>
      </c>
      <c r="Y10" s="120" t="str">
        <f t="shared" ref="Y10:Y12" si="0">IFERROR(INT(X10 -$L10)/30,"N/A")</f>
        <v>N/A</v>
      </c>
      <c r="Z10" s="84" t="s">
        <v>475</v>
      </c>
      <c r="AA10" s="84" t="s">
        <v>221</v>
      </c>
      <c r="AB10" s="128" t="s">
        <v>221</v>
      </c>
      <c r="AC10" s="112" t="s">
        <v>221</v>
      </c>
      <c r="AD10" s="112" t="s">
        <v>476</v>
      </c>
    </row>
    <row r="11" spans="1:30" ht="13" x14ac:dyDescent="0.3">
      <c r="A11" s="48">
        <v>4520391709</v>
      </c>
      <c r="B11" s="48" t="s">
        <v>307</v>
      </c>
      <c r="C11" s="84" t="s">
        <v>477</v>
      </c>
      <c r="D11" s="84" t="s">
        <v>478</v>
      </c>
      <c r="E11" s="84">
        <v>46</v>
      </c>
      <c r="F11" s="84" t="s">
        <v>220</v>
      </c>
      <c r="G11" s="84" t="s">
        <v>220</v>
      </c>
      <c r="H11" s="84" t="s">
        <v>220</v>
      </c>
      <c r="I11" s="84" t="s">
        <v>220</v>
      </c>
      <c r="J11" s="84">
        <v>7.8</v>
      </c>
      <c r="K11" s="84" t="s">
        <v>234</v>
      </c>
      <c r="L11" s="67">
        <v>42534</v>
      </c>
      <c r="M11" s="67">
        <v>42600</v>
      </c>
      <c r="N11" s="67">
        <v>44229</v>
      </c>
      <c r="O11" s="84" t="s">
        <v>479</v>
      </c>
      <c r="P11" s="67">
        <v>44229</v>
      </c>
      <c r="Q11" s="120">
        <f>IFERROR(INT(N11 -$M11)/30,"N/A")</f>
        <v>54.3</v>
      </c>
      <c r="R11" s="120">
        <f>IFERROR(INT(P11 -$M11)/30,"N/A")</f>
        <v>54.3</v>
      </c>
      <c r="S11" s="120">
        <f>IFERROR(INT(N11 -$L11)/30,"N/A")</f>
        <v>56.5</v>
      </c>
      <c r="T11" s="127">
        <f>IFERROR(INT(P11 -$L11)/30,"N/A")</f>
        <v>56.5</v>
      </c>
      <c r="U11" s="84" t="s">
        <v>220</v>
      </c>
      <c r="V11" s="84" t="s">
        <v>220</v>
      </c>
      <c r="W11" s="84" t="s">
        <v>220</v>
      </c>
      <c r="X11" s="84" t="s">
        <v>221</v>
      </c>
      <c r="Y11" s="120" t="str">
        <f t="shared" si="0"/>
        <v>N/A</v>
      </c>
      <c r="Z11" s="84" t="s">
        <v>480</v>
      </c>
      <c r="AA11" s="84" t="s">
        <v>221</v>
      </c>
      <c r="AB11" s="128" t="s">
        <v>307</v>
      </c>
      <c r="AC11" s="112" t="s">
        <v>146</v>
      </c>
      <c r="AD11" s="112" t="s">
        <v>476</v>
      </c>
    </row>
    <row r="12" spans="1:30" ht="13" x14ac:dyDescent="0.3">
      <c r="A12" s="111">
        <v>4947349018</v>
      </c>
      <c r="B12" s="111" t="s">
        <v>377</v>
      </c>
      <c r="C12" s="107" t="s">
        <v>231</v>
      </c>
      <c r="D12" s="107" t="s">
        <v>234</v>
      </c>
      <c r="E12" s="107">
        <v>2.9</v>
      </c>
      <c r="F12" s="107" t="s">
        <v>220</v>
      </c>
      <c r="G12" s="107" t="s">
        <v>481</v>
      </c>
      <c r="H12" s="107" t="s">
        <v>220</v>
      </c>
      <c r="I12" s="107" t="s">
        <v>220</v>
      </c>
      <c r="J12" s="107" t="s">
        <v>221</v>
      </c>
      <c r="K12" s="107" t="s">
        <v>221</v>
      </c>
      <c r="L12" s="134">
        <v>45120</v>
      </c>
      <c r="M12" s="134">
        <v>45237</v>
      </c>
      <c r="N12" s="107" t="s">
        <v>221</v>
      </c>
      <c r="O12" s="107" t="s">
        <v>221</v>
      </c>
      <c r="P12" s="134">
        <v>45314</v>
      </c>
      <c r="Q12" s="151" t="str">
        <f>IFERROR(INT(N12 -$M12)/30,"N/A")</f>
        <v>N/A</v>
      </c>
      <c r="R12" s="151">
        <f>IFERROR(INT(P12 -$M12)/30,"N/A")</f>
        <v>2.5666666666666669</v>
      </c>
      <c r="S12" s="151" t="str">
        <f>IFERROR(INT(N12 -$L12)/30,"N/A")</f>
        <v>N/A</v>
      </c>
      <c r="T12" s="152">
        <f>IFERROR(INT(P12 -$L12)/30,"N/A")</f>
        <v>6.4666666666666668</v>
      </c>
      <c r="U12" s="107" t="s">
        <v>222</v>
      </c>
      <c r="V12" s="107" t="s">
        <v>220</v>
      </c>
      <c r="W12" s="107" t="s">
        <v>220</v>
      </c>
      <c r="X12" s="107" t="s">
        <v>221</v>
      </c>
      <c r="Y12" s="151" t="str">
        <f t="shared" si="0"/>
        <v>N/A</v>
      </c>
      <c r="Z12" s="107" t="s">
        <v>475</v>
      </c>
      <c r="AA12" s="107" t="s">
        <v>221</v>
      </c>
      <c r="AB12" s="153" t="s">
        <v>221</v>
      </c>
      <c r="AC12" s="124" t="s">
        <v>221</v>
      </c>
      <c r="AD12" s="124" t="s">
        <v>476</v>
      </c>
    </row>
    <row r="15" spans="1:30" ht="13" x14ac:dyDescent="0.25">
      <c r="A15" s="154" t="s">
        <v>1</v>
      </c>
      <c r="B15" s="155" t="s">
        <v>5</v>
      </c>
      <c r="C15" s="155" t="s">
        <v>482</v>
      </c>
      <c r="D15" s="155" t="s">
        <v>483</v>
      </c>
      <c r="E15" s="155" t="s">
        <v>484</v>
      </c>
      <c r="F15" s="155" t="s">
        <v>485</v>
      </c>
      <c r="G15" s="155" t="s">
        <v>486</v>
      </c>
      <c r="H15" s="155" t="s">
        <v>487</v>
      </c>
      <c r="I15" s="155" t="s">
        <v>488</v>
      </c>
      <c r="J15" s="155" t="s">
        <v>489</v>
      </c>
      <c r="K15" s="155" t="s">
        <v>490</v>
      </c>
      <c r="L15" s="155" t="s">
        <v>491</v>
      </c>
      <c r="M15" s="156" t="s">
        <v>442</v>
      </c>
      <c r="N15" s="156" t="s">
        <v>443</v>
      </c>
      <c r="O15" s="157" t="s">
        <v>444</v>
      </c>
    </row>
    <row r="16" spans="1:30" ht="13" x14ac:dyDescent="0.3">
      <c r="A16" s="128">
        <v>4787155423</v>
      </c>
      <c r="B16" s="48" t="s">
        <v>265</v>
      </c>
      <c r="C16" s="84" t="s">
        <v>492</v>
      </c>
      <c r="D16" s="84" t="s">
        <v>234</v>
      </c>
      <c r="E16" s="52" t="s">
        <v>493</v>
      </c>
      <c r="F16" s="52" t="s">
        <v>493</v>
      </c>
      <c r="G16" s="84" t="s">
        <v>494</v>
      </c>
      <c r="H16" s="84" t="s">
        <v>221</v>
      </c>
      <c r="I16" s="84" t="s">
        <v>234</v>
      </c>
      <c r="J16" s="84" t="s">
        <v>221</v>
      </c>
      <c r="K16" s="84" t="s">
        <v>221</v>
      </c>
      <c r="L16" s="84" t="s">
        <v>221</v>
      </c>
      <c r="M16" s="48" t="s">
        <v>265</v>
      </c>
      <c r="N16" s="112" t="s">
        <v>161</v>
      </c>
      <c r="O16" s="112" t="s">
        <v>495</v>
      </c>
    </row>
    <row r="17" spans="1:15" ht="13" x14ac:dyDescent="0.3">
      <c r="A17" s="50">
        <v>4388771279</v>
      </c>
      <c r="B17" s="48" t="s">
        <v>345</v>
      </c>
      <c r="C17" s="84" t="s">
        <v>221</v>
      </c>
      <c r="D17" s="84" t="s">
        <v>234</v>
      </c>
      <c r="E17" s="84" t="s">
        <v>493</v>
      </c>
      <c r="F17" s="52" t="s">
        <v>496</v>
      </c>
      <c r="G17" s="84" t="s">
        <v>494</v>
      </c>
      <c r="H17" s="84" t="s">
        <v>221</v>
      </c>
      <c r="I17" s="84" t="s">
        <v>221</v>
      </c>
      <c r="J17" s="84" t="s">
        <v>221</v>
      </c>
      <c r="K17" s="84" t="s">
        <v>221</v>
      </c>
      <c r="L17" s="84" t="s">
        <v>221</v>
      </c>
      <c r="M17" s="84" t="s">
        <v>221</v>
      </c>
      <c r="N17" s="112" t="s">
        <v>221</v>
      </c>
      <c r="O17" s="112" t="s">
        <v>495</v>
      </c>
    </row>
    <row r="18" spans="1:15" ht="13" x14ac:dyDescent="0.3">
      <c r="A18" s="50">
        <v>4406553371</v>
      </c>
      <c r="B18" s="48" t="s">
        <v>355</v>
      </c>
      <c r="C18" s="84" t="s">
        <v>221</v>
      </c>
      <c r="D18" s="84" t="s">
        <v>234</v>
      </c>
      <c r="E18" s="84" t="s">
        <v>493</v>
      </c>
      <c r="F18" s="52" t="s">
        <v>496</v>
      </c>
      <c r="G18" s="84" t="s">
        <v>494</v>
      </c>
      <c r="H18" s="84" t="s">
        <v>221</v>
      </c>
      <c r="I18" s="84" t="s">
        <v>234</v>
      </c>
      <c r="J18" s="84" t="s">
        <v>221</v>
      </c>
      <c r="K18" s="84" t="s">
        <v>221</v>
      </c>
      <c r="L18" s="84" t="s">
        <v>221</v>
      </c>
      <c r="M18" s="48" t="s">
        <v>355</v>
      </c>
      <c r="N18" s="112" t="s">
        <v>97</v>
      </c>
      <c r="O18" s="112" t="s">
        <v>495</v>
      </c>
    </row>
    <row r="19" spans="1:15" ht="13" x14ac:dyDescent="0.3">
      <c r="A19" s="136">
        <v>6060874681</v>
      </c>
      <c r="B19" s="111" t="s">
        <v>420</v>
      </c>
      <c r="C19" s="107" t="s">
        <v>497</v>
      </c>
      <c r="D19" s="107" t="s">
        <v>234</v>
      </c>
      <c r="E19" s="158" t="s">
        <v>493</v>
      </c>
      <c r="F19" s="158" t="s">
        <v>493</v>
      </c>
      <c r="G19" s="107" t="s">
        <v>494</v>
      </c>
      <c r="H19" s="107" t="s">
        <v>221</v>
      </c>
      <c r="I19" s="107">
        <v>2.2799999999999998</v>
      </c>
      <c r="J19" s="107" t="s">
        <v>498</v>
      </c>
      <c r="K19" s="107" t="s">
        <v>499</v>
      </c>
      <c r="L19" s="107" t="s">
        <v>221</v>
      </c>
      <c r="M19" s="111" t="s">
        <v>420</v>
      </c>
      <c r="N19" s="124" t="s">
        <v>164</v>
      </c>
      <c r="O19" s="124" t="s">
        <v>495</v>
      </c>
    </row>
    <row r="22" spans="1:15" ht="13" x14ac:dyDescent="0.25">
      <c r="A22" s="159" t="s">
        <v>1</v>
      </c>
      <c r="B22" s="121" t="s">
        <v>5</v>
      </c>
      <c r="C22" s="108" t="s">
        <v>500</v>
      </c>
      <c r="D22" s="122" t="s">
        <v>501</v>
      </c>
      <c r="E22" s="109" t="s">
        <v>483</v>
      </c>
      <c r="F22" s="109" t="s">
        <v>502</v>
      </c>
      <c r="G22" s="109" t="s">
        <v>503</v>
      </c>
      <c r="H22" s="109" t="s">
        <v>504</v>
      </c>
      <c r="I22" s="110" t="s">
        <v>442</v>
      </c>
      <c r="J22" s="110" t="s">
        <v>443</v>
      </c>
      <c r="K22" s="150" t="s">
        <v>444</v>
      </c>
    </row>
    <row r="23" spans="1:15" ht="13" x14ac:dyDescent="0.3">
      <c r="A23" s="153">
        <v>4848755808</v>
      </c>
      <c r="B23" s="111" t="s">
        <v>296</v>
      </c>
      <c r="C23" s="107" t="s">
        <v>505</v>
      </c>
      <c r="D23" s="107" t="s">
        <v>506</v>
      </c>
      <c r="E23" s="107" t="s">
        <v>251</v>
      </c>
      <c r="F23" s="107" t="s">
        <v>221</v>
      </c>
      <c r="G23" s="107" t="s">
        <v>221</v>
      </c>
      <c r="H23" s="124" t="s">
        <v>507</v>
      </c>
      <c r="I23" s="107" t="s">
        <v>221</v>
      </c>
      <c r="J23" s="124" t="s">
        <v>221</v>
      </c>
      <c r="K23" s="124" t="s">
        <v>508</v>
      </c>
    </row>
    <row r="26" spans="1:15" ht="13" x14ac:dyDescent="0.25">
      <c r="A26" s="123" t="s">
        <v>1</v>
      </c>
      <c r="B26" s="110" t="s">
        <v>5</v>
      </c>
      <c r="C26" s="110" t="s">
        <v>501</v>
      </c>
      <c r="D26" s="110" t="s">
        <v>483</v>
      </c>
      <c r="E26" s="110" t="s">
        <v>502</v>
      </c>
      <c r="F26" s="110" t="s">
        <v>503</v>
      </c>
      <c r="G26" s="110" t="s">
        <v>504</v>
      </c>
      <c r="H26" s="110" t="s">
        <v>509</v>
      </c>
      <c r="I26" s="110" t="s">
        <v>510</v>
      </c>
      <c r="J26" s="110" t="s">
        <v>511</v>
      </c>
      <c r="K26" s="110" t="s">
        <v>512</v>
      </c>
      <c r="L26" s="110" t="s">
        <v>513</v>
      </c>
      <c r="M26" s="110" t="s">
        <v>442</v>
      </c>
      <c r="N26" s="110" t="s">
        <v>443</v>
      </c>
      <c r="O26" s="150" t="s">
        <v>444</v>
      </c>
    </row>
    <row r="27" spans="1:15" ht="14.5" x14ac:dyDescent="0.35">
      <c r="A27" s="111">
        <v>4507901820</v>
      </c>
      <c r="B27" s="111" t="s">
        <v>390</v>
      </c>
      <c r="C27" s="107" t="s">
        <v>221</v>
      </c>
      <c r="D27" s="107" t="s">
        <v>298</v>
      </c>
      <c r="E27" s="107" t="s">
        <v>507</v>
      </c>
      <c r="F27" s="107" t="s">
        <v>507</v>
      </c>
      <c r="G27" s="107" t="s">
        <v>507</v>
      </c>
      <c r="H27" s="107" t="s">
        <v>514</v>
      </c>
      <c r="I27" s="107" t="s">
        <v>515</v>
      </c>
      <c r="J27" s="107" t="s">
        <v>516</v>
      </c>
      <c r="K27" s="107" t="s">
        <v>507</v>
      </c>
      <c r="L27" s="107" t="s">
        <v>221</v>
      </c>
      <c r="M27" s="107" t="s">
        <v>221</v>
      </c>
      <c r="N27" s="124" t="s">
        <v>221</v>
      </c>
      <c r="O27" s="160" t="s">
        <v>517</v>
      </c>
    </row>
    <row r="28" spans="1:15" ht="14.5" x14ac:dyDescent="0.35">
      <c r="A28" s="111">
        <v>4382138280</v>
      </c>
      <c r="B28" s="111" t="s">
        <v>409</v>
      </c>
      <c r="C28" s="107" t="s">
        <v>221</v>
      </c>
      <c r="D28" s="107" t="s">
        <v>309</v>
      </c>
      <c r="E28" s="107" t="s">
        <v>507</v>
      </c>
      <c r="F28" s="107" t="s">
        <v>507</v>
      </c>
      <c r="G28" s="107" t="s">
        <v>507</v>
      </c>
      <c r="H28" s="107" t="s">
        <v>518</v>
      </c>
      <c r="I28" s="161">
        <v>0.05</v>
      </c>
      <c r="J28" s="107" t="s">
        <v>507</v>
      </c>
      <c r="K28" s="107" t="s">
        <v>507</v>
      </c>
      <c r="L28" s="124" t="s">
        <v>519</v>
      </c>
      <c r="M28" s="107" t="s">
        <v>221</v>
      </c>
      <c r="N28" s="124" t="s">
        <v>221</v>
      </c>
      <c r="O28" s="162" t="s">
        <v>517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A9D-6573-4B56-88BB-E6F5034748D6}">
  <sheetPr codeName="Sheet2"/>
  <dimension ref="A1:L35"/>
  <sheetViews>
    <sheetView workbookViewId="0">
      <selection activeCell="A2" sqref="A2:A35"/>
    </sheetView>
  </sheetViews>
  <sheetFormatPr defaultRowHeight="12.5" x14ac:dyDescent="0.25"/>
  <cols>
    <col min="1" max="1" width="13.81640625" customWidth="1"/>
    <col min="2" max="2" width="19.453125" customWidth="1"/>
    <col min="3" max="3" width="38.54296875" customWidth="1"/>
    <col min="5" max="5" width="38.54296875" customWidth="1"/>
    <col min="7" max="7" width="38.54296875" customWidth="1"/>
    <col min="9" max="9" width="38.54296875" customWidth="1"/>
    <col min="11" max="11" width="38.54296875" customWidth="1"/>
  </cols>
  <sheetData>
    <row r="1" spans="1:12" ht="40.5" customHeight="1" x14ac:dyDescent="0.25">
      <c r="A1" s="163" t="s">
        <v>520</v>
      </c>
      <c r="B1" s="163" t="s">
        <v>521</v>
      </c>
      <c r="C1" s="164" t="s">
        <v>522</v>
      </c>
      <c r="D1" s="164" t="s">
        <v>523</v>
      </c>
      <c r="E1" s="164" t="s">
        <v>524</v>
      </c>
      <c r="F1" s="164" t="s">
        <v>525</v>
      </c>
      <c r="G1" s="164" t="s">
        <v>526</v>
      </c>
      <c r="H1" s="164" t="s">
        <v>527</v>
      </c>
      <c r="I1" s="164" t="s">
        <v>528</v>
      </c>
      <c r="J1" s="164" t="s">
        <v>529</v>
      </c>
      <c r="K1" s="164" t="s">
        <v>530</v>
      </c>
      <c r="L1" s="165" t="s">
        <v>531</v>
      </c>
    </row>
    <row r="2" spans="1:12" ht="13" x14ac:dyDescent="0.3">
      <c r="A2" s="83">
        <v>6229691280</v>
      </c>
      <c r="B2" s="85" t="s">
        <v>225</v>
      </c>
      <c r="C2" s="84"/>
      <c r="D2" s="84"/>
      <c r="E2" s="84"/>
      <c r="F2" s="84"/>
      <c r="G2" s="84"/>
      <c r="H2" s="84"/>
      <c r="I2" s="84"/>
      <c r="J2" s="84"/>
      <c r="K2" s="84"/>
      <c r="L2" s="112"/>
    </row>
    <row r="3" spans="1:12" ht="13" x14ac:dyDescent="0.3">
      <c r="A3" s="47">
        <v>4089649307</v>
      </c>
      <c r="B3" s="49" t="s">
        <v>532</v>
      </c>
      <c r="C3" s="84"/>
      <c r="D3" s="84"/>
      <c r="E3" s="84"/>
      <c r="F3" s="84"/>
      <c r="G3" s="84"/>
      <c r="H3" s="84"/>
      <c r="I3" s="84"/>
      <c r="J3" s="84"/>
      <c r="K3" s="84"/>
      <c r="L3" s="112"/>
    </row>
    <row r="4" spans="1:12" ht="13" x14ac:dyDescent="0.3">
      <c r="A4" s="48">
        <v>6301697812</v>
      </c>
      <c r="B4" s="49" t="s">
        <v>533</v>
      </c>
      <c r="C4" s="84"/>
      <c r="D4" s="84"/>
      <c r="E4" s="84"/>
      <c r="F4" s="84"/>
      <c r="G4" s="84"/>
      <c r="H4" s="84"/>
      <c r="I4" s="84"/>
      <c r="J4" s="84"/>
      <c r="K4" s="84"/>
      <c r="L4" s="112"/>
    </row>
    <row r="5" spans="1:12" ht="13" x14ac:dyDescent="0.3">
      <c r="A5" s="48">
        <v>4382291100</v>
      </c>
      <c r="B5" s="49" t="s">
        <v>534</v>
      </c>
      <c r="C5" s="84"/>
      <c r="D5" s="84"/>
      <c r="E5" s="84"/>
      <c r="F5" s="84"/>
      <c r="G5" s="84"/>
      <c r="H5" s="84"/>
      <c r="I5" s="84"/>
      <c r="J5" s="84"/>
      <c r="K5" s="84"/>
      <c r="L5" s="112"/>
    </row>
    <row r="6" spans="1:12" ht="13" x14ac:dyDescent="0.3">
      <c r="A6" s="48">
        <v>4509045514</v>
      </c>
      <c r="B6" s="49" t="s">
        <v>535</v>
      </c>
      <c r="C6" s="84"/>
      <c r="D6" s="84"/>
      <c r="E6" s="84"/>
      <c r="F6" s="84"/>
      <c r="G6" s="84"/>
      <c r="H6" s="84"/>
      <c r="I6" s="84"/>
      <c r="J6" s="84"/>
      <c r="K6" s="84"/>
      <c r="L6" s="112"/>
    </row>
    <row r="7" spans="1:12" ht="13" x14ac:dyDescent="0.3">
      <c r="A7" s="48">
        <v>4381847067</v>
      </c>
      <c r="B7" s="49" t="s">
        <v>536</v>
      </c>
      <c r="C7" s="84"/>
      <c r="D7" s="84"/>
      <c r="E7" s="84"/>
      <c r="F7" s="84"/>
      <c r="G7" s="84"/>
      <c r="H7" s="84"/>
      <c r="I7" s="84"/>
      <c r="J7" s="84"/>
      <c r="K7" s="84"/>
      <c r="L7" s="112"/>
    </row>
    <row r="8" spans="1:12" ht="13" x14ac:dyDescent="0.3">
      <c r="A8" s="48">
        <v>4369011124</v>
      </c>
      <c r="B8" s="49" t="s">
        <v>537</v>
      </c>
      <c r="C8" s="84"/>
      <c r="D8" s="84"/>
      <c r="E8" s="84"/>
      <c r="F8" s="84"/>
      <c r="G8" s="84"/>
      <c r="H8" s="84"/>
      <c r="I8" s="84"/>
      <c r="J8" s="84"/>
      <c r="K8" s="84"/>
      <c r="L8" s="112"/>
    </row>
    <row r="9" spans="1:12" ht="13" x14ac:dyDescent="0.3">
      <c r="A9" s="48">
        <v>4583316437</v>
      </c>
      <c r="B9" s="49" t="s">
        <v>248</v>
      </c>
      <c r="C9" s="84"/>
      <c r="D9" s="84"/>
      <c r="E9" s="84"/>
      <c r="F9" s="84"/>
      <c r="G9" s="84"/>
      <c r="H9" s="84"/>
      <c r="I9" s="84"/>
      <c r="J9" s="84"/>
      <c r="K9" s="84"/>
      <c r="L9" s="112"/>
    </row>
    <row r="10" spans="1:12" ht="13" x14ac:dyDescent="0.3">
      <c r="A10" s="48">
        <v>4787155423</v>
      </c>
      <c r="B10" s="49" t="s">
        <v>265</v>
      </c>
      <c r="C10" s="84"/>
      <c r="D10" s="84"/>
      <c r="E10" s="84"/>
      <c r="F10" s="84"/>
      <c r="G10" s="84"/>
      <c r="H10" s="84"/>
      <c r="I10" s="84"/>
      <c r="J10" s="84"/>
      <c r="K10" s="84"/>
      <c r="L10" s="112"/>
    </row>
    <row r="11" spans="1:12" ht="13" x14ac:dyDescent="0.3">
      <c r="A11" s="48">
        <v>4848755808</v>
      </c>
      <c r="B11" s="49" t="s">
        <v>296</v>
      </c>
      <c r="C11" s="84"/>
      <c r="D11" s="84"/>
      <c r="E11" s="84"/>
      <c r="F11" s="84"/>
      <c r="G11" s="84"/>
      <c r="H11" s="84"/>
      <c r="I11" s="84"/>
      <c r="J11" s="84"/>
      <c r="K11" s="84"/>
      <c r="L11" s="112"/>
    </row>
    <row r="12" spans="1:12" ht="13" x14ac:dyDescent="0.3">
      <c r="A12" s="48">
        <v>4860516370</v>
      </c>
      <c r="B12" s="49" t="s">
        <v>538</v>
      </c>
      <c r="C12" s="84"/>
      <c r="D12" s="84"/>
      <c r="E12" s="84"/>
      <c r="F12" s="84"/>
      <c r="G12" s="84"/>
      <c r="H12" s="84"/>
      <c r="I12" s="84"/>
      <c r="J12" s="84"/>
      <c r="K12" s="84"/>
      <c r="L12" s="112"/>
    </row>
    <row r="13" spans="1:12" ht="13" x14ac:dyDescent="0.3">
      <c r="A13" s="48">
        <v>4520391709</v>
      </c>
      <c r="B13" s="49" t="s">
        <v>307</v>
      </c>
      <c r="C13" s="84"/>
      <c r="D13" s="84"/>
      <c r="E13" s="84"/>
      <c r="F13" s="84"/>
      <c r="G13" s="84"/>
      <c r="H13" s="84"/>
      <c r="I13" s="84"/>
      <c r="J13" s="84"/>
      <c r="K13" s="84"/>
      <c r="L13" s="112"/>
    </row>
    <row r="14" spans="1:12" ht="13" x14ac:dyDescent="0.3">
      <c r="A14" s="48">
        <v>4124075472</v>
      </c>
      <c r="B14" s="49" t="s">
        <v>325</v>
      </c>
      <c r="C14" s="84"/>
      <c r="D14" s="84"/>
      <c r="E14" s="84"/>
      <c r="F14" s="84"/>
      <c r="G14" s="84"/>
      <c r="H14" s="84"/>
      <c r="I14" s="84"/>
      <c r="J14" s="84"/>
      <c r="K14" s="84"/>
      <c r="L14" s="112"/>
    </row>
    <row r="15" spans="1:12" ht="13" x14ac:dyDescent="0.3">
      <c r="A15" s="48">
        <v>4381374088</v>
      </c>
      <c r="B15" s="49" t="s">
        <v>335</v>
      </c>
      <c r="C15" s="84"/>
      <c r="D15" s="84"/>
      <c r="E15" s="84"/>
      <c r="F15" s="84"/>
      <c r="G15" s="84"/>
      <c r="H15" s="84"/>
      <c r="I15" s="84"/>
      <c r="J15" s="84"/>
      <c r="K15" s="84"/>
      <c r="L15" s="112"/>
    </row>
    <row r="16" spans="1:12" ht="13" x14ac:dyDescent="0.3">
      <c r="A16" s="48">
        <v>4388771279</v>
      </c>
      <c r="B16" s="49" t="s">
        <v>345</v>
      </c>
      <c r="C16" s="84"/>
      <c r="D16" s="84"/>
      <c r="E16" s="84"/>
      <c r="F16" s="84"/>
      <c r="G16" s="84"/>
      <c r="H16" s="84"/>
      <c r="I16" s="84"/>
      <c r="J16" s="84"/>
      <c r="K16" s="84"/>
      <c r="L16" s="112"/>
    </row>
    <row r="17" spans="1:12" ht="13" x14ac:dyDescent="0.3">
      <c r="A17" s="48">
        <v>4406553371</v>
      </c>
      <c r="B17" s="49" t="s">
        <v>355</v>
      </c>
      <c r="C17" s="84"/>
      <c r="D17" s="84"/>
      <c r="E17" s="84"/>
      <c r="F17" s="84"/>
      <c r="G17" s="84"/>
      <c r="H17" s="84"/>
      <c r="I17" s="84"/>
      <c r="J17" s="84"/>
      <c r="K17" s="84"/>
      <c r="L17" s="112"/>
    </row>
    <row r="18" spans="1:12" ht="13" x14ac:dyDescent="0.3">
      <c r="A18" s="48">
        <v>4582709389</v>
      </c>
      <c r="B18" s="49" t="s">
        <v>539</v>
      </c>
      <c r="C18" s="84"/>
      <c r="D18" s="84"/>
      <c r="E18" s="84"/>
      <c r="F18" s="84"/>
      <c r="G18" s="84"/>
      <c r="H18" s="84"/>
      <c r="I18" s="84"/>
      <c r="J18" s="84"/>
      <c r="K18" s="84"/>
      <c r="L18" s="112"/>
    </row>
    <row r="19" spans="1:12" ht="13" x14ac:dyDescent="0.3">
      <c r="A19" s="48">
        <v>4445569178</v>
      </c>
      <c r="B19" s="49" t="s">
        <v>366</v>
      </c>
      <c r="C19" s="84"/>
      <c r="D19" s="84"/>
      <c r="E19" s="84"/>
      <c r="F19" s="84"/>
      <c r="G19" s="84"/>
      <c r="H19" s="84"/>
      <c r="I19" s="84"/>
      <c r="J19" s="84"/>
      <c r="K19" s="84"/>
      <c r="L19" s="112"/>
    </row>
    <row r="20" spans="1:12" ht="13" x14ac:dyDescent="0.3">
      <c r="A20" s="48">
        <v>4947349018</v>
      </c>
      <c r="B20" s="49" t="s">
        <v>377</v>
      </c>
      <c r="C20" s="84"/>
      <c r="D20" s="84"/>
      <c r="E20" s="84"/>
      <c r="F20" s="84"/>
      <c r="G20" s="84"/>
      <c r="H20" s="84"/>
      <c r="I20" s="84"/>
      <c r="J20" s="84"/>
      <c r="K20" s="84"/>
      <c r="L20" s="112"/>
    </row>
    <row r="21" spans="1:12" ht="13" x14ac:dyDescent="0.3">
      <c r="A21" s="48">
        <v>6144924469</v>
      </c>
      <c r="B21" s="49" t="s">
        <v>540</v>
      </c>
      <c r="C21" s="84"/>
      <c r="D21" s="84"/>
      <c r="E21" s="84"/>
      <c r="F21" s="84"/>
      <c r="G21" s="84"/>
      <c r="H21" s="84"/>
      <c r="I21" s="84"/>
      <c r="J21" s="84"/>
      <c r="K21" s="84"/>
      <c r="L21" s="112"/>
    </row>
    <row r="22" spans="1:12" ht="13" x14ac:dyDescent="0.3">
      <c r="A22" s="48">
        <v>4507901820</v>
      </c>
      <c r="B22" s="49" t="s">
        <v>390</v>
      </c>
      <c r="C22" s="84"/>
      <c r="D22" s="84"/>
      <c r="E22" s="84"/>
      <c r="F22" s="84"/>
      <c r="G22" s="84"/>
      <c r="H22" s="84"/>
      <c r="I22" s="84"/>
      <c r="J22" s="84"/>
      <c r="K22" s="84"/>
      <c r="L22" s="112"/>
    </row>
    <row r="23" spans="1:12" ht="13" x14ac:dyDescent="0.3">
      <c r="A23" s="48">
        <v>4069551794</v>
      </c>
      <c r="B23" s="49" t="s">
        <v>541</v>
      </c>
      <c r="C23" s="84"/>
      <c r="D23" s="84"/>
      <c r="E23" s="84"/>
      <c r="F23" s="84"/>
      <c r="G23" s="84"/>
      <c r="H23" s="84"/>
      <c r="I23" s="84"/>
      <c r="J23" s="84"/>
      <c r="K23" s="84"/>
      <c r="L23" s="112"/>
    </row>
    <row r="24" spans="1:12" ht="13" x14ac:dyDescent="0.3">
      <c r="A24" s="48">
        <v>4087508404</v>
      </c>
      <c r="B24" s="49" t="s">
        <v>542</v>
      </c>
      <c r="C24" s="84"/>
      <c r="D24" s="84"/>
      <c r="E24" s="84"/>
      <c r="F24" s="84"/>
      <c r="G24" s="84"/>
      <c r="H24" s="84"/>
      <c r="I24" s="84"/>
      <c r="J24" s="84"/>
      <c r="K24" s="84"/>
      <c r="L24" s="112"/>
    </row>
    <row r="25" spans="1:12" ht="13" x14ac:dyDescent="0.3">
      <c r="A25" s="48">
        <v>4643830778</v>
      </c>
      <c r="B25" s="49" t="s">
        <v>543</v>
      </c>
      <c r="C25" s="84"/>
      <c r="D25" s="84"/>
      <c r="E25" s="84"/>
      <c r="F25" s="84"/>
      <c r="G25" s="84"/>
      <c r="H25" s="84"/>
      <c r="I25" s="84"/>
      <c r="J25" s="84"/>
      <c r="K25" s="84"/>
      <c r="L25" s="112"/>
    </row>
    <row r="26" spans="1:12" ht="13" x14ac:dyDescent="0.3">
      <c r="A26" s="48">
        <v>4160571263</v>
      </c>
      <c r="B26" s="49" t="s">
        <v>399</v>
      </c>
      <c r="C26" s="84"/>
      <c r="D26" s="84"/>
      <c r="E26" s="84"/>
      <c r="F26" s="84"/>
      <c r="G26" s="84"/>
      <c r="H26" s="84"/>
      <c r="I26" s="84"/>
      <c r="J26" s="84"/>
      <c r="K26" s="84"/>
      <c r="L26" s="112"/>
    </row>
    <row r="27" spans="1:12" ht="13" x14ac:dyDescent="0.3">
      <c r="A27" s="48">
        <v>4509210248</v>
      </c>
      <c r="B27" s="49" t="s">
        <v>544</v>
      </c>
      <c r="C27" s="84"/>
      <c r="D27" s="84"/>
      <c r="E27" s="84"/>
      <c r="F27" s="84"/>
      <c r="G27" s="84"/>
      <c r="H27" s="84"/>
      <c r="I27" s="84"/>
      <c r="J27" s="84"/>
      <c r="K27" s="84"/>
      <c r="L27" s="112"/>
    </row>
    <row r="28" spans="1:12" ht="13" x14ac:dyDescent="0.3">
      <c r="A28" s="48">
        <v>4382138280</v>
      </c>
      <c r="B28" s="49" t="s">
        <v>409</v>
      </c>
      <c r="C28" s="84"/>
      <c r="D28" s="84"/>
      <c r="E28" s="84"/>
      <c r="F28" s="84"/>
      <c r="G28" s="84"/>
      <c r="H28" s="84"/>
      <c r="I28" s="84"/>
      <c r="J28" s="84"/>
      <c r="K28" s="84"/>
      <c r="L28" s="112"/>
    </row>
    <row r="29" spans="1:12" ht="13" x14ac:dyDescent="0.3">
      <c r="A29" s="48">
        <v>6060874681</v>
      </c>
      <c r="B29" s="49" t="s">
        <v>420</v>
      </c>
      <c r="C29" s="84"/>
      <c r="D29" s="84"/>
      <c r="E29" s="84"/>
      <c r="F29" s="84"/>
      <c r="G29" s="84"/>
      <c r="H29" s="84"/>
      <c r="I29" s="84"/>
      <c r="J29" s="84"/>
      <c r="K29" s="84"/>
      <c r="L29" s="112"/>
    </row>
    <row r="30" spans="1:12" ht="13" x14ac:dyDescent="0.3">
      <c r="A30" s="48">
        <v>4250103331</v>
      </c>
      <c r="B30" s="49" t="s">
        <v>545</v>
      </c>
      <c r="C30" s="84"/>
      <c r="D30" s="84"/>
      <c r="E30" s="84"/>
      <c r="F30" s="84"/>
      <c r="G30" s="84"/>
      <c r="H30" s="84"/>
      <c r="I30" s="84"/>
      <c r="J30" s="84"/>
      <c r="K30" s="84"/>
      <c r="L30" s="112"/>
    </row>
    <row r="31" spans="1:12" ht="13" x14ac:dyDescent="0.3">
      <c r="A31" s="48">
        <v>4362000127</v>
      </c>
      <c r="B31" s="49" t="s">
        <v>546</v>
      </c>
      <c r="C31" s="84"/>
      <c r="D31" s="84"/>
      <c r="E31" s="84"/>
      <c r="F31" s="84"/>
      <c r="G31" s="84"/>
      <c r="H31" s="84"/>
      <c r="I31" s="84"/>
      <c r="J31" s="84"/>
      <c r="K31" s="84"/>
      <c r="L31" s="112"/>
    </row>
    <row r="32" spans="1:12" ht="13" x14ac:dyDescent="0.3">
      <c r="A32" s="48">
        <v>4043521421</v>
      </c>
      <c r="B32" s="49" t="s">
        <v>547</v>
      </c>
      <c r="C32" s="84"/>
      <c r="D32" s="84"/>
      <c r="E32" s="84"/>
      <c r="F32" s="84"/>
      <c r="G32" s="84"/>
      <c r="H32" s="84"/>
      <c r="I32" s="84"/>
      <c r="J32" s="84"/>
      <c r="K32" s="84"/>
      <c r="L32" s="112"/>
    </row>
    <row r="33" spans="1:12" ht="13" x14ac:dyDescent="0.3">
      <c r="A33" s="48">
        <v>4382255848</v>
      </c>
      <c r="B33" s="49" t="s">
        <v>548</v>
      </c>
      <c r="C33" s="84"/>
      <c r="D33" s="84"/>
      <c r="E33" s="84"/>
      <c r="F33" s="84"/>
      <c r="G33" s="84"/>
      <c r="H33" s="84"/>
      <c r="I33" s="84"/>
      <c r="J33" s="84"/>
      <c r="K33" s="84"/>
      <c r="L33" s="112"/>
    </row>
    <row r="34" spans="1:12" ht="13" x14ac:dyDescent="0.3">
      <c r="A34" s="48">
        <v>4947025212</v>
      </c>
      <c r="B34" s="49" t="s">
        <v>549</v>
      </c>
      <c r="C34" s="84"/>
      <c r="D34" s="84"/>
      <c r="E34" s="84"/>
      <c r="F34" s="84"/>
      <c r="G34" s="84"/>
      <c r="H34" s="84"/>
      <c r="I34" s="84"/>
      <c r="J34" s="84"/>
      <c r="K34" s="84"/>
      <c r="L34" s="112"/>
    </row>
    <row r="35" spans="1:12" ht="13" x14ac:dyDescent="0.3">
      <c r="A35" s="111">
        <v>4823057694</v>
      </c>
      <c r="B35" s="140" t="s">
        <v>550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24"/>
    </row>
  </sheetData>
  <conditionalFormatting sqref="B2">
    <cfRule type="duplicateValues" dxfId="306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08984375" defaultRowHeight="15" customHeight="1" x14ac:dyDescent="0.3"/>
  <cols>
    <col min="1" max="1" width="9.08984375" style="53"/>
    <col min="2" max="2" width="43.453125" style="53" bestFit="1" customWidth="1"/>
    <col min="3" max="3" width="112.90625" style="53" customWidth="1"/>
    <col min="4" max="4" width="9.08984375" style="53"/>
    <col min="5" max="6" width="15.90625" style="53" customWidth="1"/>
    <col min="7" max="7" width="37.36328125" style="53" bestFit="1" customWidth="1"/>
    <col min="8" max="8" width="31.90625" style="53" bestFit="1" customWidth="1"/>
    <col min="9" max="9" width="17.08984375" style="53" bestFit="1" customWidth="1"/>
    <col min="10" max="10" width="9.08984375" style="53"/>
    <col min="11" max="11" width="42.6328125" style="53" bestFit="1" customWidth="1"/>
    <col min="12" max="12" width="8" style="53" bestFit="1" customWidth="1"/>
    <col min="13" max="16384" width="9.08984375" style="53"/>
  </cols>
  <sheetData>
    <row r="1" spans="2:12" ht="18.75" customHeight="1" x14ac:dyDescent="0.3">
      <c r="E1" s="54" t="s">
        <v>551</v>
      </c>
      <c r="F1" s="54" t="s">
        <v>552</v>
      </c>
      <c r="G1" s="54" t="s">
        <v>42</v>
      </c>
      <c r="H1" s="54" t="s">
        <v>48</v>
      </c>
      <c r="I1" s="54" t="s">
        <v>56</v>
      </c>
    </row>
    <row r="2" spans="2:12" ht="15" customHeight="1" x14ac:dyDescent="0.3">
      <c r="B2" s="52" t="s">
        <v>553</v>
      </c>
      <c r="C2" s="52"/>
      <c r="E2" s="53" t="s">
        <v>240</v>
      </c>
      <c r="F2" s="53" t="s">
        <v>220</v>
      </c>
      <c r="G2" s="53" t="s">
        <v>228</v>
      </c>
      <c r="H2" s="53" t="s">
        <v>231</v>
      </c>
      <c r="I2" s="53" t="s">
        <v>554</v>
      </c>
    </row>
    <row r="3" spans="2:12" ht="15" customHeight="1" x14ac:dyDescent="0.3">
      <c r="B3" s="52" t="s">
        <v>555</v>
      </c>
      <c r="C3" s="52"/>
      <c r="E3" s="53" t="s">
        <v>275</v>
      </c>
      <c r="F3" s="53" t="s">
        <v>222</v>
      </c>
      <c r="G3" s="53" t="s">
        <v>267</v>
      </c>
      <c r="H3" s="53" t="s">
        <v>270</v>
      </c>
      <c r="I3" s="53" t="s">
        <v>556</v>
      </c>
      <c r="K3" s="55" t="s">
        <v>557</v>
      </c>
      <c r="L3" s="55" t="s">
        <v>558</v>
      </c>
    </row>
    <row r="4" spans="2:12" ht="15" customHeight="1" x14ac:dyDescent="0.3">
      <c r="B4" s="52"/>
      <c r="C4" s="52"/>
      <c r="E4" s="53" t="s">
        <v>373</v>
      </c>
      <c r="F4" s="53" t="s">
        <v>221</v>
      </c>
      <c r="G4" s="53" t="s">
        <v>559</v>
      </c>
      <c r="H4" s="53" t="s">
        <v>311</v>
      </c>
      <c r="I4" s="53" t="s">
        <v>302</v>
      </c>
      <c r="K4" s="4" t="s">
        <v>1</v>
      </c>
      <c r="L4" s="56" t="s">
        <v>560</v>
      </c>
    </row>
    <row r="5" spans="2:12" ht="15" customHeight="1" x14ac:dyDescent="0.3">
      <c r="B5" s="52"/>
      <c r="C5" s="52"/>
      <c r="E5" s="53" t="s">
        <v>237</v>
      </c>
      <c r="F5" s="53" t="s">
        <v>234</v>
      </c>
      <c r="G5" s="53" t="s">
        <v>561</v>
      </c>
      <c r="H5" s="53" t="s">
        <v>221</v>
      </c>
      <c r="I5" s="53" t="s">
        <v>273</v>
      </c>
      <c r="K5" s="4" t="s">
        <v>2</v>
      </c>
      <c r="L5" s="56" t="s">
        <v>562</v>
      </c>
    </row>
    <row r="6" spans="2:12" ht="15" customHeight="1" x14ac:dyDescent="0.3">
      <c r="B6" s="61" t="s">
        <v>563</v>
      </c>
      <c r="C6" s="62" t="s">
        <v>564</v>
      </c>
      <c r="E6" s="53" t="s">
        <v>256</v>
      </c>
      <c r="G6" s="53" t="s">
        <v>221</v>
      </c>
      <c r="H6" s="53" t="s">
        <v>234</v>
      </c>
      <c r="I6" s="53" t="s">
        <v>235</v>
      </c>
      <c r="K6" s="4" t="s">
        <v>3</v>
      </c>
      <c r="L6" s="56" t="s">
        <v>565</v>
      </c>
    </row>
    <row r="7" spans="2:12" ht="15" customHeight="1" x14ac:dyDescent="0.3">
      <c r="B7" s="61" t="s">
        <v>566</v>
      </c>
      <c r="C7" s="62" t="s">
        <v>567</v>
      </c>
      <c r="E7" s="53" t="s">
        <v>289</v>
      </c>
      <c r="G7" s="53" t="s">
        <v>234</v>
      </c>
      <c r="I7" s="53" t="s">
        <v>568</v>
      </c>
      <c r="K7" s="5" t="s">
        <v>4</v>
      </c>
      <c r="L7" s="56" t="s">
        <v>569</v>
      </c>
    </row>
    <row r="8" spans="2:12" ht="15" customHeight="1" x14ac:dyDescent="0.3">
      <c r="B8" s="63" t="s">
        <v>570</v>
      </c>
      <c r="C8" s="64" t="s">
        <v>571</v>
      </c>
      <c r="E8" s="53" t="s">
        <v>243</v>
      </c>
      <c r="I8" s="53" t="s">
        <v>221</v>
      </c>
      <c r="K8" s="5" t="s">
        <v>5</v>
      </c>
      <c r="L8" s="56" t="s">
        <v>572</v>
      </c>
    </row>
    <row r="9" spans="2:12" ht="15" customHeight="1" x14ac:dyDescent="0.3">
      <c r="B9" s="63" t="s">
        <v>573</v>
      </c>
      <c r="C9" s="62" t="s">
        <v>574</v>
      </c>
      <c r="E9" s="53" t="s">
        <v>221</v>
      </c>
      <c r="I9" s="53" t="s">
        <v>234</v>
      </c>
      <c r="K9" s="5" t="s">
        <v>6</v>
      </c>
      <c r="L9" s="56" t="s">
        <v>229</v>
      </c>
    </row>
    <row r="10" spans="2:12" ht="15" customHeight="1" x14ac:dyDescent="0.3">
      <c r="B10" s="63" t="s">
        <v>575</v>
      </c>
      <c r="C10" s="62" t="s">
        <v>576</v>
      </c>
      <c r="E10" s="53" t="s">
        <v>234</v>
      </c>
      <c r="K10" s="5" t="s">
        <v>7</v>
      </c>
      <c r="L10" s="56" t="s">
        <v>577</v>
      </c>
    </row>
    <row r="11" spans="2:12" ht="15" customHeight="1" x14ac:dyDescent="0.3">
      <c r="B11" s="65" t="s">
        <v>216</v>
      </c>
      <c r="C11" s="62" t="s">
        <v>578</v>
      </c>
      <c r="K11" s="6" t="s">
        <v>8</v>
      </c>
      <c r="L11" s="56" t="s">
        <v>579</v>
      </c>
    </row>
    <row r="12" spans="2:12" ht="15" customHeight="1" x14ac:dyDescent="0.3">
      <c r="B12" s="65" t="s">
        <v>217</v>
      </c>
      <c r="C12" s="62" t="s">
        <v>580</v>
      </c>
      <c r="K12" s="7" t="s">
        <v>9</v>
      </c>
      <c r="L12" s="56" t="s">
        <v>581</v>
      </c>
    </row>
    <row r="13" spans="2:12" ht="15" customHeight="1" x14ac:dyDescent="0.3">
      <c r="B13" s="65" t="s">
        <v>218</v>
      </c>
      <c r="C13" s="62" t="s">
        <v>582</v>
      </c>
      <c r="K13" s="7" t="s">
        <v>10</v>
      </c>
      <c r="L13" s="56" t="s">
        <v>583</v>
      </c>
    </row>
    <row r="14" spans="2:12" ht="15" customHeight="1" x14ac:dyDescent="0.3">
      <c r="B14" s="65" t="s">
        <v>219</v>
      </c>
      <c r="C14" s="62" t="s">
        <v>584</v>
      </c>
      <c r="K14" s="5" t="s">
        <v>11</v>
      </c>
      <c r="L14" s="56" t="s">
        <v>585</v>
      </c>
    </row>
    <row r="15" spans="2:12" ht="15" customHeight="1" x14ac:dyDescent="0.3">
      <c r="B15" s="65" t="s">
        <v>586</v>
      </c>
      <c r="C15" s="62" t="s">
        <v>587</v>
      </c>
      <c r="K15" s="4" t="s">
        <v>12</v>
      </c>
      <c r="L15" s="56" t="s">
        <v>588</v>
      </c>
    </row>
    <row r="16" spans="2:12" ht="15" customHeight="1" x14ac:dyDescent="0.3">
      <c r="B16" s="65" t="s">
        <v>589</v>
      </c>
      <c r="C16" s="62" t="s">
        <v>590</v>
      </c>
      <c r="K16" s="8" t="s">
        <v>13</v>
      </c>
      <c r="L16" s="56" t="s">
        <v>252</v>
      </c>
    </row>
    <row r="17" spans="3:12" ht="15" customHeight="1" x14ac:dyDescent="0.3">
      <c r="K17" s="8" t="s">
        <v>14</v>
      </c>
      <c r="L17" s="56" t="s">
        <v>591</v>
      </c>
    </row>
    <row r="18" spans="3:12" ht="15" customHeight="1" x14ac:dyDescent="0.3">
      <c r="K18" s="8" t="s">
        <v>15</v>
      </c>
      <c r="L18" s="56" t="s">
        <v>592</v>
      </c>
    </row>
    <row r="19" spans="3:12" ht="15" customHeight="1" x14ac:dyDescent="0.3">
      <c r="K19" s="9" t="s">
        <v>16</v>
      </c>
      <c r="L19" s="56" t="s">
        <v>405</v>
      </c>
    </row>
    <row r="20" spans="3:12" ht="15" customHeight="1" x14ac:dyDescent="0.3">
      <c r="C20" s="57"/>
      <c r="K20" s="4" t="s">
        <v>17</v>
      </c>
      <c r="L20" s="56" t="s">
        <v>593</v>
      </c>
    </row>
    <row r="21" spans="3:12" ht="15" customHeight="1" x14ac:dyDescent="0.3">
      <c r="C21"/>
      <c r="K21" s="8" t="s">
        <v>18</v>
      </c>
      <c r="L21" s="56" t="s">
        <v>594</v>
      </c>
    </row>
    <row r="22" spans="3:12" ht="15" customHeight="1" x14ac:dyDescent="0.3">
      <c r="K22" s="8" t="s">
        <v>19</v>
      </c>
      <c r="L22" s="56" t="s">
        <v>595</v>
      </c>
    </row>
    <row r="23" spans="3:12" ht="15" customHeight="1" x14ac:dyDescent="0.3">
      <c r="C23"/>
      <c r="D23"/>
      <c r="K23" s="8" t="s">
        <v>20</v>
      </c>
      <c r="L23" s="56" t="s">
        <v>596</v>
      </c>
    </row>
    <row r="24" spans="3:12" ht="15" customHeight="1" x14ac:dyDescent="0.3">
      <c r="K24" s="9" t="s">
        <v>21</v>
      </c>
      <c r="L24" s="56" t="s">
        <v>597</v>
      </c>
    </row>
    <row r="25" spans="3:12" ht="15" customHeight="1" x14ac:dyDescent="0.3">
      <c r="K25" s="4" t="s">
        <v>22</v>
      </c>
      <c r="L25" s="56" t="s">
        <v>598</v>
      </c>
    </row>
    <row r="26" spans="3:12" ht="15" customHeight="1" x14ac:dyDescent="0.35">
      <c r="D26" s="58"/>
      <c r="F26" s="58"/>
      <c r="K26" s="8" t="s">
        <v>23</v>
      </c>
      <c r="L26" s="56" t="s">
        <v>599</v>
      </c>
    </row>
    <row r="27" spans="3:12" ht="15" customHeight="1" x14ac:dyDescent="0.35">
      <c r="D27" s="58"/>
      <c r="E27" s="58"/>
      <c r="F27" s="58"/>
      <c r="G27" s="58"/>
      <c r="K27" s="8" t="s">
        <v>24</v>
      </c>
      <c r="L27" s="56" t="s">
        <v>600</v>
      </c>
    </row>
    <row r="28" spans="3:12" ht="15" customHeight="1" x14ac:dyDescent="0.35">
      <c r="D28" s="58"/>
      <c r="E28" s="58"/>
      <c r="F28" s="58"/>
      <c r="G28" s="58"/>
      <c r="K28" s="8" t="s">
        <v>25</v>
      </c>
      <c r="L28" s="56" t="s">
        <v>601</v>
      </c>
    </row>
    <row r="29" spans="3:12" ht="15" customHeight="1" x14ac:dyDescent="0.35">
      <c r="D29" s="58"/>
      <c r="E29" s="58"/>
      <c r="F29" s="58"/>
      <c r="G29" s="58"/>
      <c r="K29" s="9" t="s">
        <v>26</v>
      </c>
      <c r="L29" s="56" t="s">
        <v>602</v>
      </c>
    </row>
    <row r="30" spans="3:12" ht="15" customHeight="1" x14ac:dyDescent="0.35">
      <c r="D30" s="58"/>
      <c r="E30" s="58"/>
      <c r="F30" s="58"/>
      <c r="G30" s="58"/>
      <c r="K30" s="4" t="s">
        <v>27</v>
      </c>
      <c r="L30" s="56" t="s">
        <v>603</v>
      </c>
    </row>
    <row r="31" spans="3:12" ht="15" customHeight="1" x14ac:dyDescent="0.35">
      <c r="D31" s="58"/>
      <c r="E31" s="58"/>
      <c r="F31" s="58"/>
      <c r="G31" s="58"/>
      <c r="K31" s="8" t="s">
        <v>28</v>
      </c>
      <c r="L31" s="56" t="s">
        <v>604</v>
      </c>
    </row>
    <row r="32" spans="3:12" ht="15" customHeight="1" x14ac:dyDescent="0.35">
      <c r="D32" s="58"/>
      <c r="E32" s="58"/>
      <c r="F32" s="58"/>
      <c r="G32" s="58"/>
      <c r="K32" s="8" t="s">
        <v>29</v>
      </c>
      <c r="L32" s="56" t="s">
        <v>605</v>
      </c>
    </row>
    <row r="33" spans="4:12" ht="15" customHeight="1" x14ac:dyDescent="0.35">
      <c r="D33" s="58"/>
      <c r="E33" s="58"/>
      <c r="F33" s="58"/>
      <c r="G33" s="58"/>
      <c r="K33" s="8" t="s">
        <v>30</v>
      </c>
      <c r="L33" s="56" t="s">
        <v>606</v>
      </c>
    </row>
    <row r="34" spans="4:12" ht="15" customHeight="1" x14ac:dyDescent="0.35">
      <c r="D34" s="58"/>
      <c r="E34" s="58"/>
      <c r="K34" s="9" t="s">
        <v>31</v>
      </c>
      <c r="L34" s="56" t="s">
        <v>607</v>
      </c>
    </row>
    <row r="35" spans="4:12" ht="15" customHeight="1" x14ac:dyDescent="0.35">
      <c r="D35" s="58"/>
      <c r="E35" s="58"/>
      <c r="F35" s="58"/>
      <c r="K35" s="4" t="s">
        <v>32</v>
      </c>
      <c r="L35" s="56" t="s">
        <v>608</v>
      </c>
    </row>
    <row r="36" spans="4:12" ht="15" customHeight="1" x14ac:dyDescent="0.35">
      <c r="D36" s="58"/>
      <c r="E36" s="58"/>
      <c r="F36" s="58"/>
      <c r="G36" s="58"/>
      <c r="K36" s="8" t="s">
        <v>33</v>
      </c>
      <c r="L36" s="56" t="s">
        <v>609</v>
      </c>
    </row>
    <row r="37" spans="4:12" ht="15" customHeight="1" x14ac:dyDescent="0.35">
      <c r="D37" s="58"/>
      <c r="E37" s="58"/>
      <c r="F37" s="58"/>
      <c r="G37" s="58"/>
      <c r="K37" s="8" t="s">
        <v>34</v>
      </c>
      <c r="L37" s="56" t="s">
        <v>610</v>
      </c>
    </row>
    <row r="38" spans="4:12" ht="15" customHeight="1" x14ac:dyDescent="0.35">
      <c r="D38" s="58"/>
      <c r="E38" s="58"/>
      <c r="F38" s="58"/>
      <c r="G38" s="58"/>
      <c r="K38" s="8" t="s">
        <v>35</v>
      </c>
      <c r="L38" s="56" t="s">
        <v>611</v>
      </c>
    </row>
    <row r="39" spans="4:12" ht="15" customHeight="1" x14ac:dyDescent="0.35">
      <c r="D39" s="58"/>
      <c r="E39" s="58"/>
      <c r="F39" s="58"/>
      <c r="G39" s="58"/>
      <c r="K39" s="9" t="s">
        <v>36</v>
      </c>
      <c r="L39" s="56" t="s">
        <v>612</v>
      </c>
    </row>
    <row r="40" spans="4:12" ht="15" customHeight="1" x14ac:dyDescent="0.35">
      <c r="D40" s="58"/>
      <c r="E40" s="58"/>
      <c r="F40" s="58"/>
      <c r="G40" s="58"/>
      <c r="K40" s="4" t="s">
        <v>37</v>
      </c>
      <c r="L40" s="56" t="s">
        <v>613</v>
      </c>
    </row>
    <row r="41" spans="4:12" ht="15" customHeight="1" x14ac:dyDescent="0.35">
      <c r="D41" s="58"/>
      <c r="E41" s="58"/>
      <c r="F41" s="58"/>
      <c r="G41" s="58"/>
      <c r="K41" s="8" t="s">
        <v>38</v>
      </c>
      <c r="L41" s="56" t="s">
        <v>614</v>
      </c>
    </row>
    <row r="42" spans="4:12" ht="15" customHeight="1" x14ac:dyDescent="0.35">
      <c r="D42" s="58"/>
      <c r="E42" s="58"/>
      <c r="K42" s="8" t="s">
        <v>39</v>
      </c>
      <c r="L42" s="56" t="s">
        <v>615</v>
      </c>
    </row>
    <row r="43" spans="4:12" ht="15" customHeight="1" x14ac:dyDescent="0.35">
      <c r="D43" s="58"/>
      <c r="E43" s="58"/>
      <c r="F43" s="58"/>
      <c r="K43" s="8" t="s">
        <v>40</v>
      </c>
      <c r="L43" s="56" t="s">
        <v>616</v>
      </c>
    </row>
    <row r="44" spans="4:12" ht="15" customHeight="1" x14ac:dyDescent="0.35">
      <c r="D44" s="58"/>
      <c r="E44" s="58"/>
      <c r="F44" s="58"/>
      <c r="K44" s="9" t="s">
        <v>41</v>
      </c>
      <c r="L44" s="56" t="s">
        <v>617</v>
      </c>
    </row>
    <row r="45" spans="4:12" ht="15" customHeight="1" x14ac:dyDescent="0.35">
      <c r="E45" s="58"/>
      <c r="F45" s="58"/>
      <c r="K45" s="4" t="s">
        <v>42</v>
      </c>
      <c r="L45" s="56" t="s">
        <v>618</v>
      </c>
    </row>
    <row r="46" spans="4:12" ht="15" customHeight="1" x14ac:dyDescent="0.35">
      <c r="F46" s="58"/>
      <c r="K46" s="5" t="s">
        <v>43</v>
      </c>
      <c r="L46" s="56" t="s">
        <v>619</v>
      </c>
    </row>
    <row r="47" spans="4:12" ht="15" customHeight="1" x14ac:dyDescent="0.3">
      <c r="K47" s="10" t="s">
        <v>44</v>
      </c>
      <c r="L47" s="56" t="s">
        <v>620</v>
      </c>
    </row>
    <row r="48" spans="4:12" ht="15" customHeight="1" x14ac:dyDescent="0.3">
      <c r="K48" s="11" t="s">
        <v>45</v>
      </c>
      <c r="L48" s="56" t="s">
        <v>621</v>
      </c>
    </row>
    <row r="49" spans="11:12" ht="15" customHeight="1" x14ac:dyDescent="0.3">
      <c r="K49" s="12" t="s">
        <v>46</v>
      </c>
      <c r="L49" s="56" t="s">
        <v>622</v>
      </c>
    </row>
    <row r="50" spans="11:12" ht="15" customHeight="1" x14ac:dyDescent="0.3">
      <c r="K50" s="13" t="s">
        <v>47</v>
      </c>
      <c r="L50" s="56" t="s">
        <v>623</v>
      </c>
    </row>
    <row r="51" spans="11:12" ht="15" customHeight="1" x14ac:dyDescent="0.3">
      <c r="K51" s="14" t="s">
        <v>48</v>
      </c>
      <c r="L51" s="56" t="s">
        <v>624</v>
      </c>
    </row>
    <row r="52" spans="11:12" ht="15" customHeight="1" x14ac:dyDescent="0.3">
      <c r="K52" s="15" t="s">
        <v>49</v>
      </c>
      <c r="L52" s="56" t="s">
        <v>625</v>
      </c>
    </row>
    <row r="53" spans="11:12" ht="15" customHeight="1" x14ac:dyDescent="0.3">
      <c r="K53" s="15" t="s">
        <v>50</v>
      </c>
      <c r="L53" s="56" t="s">
        <v>626</v>
      </c>
    </row>
    <row r="54" spans="11:12" ht="15" customHeight="1" x14ac:dyDescent="0.3">
      <c r="K54" s="15" t="s">
        <v>51</v>
      </c>
      <c r="L54" s="56" t="s">
        <v>627</v>
      </c>
    </row>
    <row r="55" spans="11:12" ht="15" customHeight="1" x14ac:dyDescent="0.3">
      <c r="K55" s="15" t="s">
        <v>52</v>
      </c>
      <c r="L55" s="56" t="s">
        <v>628</v>
      </c>
    </row>
    <row r="56" spans="11:12" ht="15" customHeight="1" x14ac:dyDescent="0.3">
      <c r="K56" s="15" t="s">
        <v>53</v>
      </c>
      <c r="L56" s="56" t="s">
        <v>629</v>
      </c>
    </row>
    <row r="57" spans="11:12" ht="15" customHeight="1" x14ac:dyDescent="0.3">
      <c r="K57" s="16" t="s">
        <v>54</v>
      </c>
      <c r="L57" s="56" t="s">
        <v>630</v>
      </c>
    </row>
    <row r="58" spans="11:12" ht="15" customHeight="1" x14ac:dyDescent="0.3">
      <c r="K58" s="13" t="s">
        <v>55</v>
      </c>
      <c r="L58" s="56" t="s">
        <v>631</v>
      </c>
    </row>
    <row r="59" spans="11:12" ht="15" customHeight="1" x14ac:dyDescent="0.3">
      <c r="K59" s="13" t="s">
        <v>56</v>
      </c>
      <c r="L59" s="56" t="s">
        <v>632</v>
      </c>
    </row>
    <row r="60" spans="11:12" ht="15" customHeight="1" x14ac:dyDescent="0.3">
      <c r="K60" s="17" t="s">
        <v>57</v>
      </c>
      <c r="L60" s="56" t="s">
        <v>633</v>
      </c>
    </row>
    <row r="61" spans="11:12" ht="15" customHeight="1" x14ac:dyDescent="0.3">
      <c r="K61" s="18" t="s">
        <v>58</v>
      </c>
      <c r="L61" s="56" t="s">
        <v>634</v>
      </c>
    </row>
    <row r="62" spans="11:12" ht="15" customHeight="1" x14ac:dyDescent="0.3">
      <c r="K62" s="19" t="s">
        <v>59</v>
      </c>
      <c r="L62" s="56" t="s">
        <v>635</v>
      </c>
    </row>
    <row r="63" spans="11:12" ht="15" customHeight="1" x14ac:dyDescent="0.3">
      <c r="K63" s="19" t="s">
        <v>60</v>
      </c>
      <c r="L63" s="56" t="s">
        <v>636</v>
      </c>
    </row>
    <row r="64" spans="11:12" ht="15" customHeight="1" x14ac:dyDescent="0.3">
      <c r="K64" s="19" t="s">
        <v>61</v>
      </c>
      <c r="L64" s="56" t="s">
        <v>637</v>
      </c>
    </row>
    <row r="65" spans="11:12" ht="15" customHeight="1" x14ac:dyDescent="0.3">
      <c r="K65" s="20" t="s">
        <v>62</v>
      </c>
      <c r="L65" s="56" t="s">
        <v>638</v>
      </c>
    </row>
    <row r="66" spans="11:12" ht="15" customHeight="1" x14ac:dyDescent="0.3">
      <c r="K66" s="20" t="s">
        <v>63</v>
      </c>
      <c r="L66" s="56" t="s">
        <v>639</v>
      </c>
    </row>
    <row r="67" spans="11:12" ht="15" customHeight="1" x14ac:dyDescent="0.3">
      <c r="K67" s="19" t="s">
        <v>64</v>
      </c>
      <c r="L67" s="56" t="s">
        <v>640</v>
      </c>
    </row>
    <row r="68" spans="11:12" ht="15" customHeight="1" x14ac:dyDescent="0.3">
      <c r="K68" s="19" t="s">
        <v>65</v>
      </c>
      <c r="L68" s="56" t="s">
        <v>641</v>
      </c>
    </row>
    <row r="69" spans="11:12" ht="15" customHeight="1" x14ac:dyDescent="0.3">
      <c r="K69" s="19" t="s">
        <v>66</v>
      </c>
      <c r="L69" s="56" t="s">
        <v>642</v>
      </c>
    </row>
    <row r="70" spans="11:12" ht="15" customHeight="1" x14ac:dyDescent="0.3">
      <c r="K70" s="20" t="s">
        <v>643</v>
      </c>
      <c r="L70" s="56" t="s">
        <v>644</v>
      </c>
    </row>
    <row r="71" spans="11:12" ht="15" customHeight="1" x14ac:dyDescent="0.3">
      <c r="K71" s="20" t="s">
        <v>645</v>
      </c>
      <c r="L71" s="56" t="s">
        <v>646</v>
      </c>
    </row>
    <row r="72" spans="11:12" ht="15" customHeight="1" x14ac:dyDescent="0.3">
      <c r="K72" s="19" t="s">
        <v>67</v>
      </c>
      <c r="L72" s="56" t="s">
        <v>647</v>
      </c>
    </row>
    <row r="73" spans="11:12" ht="15" customHeight="1" x14ac:dyDescent="0.3">
      <c r="K73" s="19" t="s">
        <v>68</v>
      </c>
      <c r="L73" s="56" t="s">
        <v>648</v>
      </c>
    </row>
    <row r="74" spans="11:12" ht="15" customHeight="1" x14ac:dyDescent="0.3">
      <c r="K74" s="19" t="s">
        <v>69</v>
      </c>
      <c r="L74" s="56" t="s">
        <v>649</v>
      </c>
    </row>
    <row r="75" spans="11:12" ht="15" customHeight="1" x14ac:dyDescent="0.3">
      <c r="K75" s="20" t="s">
        <v>650</v>
      </c>
      <c r="L75" s="56" t="s">
        <v>651</v>
      </c>
    </row>
    <row r="76" spans="11:12" ht="15" customHeight="1" x14ac:dyDescent="0.3">
      <c r="K76" s="20" t="s">
        <v>652</v>
      </c>
      <c r="L76" s="56" t="s">
        <v>653</v>
      </c>
    </row>
    <row r="77" spans="11:12" ht="15" customHeight="1" x14ac:dyDescent="0.3">
      <c r="K77" s="19" t="s">
        <v>70</v>
      </c>
      <c r="L77" s="56" t="s">
        <v>654</v>
      </c>
    </row>
    <row r="78" spans="11:12" ht="15" customHeight="1" x14ac:dyDescent="0.3">
      <c r="K78" s="19" t="s">
        <v>71</v>
      </c>
      <c r="L78" s="56" t="s">
        <v>655</v>
      </c>
    </row>
    <row r="79" spans="11:12" ht="15" customHeight="1" x14ac:dyDescent="0.3">
      <c r="K79" s="19" t="s">
        <v>72</v>
      </c>
      <c r="L79" s="56" t="s">
        <v>656</v>
      </c>
    </row>
    <row r="80" spans="11:12" ht="15" customHeight="1" x14ac:dyDescent="0.3">
      <c r="K80" s="20" t="s">
        <v>657</v>
      </c>
      <c r="L80" s="56" t="s">
        <v>658</v>
      </c>
    </row>
    <row r="81" spans="11:12" ht="15" customHeight="1" x14ac:dyDescent="0.3">
      <c r="K81" s="20" t="s">
        <v>659</v>
      </c>
      <c r="L81" s="56" t="s">
        <v>660</v>
      </c>
    </row>
    <row r="82" spans="11:12" ht="15" customHeight="1" x14ac:dyDescent="0.3">
      <c r="K82" s="19" t="s">
        <v>73</v>
      </c>
      <c r="L82" s="56" t="s">
        <v>661</v>
      </c>
    </row>
    <row r="83" spans="11:12" ht="15" customHeight="1" x14ac:dyDescent="0.3">
      <c r="K83" s="19" t="s">
        <v>74</v>
      </c>
      <c r="L83" s="56" t="s">
        <v>662</v>
      </c>
    </row>
    <row r="84" spans="11:12" ht="15" customHeight="1" x14ac:dyDescent="0.3">
      <c r="K84" s="19" t="s">
        <v>75</v>
      </c>
      <c r="L84" s="56" t="s">
        <v>663</v>
      </c>
    </row>
    <row r="85" spans="11:12" ht="15" customHeight="1" x14ac:dyDescent="0.3">
      <c r="K85" s="20" t="s">
        <v>664</v>
      </c>
      <c r="L85" s="56" t="s">
        <v>665</v>
      </c>
    </row>
    <row r="86" spans="11:12" ht="15" customHeight="1" x14ac:dyDescent="0.3">
      <c r="K86" s="20" t="s">
        <v>666</v>
      </c>
      <c r="L86" s="56" t="s">
        <v>667</v>
      </c>
    </row>
    <row r="87" spans="11:12" ht="15" customHeight="1" x14ac:dyDescent="0.3">
      <c r="K87" s="19" t="s">
        <v>76</v>
      </c>
      <c r="L87" s="56" t="s">
        <v>668</v>
      </c>
    </row>
    <row r="88" spans="11:12" ht="15" customHeight="1" x14ac:dyDescent="0.3">
      <c r="K88" s="19" t="s">
        <v>77</v>
      </c>
      <c r="L88" s="56" t="s">
        <v>669</v>
      </c>
    </row>
    <row r="89" spans="11:12" ht="15" customHeight="1" x14ac:dyDescent="0.3">
      <c r="K89" s="19" t="s">
        <v>78</v>
      </c>
      <c r="L89" s="56" t="s">
        <v>670</v>
      </c>
    </row>
    <row r="90" spans="11:12" ht="15" customHeight="1" x14ac:dyDescent="0.3">
      <c r="K90" s="20" t="s">
        <v>671</v>
      </c>
      <c r="L90" s="56" t="s">
        <v>672</v>
      </c>
    </row>
    <row r="91" spans="11:12" ht="15" customHeight="1" x14ac:dyDescent="0.3">
      <c r="K91" s="20" t="s">
        <v>673</v>
      </c>
      <c r="L91" s="56" t="s">
        <v>674</v>
      </c>
    </row>
    <row r="92" spans="11:12" ht="15" customHeight="1" x14ac:dyDescent="0.3">
      <c r="K92" s="19" t="s">
        <v>79</v>
      </c>
      <c r="L92" s="56" t="s">
        <v>675</v>
      </c>
    </row>
    <row r="93" spans="11:12" ht="15" customHeight="1" x14ac:dyDescent="0.3">
      <c r="K93" s="19" t="s">
        <v>80</v>
      </c>
      <c r="L93" s="56" t="s">
        <v>676</v>
      </c>
    </row>
    <row r="94" spans="11:12" ht="15" customHeight="1" x14ac:dyDescent="0.3">
      <c r="K94" s="19" t="s">
        <v>81</v>
      </c>
      <c r="L94" s="56" t="s">
        <v>677</v>
      </c>
    </row>
    <row r="95" spans="11:12" ht="15" customHeight="1" x14ac:dyDescent="0.3">
      <c r="K95" s="20" t="s">
        <v>678</v>
      </c>
      <c r="L95" s="56" t="s">
        <v>679</v>
      </c>
    </row>
    <row r="96" spans="11:12" ht="15" customHeight="1" x14ac:dyDescent="0.3">
      <c r="K96" s="20" t="s">
        <v>680</v>
      </c>
      <c r="L96" s="56" t="s">
        <v>681</v>
      </c>
    </row>
    <row r="97" spans="11:12" ht="15" customHeight="1" x14ac:dyDescent="0.3">
      <c r="K97" s="19" t="s">
        <v>82</v>
      </c>
      <c r="L97" s="56" t="s">
        <v>682</v>
      </c>
    </row>
    <row r="98" spans="11:12" ht="15" customHeight="1" x14ac:dyDescent="0.3">
      <c r="K98" s="19" t="s">
        <v>83</v>
      </c>
      <c r="L98" s="56" t="s">
        <v>683</v>
      </c>
    </row>
    <row r="99" spans="11:12" ht="15" customHeight="1" x14ac:dyDescent="0.3">
      <c r="K99" s="19" t="s">
        <v>84</v>
      </c>
      <c r="L99" s="56" t="s">
        <v>684</v>
      </c>
    </row>
    <row r="100" spans="11:12" ht="15" customHeight="1" x14ac:dyDescent="0.3">
      <c r="K100" s="20" t="s">
        <v>685</v>
      </c>
      <c r="L100" s="56" t="s">
        <v>686</v>
      </c>
    </row>
    <row r="101" spans="11:12" ht="15" customHeight="1" x14ac:dyDescent="0.3">
      <c r="K101" s="20" t="s">
        <v>687</v>
      </c>
      <c r="L101" s="56" t="s">
        <v>688</v>
      </c>
    </row>
    <row r="102" spans="11:12" ht="15" customHeight="1" x14ac:dyDescent="0.3">
      <c r="K102" s="19" t="s">
        <v>85</v>
      </c>
      <c r="L102" s="56" t="s">
        <v>689</v>
      </c>
    </row>
    <row r="103" spans="11:12" ht="15" customHeight="1" x14ac:dyDescent="0.3">
      <c r="K103" s="19" t="s">
        <v>86</v>
      </c>
      <c r="L103" s="56" t="s">
        <v>690</v>
      </c>
    </row>
    <row r="104" spans="11:12" ht="15" customHeight="1" x14ac:dyDescent="0.3">
      <c r="K104" s="19" t="s">
        <v>87</v>
      </c>
      <c r="L104" s="56" t="s">
        <v>691</v>
      </c>
    </row>
    <row r="105" spans="11:12" ht="15" customHeight="1" x14ac:dyDescent="0.3">
      <c r="K105" s="20" t="s">
        <v>692</v>
      </c>
      <c r="L105" s="56" t="s">
        <v>693</v>
      </c>
    </row>
    <row r="106" spans="11:12" ht="15" customHeight="1" x14ac:dyDescent="0.3">
      <c r="K106" s="20" t="s">
        <v>694</v>
      </c>
      <c r="L106" s="56" t="s">
        <v>695</v>
      </c>
    </row>
    <row r="107" spans="11:12" ht="15" customHeight="1" x14ac:dyDescent="0.3">
      <c r="K107" s="19" t="s">
        <v>88</v>
      </c>
      <c r="L107" s="56" t="s">
        <v>696</v>
      </c>
    </row>
    <row r="108" spans="11:12" ht="15" customHeight="1" x14ac:dyDescent="0.3">
      <c r="K108" s="19" t="s">
        <v>89</v>
      </c>
      <c r="L108" s="56" t="s">
        <v>697</v>
      </c>
    </row>
    <row r="109" spans="11:12" ht="15" customHeight="1" x14ac:dyDescent="0.3">
      <c r="K109" s="19" t="s">
        <v>90</v>
      </c>
      <c r="L109" s="56" t="s">
        <v>698</v>
      </c>
    </row>
    <row r="110" spans="11:12" ht="15" customHeight="1" x14ac:dyDescent="0.3">
      <c r="K110" s="20" t="s">
        <v>699</v>
      </c>
      <c r="L110" s="56" t="s">
        <v>700</v>
      </c>
    </row>
    <row r="111" spans="11:12" ht="15" customHeight="1" x14ac:dyDescent="0.3">
      <c r="K111" s="20" t="s">
        <v>701</v>
      </c>
      <c r="L111" s="56" t="s">
        <v>702</v>
      </c>
    </row>
    <row r="112" spans="11:12" ht="15" customHeight="1" x14ac:dyDescent="0.3">
      <c r="K112" s="19" t="s">
        <v>91</v>
      </c>
      <c r="L112" s="56" t="s">
        <v>703</v>
      </c>
    </row>
    <row r="113" spans="11:12" ht="15" customHeight="1" x14ac:dyDescent="0.3">
      <c r="K113" s="21" t="s">
        <v>92</v>
      </c>
      <c r="L113" s="56" t="s">
        <v>704</v>
      </c>
    </row>
    <row r="114" spans="11:12" ht="15" customHeight="1" x14ac:dyDescent="0.3">
      <c r="K114" s="21" t="s">
        <v>93</v>
      </c>
      <c r="L114" s="56" t="s">
        <v>705</v>
      </c>
    </row>
    <row r="115" spans="11:12" ht="15" customHeight="1" x14ac:dyDescent="0.3">
      <c r="K115" s="22" t="s">
        <v>94</v>
      </c>
      <c r="L115" s="56" t="s">
        <v>706</v>
      </c>
    </row>
    <row r="116" spans="11:12" ht="15" customHeight="1" x14ac:dyDescent="0.3">
      <c r="K116" s="22" t="s">
        <v>95</v>
      </c>
      <c r="L116" s="56" t="s">
        <v>707</v>
      </c>
    </row>
    <row r="117" spans="11:12" ht="15" customHeight="1" x14ac:dyDescent="0.3">
      <c r="K117" s="21" t="s">
        <v>96</v>
      </c>
      <c r="L117" s="56" t="s">
        <v>708</v>
      </c>
    </row>
    <row r="118" spans="11:12" ht="15" customHeight="1" x14ac:dyDescent="0.3">
      <c r="K118" s="21" t="s">
        <v>97</v>
      </c>
      <c r="L118" s="56" t="s">
        <v>709</v>
      </c>
    </row>
    <row r="119" spans="11:12" ht="15" customHeight="1" x14ac:dyDescent="0.3">
      <c r="K119" s="21" t="s">
        <v>98</v>
      </c>
      <c r="L119" s="56" t="s">
        <v>710</v>
      </c>
    </row>
    <row r="120" spans="11:12" ht="15" customHeight="1" x14ac:dyDescent="0.3">
      <c r="K120" s="22" t="s">
        <v>711</v>
      </c>
      <c r="L120" s="56" t="s">
        <v>712</v>
      </c>
    </row>
    <row r="121" spans="11:12" ht="15" customHeight="1" x14ac:dyDescent="0.3">
      <c r="K121" s="22" t="s">
        <v>713</v>
      </c>
      <c r="L121" s="56" t="s">
        <v>714</v>
      </c>
    </row>
    <row r="122" spans="11:12" ht="15" customHeight="1" x14ac:dyDescent="0.3">
      <c r="K122" s="21" t="s">
        <v>99</v>
      </c>
      <c r="L122" s="56" t="s">
        <v>715</v>
      </c>
    </row>
    <row r="123" spans="11:12" ht="15" customHeight="1" x14ac:dyDescent="0.3">
      <c r="K123" s="21" t="s">
        <v>100</v>
      </c>
      <c r="L123" s="56" t="s">
        <v>716</v>
      </c>
    </row>
    <row r="124" spans="11:12" ht="15" customHeight="1" x14ac:dyDescent="0.3">
      <c r="K124" s="21" t="s">
        <v>101</v>
      </c>
      <c r="L124" s="56" t="s">
        <v>717</v>
      </c>
    </row>
    <row r="125" spans="11:12" ht="15" customHeight="1" x14ac:dyDescent="0.3">
      <c r="K125" s="22" t="s">
        <v>718</v>
      </c>
      <c r="L125" s="56" t="s">
        <v>719</v>
      </c>
    </row>
    <row r="126" spans="11:12" ht="15" customHeight="1" x14ac:dyDescent="0.3">
      <c r="K126" s="22" t="s">
        <v>720</v>
      </c>
      <c r="L126" s="56" t="s">
        <v>721</v>
      </c>
    </row>
    <row r="127" spans="11:12" ht="15" customHeight="1" x14ac:dyDescent="0.3">
      <c r="K127" s="21" t="s">
        <v>102</v>
      </c>
      <c r="L127" s="56" t="s">
        <v>722</v>
      </c>
    </row>
    <row r="128" spans="11:12" ht="15" customHeight="1" x14ac:dyDescent="0.3">
      <c r="K128" s="21" t="s">
        <v>103</v>
      </c>
      <c r="L128" s="56" t="s">
        <v>723</v>
      </c>
    </row>
    <row r="129" spans="11:12" ht="15" customHeight="1" x14ac:dyDescent="0.3">
      <c r="K129" s="21" t="s">
        <v>104</v>
      </c>
      <c r="L129" s="56" t="s">
        <v>724</v>
      </c>
    </row>
    <row r="130" spans="11:12" ht="15" customHeight="1" x14ac:dyDescent="0.3">
      <c r="K130" s="22" t="s">
        <v>725</v>
      </c>
      <c r="L130" s="56" t="s">
        <v>726</v>
      </c>
    </row>
    <row r="131" spans="11:12" ht="15" customHeight="1" x14ac:dyDescent="0.3">
      <c r="K131" s="22" t="s">
        <v>727</v>
      </c>
      <c r="L131" s="56" t="s">
        <v>728</v>
      </c>
    </row>
    <row r="132" spans="11:12" ht="15" customHeight="1" x14ac:dyDescent="0.3">
      <c r="K132" s="21" t="s">
        <v>105</v>
      </c>
      <c r="L132" s="56" t="s">
        <v>729</v>
      </c>
    </row>
    <row r="133" spans="11:12" ht="15" customHeight="1" x14ac:dyDescent="0.3">
      <c r="K133" s="21" t="s">
        <v>106</v>
      </c>
      <c r="L133" s="56" t="s">
        <v>730</v>
      </c>
    </row>
    <row r="134" spans="11:12" ht="15" customHeight="1" x14ac:dyDescent="0.3">
      <c r="K134" s="21" t="s">
        <v>107</v>
      </c>
      <c r="L134" s="56" t="s">
        <v>731</v>
      </c>
    </row>
    <row r="135" spans="11:12" ht="15" customHeight="1" x14ac:dyDescent="0.3">
      <c r="K135" s="22" t="s">
        <v>732</v>
      </c>
      <c r="L135" s="56" t="s">
        <v>733</v>
      </c>
    </row>
    <row r="136" spans="11:12" ht="15" customHeight="1" x14ac:dyDescent="0.3">
      <c r="K136" s="22" t="s">
        <v>734</v>
      </c>
      <c r="L136" s="56" t="s">
        <v>735</v>
      </c>
    </row>
    <row r="137" spans="11:12" ht="15" customHeight="1" x14ac:dyDescent="0.3">
      <c r="K137" s="21" t="s">
        <v>108</v>
      </c>
      <c r="L137" s="56" t="s">
        <v>736</v>
      </c>
    </row>
    <row r="138" spans="11:12" ht="15" customHeight="1" x14ac:dyDescent="0.3">
      <c r="K138" s="21" t="s">
        <v>109</v>
      </c>
      <c r="L138" s="56" t="s">
        <v>737</v>
      </c>
    </row>
    <row r="139" spans="11:12" ht="15" customHeight="1" x14ac:dyDescent="0.3">
      <c r="K139" s="21" t="s">
        <v>110</v>
      </c>
      <c r="L139" s="56" t="s">
        <v>738</v>
      </c>
    </row>
    <row r="140" spans="11:12" ht="15" customHeight="1" x14ac:dyDescent="0.3">
      <c r="K140" s="22" t="s">
        <v>739</v>
      </c>
      <c r="L140" s="56" t="s">
        <v>740</v>
      </c>
    </row>
    <row r="141" spans="11:12" ht="15" customHeight="1" x14ac:dyDescent="0.3">
      <c r="K141" s="22" t="s">
        <v>741</v>
      </c>
      <c r="L141" s="56" t="s">
        <v>742</v>
      </c>
    </row>
    <row r="142" spans="11:12" ht="15" customHeight="1" x14ac:dyDescent="0.3">
      <c r="K142" s="21" t="s">
        <v>111</v>
      </c>
      <c r="L142" s="56" t="s">
        <v>743</v>
      </c>
    </row>
    <row r="143" spans="11:12" ht="15" customHeight="1" x14ac:dyDescent="0.3">
      <c r="K143" s="21" t="s">
        <v>112</v>
      </c>
      <c r="L143" s="56" t="s">
        <v>744</v>
      </c>
    </row>
    <row r="144" spans="11:12" ht="15" customHeight="1" x14ac:dyDescent="0.3">
      <c r="K144" s="21" t="s">
        <v>113</v>
      </c>
      <c r="L144" s="56" t="s">
        <v>745</v>
      </c>
    </row>
    <row r="145" spans="11:12" ht="15" customHeight="1" x14ac:dyDescent="0.3">
      <c r="K145" s="22" t="s">
        <v>746</v>
      </c>
      <c r="L145" s="56" t="s">
        <v>747</v>
      </c>
    </row>
    <row r="146" spans="11:12" ht="15" customHeight="1" x14ac:dyDescent="0.3">
      <c r="K146" s="22" t="s">
        <v>748</v>
      </c>
      <c r="L146" s="56" t="s">
        <v>749</v>
      </c>
    </row>
    <row r="147" spans="11:12" ht="15" customHeight="1" x14ac:dyDescent="0.3">
      <c r="K147" s="21" t="s">
        <v>114</v>
      </c>
      <c r="L147" s="56" t="s">
        <v>750</v>
      </c>
    </row>
    <row r="148" spans="11:12" ht="15" customHeight="1" x14ac:dyDescent="0.3">
      <c r="K148" s="21" t="s">
        <v>115</v>
      </c>
      <c r="L148" s="56" t="s">
        <v>751</v>
      </c>
    </row>
    <row r="149" spans="11:12" ht="15" customHeight="1" x14ac:dyDescent="0.3">
      <c r="K149" s="21" t="s">
        <v>116</v>
      </c>
      <c r="L149" s="56" t="s">
        <v>752</v>
      </c>
    </row>
    <row r="150" spans="11:12" ht="15" customHeight="1" x14ac:dyDescent="0.3">
      <c r="K150" s="22" t="s">
        <v>753</v>
      </c>
      <c r="L150" s="56" t="s">
        <v>754</v>
      </c>
    </row>
    <row r="151" spans="11:12" ht="15" customHeight="1" x14ac:dyDescent="0.3">
      <c r="K151" s="22" t="s">
        <v>755</v>
      </c>
      <c r="L151" s="56" t="s">
        <v>756</v>
      </c>
    </row>
    <row r="152" spans="11:12" ht="15" customHeight="1" x14ac:dyDescent="0.3">
      <c r="K152" s="21" t="s">
        <v>117</v>
      </c>
      <c r="L152" s="56" t="s">
        <v>757</v>
      </c>
    </row>
    <row r="153" spans="11:12" ht="15" customHeight="1" x14ac:dyDescent="0.3">
      <c r="K153" s="21" t="s">
        <v>118</v>
      </c>
      <c r="L153" s="56" t="s">
        <v>758</v>
      </c>
    </row>
    <row r="154" spans="11:12" ht="15" customHeight="1" x14ac:dyDescent="0.3">
      <c r="K154" s="21" t="s">
        <v>119</v>
      </c>
      <c r="L154" s="56" t="s">
        <v>759</v>
      </c>
    </row>
    <row r="155" spans="11:12" ht="15" customHeight="1" x14ac:dyDescent="0.3">
      <c r="K155" s="22" t="s">
        <v>760</v>
      </c>
      <c r="L155" s="56" t="s">
        <v>761</v>
      </c>
    </row>
    <row r="156" spans="11:12" ht="15" customHeight="1" x14ac:dyDescent="0.3">
      <c r="K156" s="22" t="s">
        <v>762</v>
      </c>
      <c r="L156" s="56" t="s">
        <v>763</v>
      </c>
    </row>
    <row r="157" spans="11:12" ht="15" customHeight="1" x14ac:dyDescent="0.3">
      <c r="K157" s="21" t="s">
        <v>120</v>
      </c>
      <c r="L157" s="56" t="s">
        <v>764</v>
      </c>
    </row>
    <row r="158" spans="11:12" ht="15" customHeight="1" x14ac:dyDescent="0.3">
      <c r="K158" s="21" t="s">
        <v>121</v>
      </c>
      <c r="L158" s="56" t="s">
        <v>765</v>
      </c>
    </row>
    <row r="159" spans="11:12" ht="15" customHeight="1" x14ac:dyDescent="0.3">
      <c r="K159" s="21" t="s">
        <v>122</v>
      </c>
      <c r="L159" s="56" t="s">
        <v>766</v>
      </c>
    </row>
    <row r="160" spans="11:12" ht="15" customHeight="1" x14ac:dyDescent="0.3">
      <c r="K160" s="22" t="s">
        <v>767</v>
      </c>
      <c r="L160" s="56" t="s">
        <v>768</v>
      </c>
    </row>
    <row r="161" spans="11:12" ht="15" customHeight="1" x14ac:dyDescent="0.3">
      <c r="K161" s="22" t="s">
        <v>769</v>
      </c>
      <c r="L161" s="56" t="s">
        <v>770</v>
      </c>
    </row>
    <row r="162" spans="11:12" ht="15" customHeight="1" x14ac:dyDescent="0.3">
      <c r="K162" s="21" t="s">
        <v>123</v>
      </c>
      <c r="L162" s="56" t="s">
        <v>771</v>
      </c>
    </row>
    <row r="163" spans="11:12" ht="15" customHeight="1" x14ac:dyDescent="0.3">
      <c r="K163" s="21" t="s">
        <v>124</v>
      </c>
      <c r="L163" s="56" t="s">
        <v>772</v>
      </c>
    </row>
    <row r="164" spans="11:12" ht="15" customHeight="1" x14ac:dyDescent="0.3">
      <c r="K164" s="21" t="s">
        <v>125</v>
      </c>
      <c r="L164" s="56" t="s">
        <v>773</v>
      </c>
    </row>
    <row r="165" spans="11:12" ht="15" customHeight="1" x14ac:dyDescent="0.3">
      <c r="K165" s="22" t="s">
        <v>774</v>
      </c>
      <c r="L165" s="56" t="s">
        <v>775</v>
      </c>
    </row>
    <row r="166" spans="11:12" ht="15" customHeight="1" x14ac:dyDescent="0.3">
      <c r="K166" s="22" t="s">
        <v>776</v>
      </c>
      <c r="L166" s="56" t="s">
        <v>777</v>
      </c>
    </row>
    <row r="167" spans="11:12" ht="15" customHeight="1" x14ac:dyDescent="0.3">
      <c r="K167" s="21" t="s">
        <v>126</v>
      </c>
      <c r="L167" s="56" t="s">
        <v>778</v>
      </c>
    </row>
    <row r="168" spans="11:12" ht="15" customHeight="1" x14ac:dyDescent="0.3">
      <c r="K168" s="21" t="s">
        <v>127</v>
      </c>
      <c r="L168" s="56" t="s">
        <v>779</v>
      </c>
    </row>
    <row r="169" spans="11:12" ht="15" customHeight="1" x14ac:dyDescent="0.3">
      <c r="K169" s="21" t="s">
        <v>128</v>
      </c>
      <c r="L169" s="56" t="s">
        <v>780</v>
      </c>
    </row>
    <row r="170" spans="11:12" ht="15" customHeight="1" x14ac:dyDescent="0.3">
      <c r="K170" s="22" t="s">
        <v>781</v>
      </c>
      <c r="L170" s="56" t="s">
        <v>782</v>
      </c>
    </row>
    <row r="171" spans="11:12" ht="15" customHeight="1" x14ac:dyDescent="0.3">
      <c r="K171" s="22" t="s">
        <v>783</v>
      </c>
      <c r="L171" s="56" t="s">
        <v>784</v>
      </c>
    </row>
    <row r="172" spans="11:12" ht="15" customHeight="1" x14ac:dyDescent="0.3">
      <c r="K172" s="21" t="s">
        <v>129</v>
      </c>
      <c r="L172" s="56" t="s">
        <v>785</v>
      </c>
    </row>
    <row r="173" spans="11:12" ht="15" customHeight="1" x14ac:dyDescent="0.3">
      <c r="K173" s="21" t="s">
        <v>130</v>
      </c>
      <c r="L173" s="56" t="s">
        <v>786</v>
      </c>
    </row>
    <row r="174" spans="11:12" ht="15" customHeight="1" x14ac:dyDescent="0.3">
      <c r="K174" s="21" t="s">
        <v>131</v>
      </c>
      <c r="L174" s="56" t="s">
        <v>787</v>
      </c>
    </row>
    <row r="175" spans="11:12" ht="15" customHeight="1" x14ac:dyDescent="0.3">
      <c r="K175" s="22" t="s">
        <v>788</v>
      </c>
      <c r="L175" s="56" t="s">
        <v>789</v>
      </c>
    </row>
    <row r="176" spans="11:12" ht="15" customHeight="1" x14ac:dyDescent="0.3">
      <c r="K176" s="22" t="s">
        <v>790</v>
      </c>
      <c r="L176" s="56" t="s">
        <v>791</v>
      </c>
    </row>
    <row r="177" spans="11:12" ht="15" customHeight="1" x14ac:dyDescent="0.3">
      <c r="K177" s="21" t="s">
        <v>132</v>
      </c>
      <c r="L177" s="56" t="s">
        <v>792</v>
      </c>
    </row>
    <row r="178" spans="11:12" ht="15" customHeight="1" x14ac:dyDescent="0.3">
      <c r="K178" s="21" t="s">
        <v>133</v>
      </c>
      <c r="L178" s="56" t="s">
        <v>793</v>
      </c>
    </row>
    <row r="179" spans="11:12" ht="15" customHeight="1" x14ac:dyDescent="0.3">
      <c r="K179" s="23" t="s">
        <v>134</v>
      </c>
      <c r="L179" s="56" t="s">
        <v>794</v>
      </c>
    </row>
    <row r="180" spans="11:12" ht="15" customHeight="1" x14ac:dyDescent="0.3">
      <c r="K180" s="22" t="s">
        <v>795</v>
      </c>
      <c r="L180" s="56" t="s">
        <v>796</v>
      </c>
    </row>
    <row r="181" spans="11:12" ht="15" customHeight="1" x14ac:dyDescent="0.3">
      <c r="K181" s="22" t="s">
        <v>797</v>
      </c>
      <c r="L181" s="56" t="s">
        <v>798</v>
      </c>
    </row>
    <row r="182" spans="11:12" ht="15" customHeight="1" x14ac:dyDescent="0.3">
      <c r="K182" s="21" t="s">
        <v>135</v>
      </c>
      <c r="L182" s="56" t="s">
        <v>799</v>
      </c>
    </row>
    <row r="183" spans="11:12" ht="15" customHeight="1" x14ac:dyDescent="0.3">
      <c r="K183" s="21" t="s">
        <v>136</v>
      </c>
      <c r="L183" s="56" t="s">
        <v>800</v>
      </c>
    </row>
    <row r="184" spans="11:12" ht="15" customHeight="1" x14ac:dyDescent="0.3">
      <c r="K184" s="21" t="s">
        <v>137</v>
      </c>
      <c r="L184" s="56" t="s">
        <v>801</v>
      </c>
    </row>
    <row r="185" spans="11:12" ht="15" customHeight="1" x14ac:dyDescent="0.3">
      <c r="K185" s="22" t="s">
        <v>802</v>
      </c>
      <c r="L185" s="56" t="s">
        <v>803</v>
      </c>
    </row>
    <row r="186" spans="11:12" ht="15" customHeight="1" x14ac:dyDescent="0.3">
      <c r="K186" s="22" t="s">
        <v>804</v>
      </c>
      <c r="L186" s="56" t="s">
        <v>805</v>
      </c>
    </row>
    <row r="187" spans="11:12" ht="15" customHeight="1" x14ac:dyDescent="0.3">
      <c r="K187" s="21" t="s">
        <v>138</v>
      </c>
      <c r="L187" s="56" t="s">
        <v>806</v>
      </c>
    </row>
    <row r="188" spans="11:12" ht="15" customHeight="1" x14ac:dyDescent="0.3">
      <c r="K188" s="24" t="s">
        <v>139</v>
      </c>
      <c r="L188" s="56" t="s">
        <v>807</v>
      </c>
    </row>
    <row r="189" spans="11:12" ht="15" customHeight="1" x14ac:dyDescent="0.3">
      <c r="K189" s="25" t="s">
        <v>140</v>
      </c>
      <c r="L189" s="56" t="s">
        <v>808</v>
      </c>
    </row>
    <row r="190" spans="11:12" ht="15" customHeight="1" x14ac:dyDescent="0.3">
      <c r="K190" s="24" t="s">
        <v>809</v>
      </c>
      <c r="L190" s="56" t="s">
        <v>810</v>
      </c>
    </row>
    <row r="191" spans="11:12" ht="15" customHeight="1" x14ac:dyDescent="0.3">
      <c r="K191" s="25" t="s">
        <v>811</v>
      </c>
      <c r="L191" s="56" t="s">
        <v>812</v>
      </c>
    </row>
    <row r="192" spans="11:12" ht="15" customHeight="1" x14ac:dyDescent="0.3">
      <c r="K192" s="24" t="s">
        <v>813</v>
      </c>
      <c r="L192" s="56" t="s">
        <v>814</v>
      </c>
    </row>
    <row r="193" spans="11:12" ht="15" customHeight="1" x14ac:dyDescent="0.3">
      <c r="K193" s="25" t="s">
        <v>815</v>
      </c>
      <c r="L193" s="56" t="s">
        <v>816</v>
      </c>
    </row>
    <row r="194" spans="11:12" ht="15" customHeight="1" x14ac:dyDescent="0.3">
      <c r="K194" s="24" t="s">
        <v>817</v>
      </c>
      <c r="L194" s="56" t="s">
        <v>818</v>
      </c>
    </row>
    <row r="195" spans="11:12" ht="15" customHeight="1" x14ac:dyDescent="0.3">
      <c r="K195" s="25" t="s">
        <v>819</v>
      </c>
      <c r="L195" s="56" t="s">
        <v>820</v>
      </c>
    </row>
    <row r="196" spans="11:12" ht="15" customHeight="1" x14ac:dyDescent="0.3">
      <c r="K196" s="24" t="s">
        <v>821</v>
      </c>
      <c r="L196" s="56" t="s">
        <v>822</v>
      </c>
    </row>
    <row r="197" spans="11:12" ht="15" customHeight="1" x14ac:dyDescent="0.3">
      <c r="K197" s="25" t="s">
        <v>823</v>
      </c>
      <c r="L197" s="56" t="s">
        <v>824</v>
      </c>
    </row>
    <row r="198" spans="11:12" ht="15" customHeight="1" x14ac:dyDescent="0.3">
      <c r="K198" s="24" t="s">
        <v>825</v>
      </c>
      <c r="L198" s="56" t="s">
        <v>826</v>
      </c>
    </row>
    <row r="199" spans="11:12" ht="15" customHeight="1" x14ac:dyDescent="0.3">
      <c r="K199" s="25" t="s">
        <v>827</v>
      </c>
      <c r="L199" s="56" t="s">
        <v>828</v>
      </c>
    </row>
    <row r="200" spans="11:12" ht="15" customHeight="1" x14ac:dyDescent="0.3">
      <c r="K200" s="24" t="s">
        <v>829</v>
      </c>
      <c r="L200" s="56" t="s">
        <v>830</v>
      </c>
    </row>
    <row r="201" spans="11:12" ht="15" customHeight="1" x14ac:dyDescent="0.3">
      <c r="K201" s="25" t="s">
        <v>831</v>
      </c>
      <c r="L201" s="56" t="s">
        <v>832</v>
      </c>
    </row>
    <row r="202" spans="11:12" ht="15" customHeight="1" x14ac:dyDescent="0.3">
      <c r="K202" s="24" t="s">
        <v>833</v>
      </c>
      <c r="L202" s="56" t="s">
        <v>834</v>
      </c>
    </row>
    <row r="203" spans="11:12" ht="15" customHeight="1" x14ac:dyDescent="0.3">
      <c r="K203" s="25" t="s">
        <v>835</v>
      </c>
      <c r="L203" s="56" t="s">
        <v>836</v>
      </c>
    </row>
    <row r="204" spans="11:12" ht="15" customHeight="1" x14ac:dyDescent="0.3">
      <c r="K204" s="24" t="s">
        <v>837</v>
      </c>
      <c r="L204" s="56" t="s">
        <v>838</v>
      </c>
    </row>
    <row r="205" spans="11:12" ht="15" customHeight="1" x14ac:dyDescent="0.3">
      <c r="K205" s="25" t="s">
        <v>839</v>
      </c>
      <c r="L205" s="56" t="s">
        <v>840</v>
      </c>
    </row>
    <row r="206" spans="11:12" ht="15" customHeight="1" x14ac:dyDescent="0.3">
      <c r="K206" s="24" t="s">
        <v>841</v>
      </c>
      <c r="L206" s="56" t="s">
        <v>842</v>
      </c>
    </row>
    <row r="207" spans="11:12" ht="15" customHeight="1" x14ac:dyDescent="0.3">
      <c r="K207" s="25" t="s">
        <v>843</v>
      </c>
      <c r="L207" s="56" t="s">
        <v>844</v>
      </c>
    </row>
    <row r="208" spans="11:12" ht="15" customHeight="1" x14ac:dyDescent="0.3">
      <c r="K208" s="24" t="s">
        <v>845</v>
      </c>
      <c r="L208" s="56" t="s">
        <v>846</v>
      </c>
    </row>
    <row r="209" spans="11:12" ht="15" customHeight="1" x14ac:dyDescent="0.3">
      <c r="K209" s="25" t="s">
        <v>847</v>
      </c>
      <c r="L209" s="56" t="s">
        <v>848</v>
      </c>
    </row>
    <row r="210" spans="11:12" ht="15" customHeight="1" x14ac:dyDescent="0.3">
      <c r="K210" s="24" t="s">
        <v>849</v>
      </c>
      <c r="L210" s="56" t="s">
        <v>850</v>
      </c>
    </row>
    <row r="211" spans="11:12" ht="15" customHeight="1" x14ac:dyDescent="0.3">
      <c r="K211" s="25" t="s">
        <v>851</v>
      </c>
      <c r="L211" s="56" t="s">
        <v>852</v>
      </c>
    </row>
    <row r="212" spans="11:12" ht="15" customHeight="1" x14ac:dyDescent="0.3">
      <c r="K212" s="24" t="s">
        <v>853</v>
      </c>
      <c r="L212" s="56" t="s">
        <v>854</v>
      </c>
    </row>
    <row r="213" spans="11:12" ht="15" customHeight="1" x14ac:dyDescent="0.3">
      <c r="K213" s="25" t="s">
        <v>855</v>
      </c>
      <c r="L213" s="56" t="s">
        <v>856</v>
      </c>
    </row>
    <row r="214" spans="11:12" ht="15" customHeight="1" x14ac:dyDescent="0.3">
      <c r="K214" s="24" t="s">
        <v>857</v>
      </c>
      <c r="L214" s="56" t="s">
        <v>858</v>
      </c>
    </row>
    <row r="215" spans="11:12" ht="15" customHeight="1" x14ac:dyDescent="0.3">
      <c r="K215" s="25" t="s">
        <v>859</v>
      </c>
      <c r="L215" s="56" t="s">
        <v>860</v>
      </c>
    </row>
    <row r="216" spans="11:12" ht="15" customHeight="1" x14ac:dyDescent="0.3">
      <c r="K216" s="24" t="s">
        <v>861</v>
      </c>
      <c r="L216" s="56" t="s">
        <v>862</v>
      </c>
    </row>
    <row r="217" spans="11:12" ht="15" customHeight="1" x14ac:dyDescent="0.3">
      <c r="K217" s="25" t="s">
        <v>863</v>
      </c>
      <c r="L217" s="56" t="s">
        <v>864</v>
      </c>
    </row>
    <row r="218" spans="11:12" ht="15" customHeight="1" x14ac:dyDescent="0.3">
      <c r="K218" s="26" t="s">
        <v>141</v>
      </c>
      <c r="L218" s="56" t="s">
        <v>865</v>
      </c>
    </row>
    <row r="219" spans="11:12" ht="15" customHeight="1" x14ac:dyDescent="0.3">
      <c r="K219" s="26" t="s">
        <v>142</v>
      </c>
      <c r="L219" s="56" t="s">
        <v>866</v>
      </c>
    </row>
    <row r="220" spans="11:12" ht="15" customHeight="1" x14ac:dyDescent="0.3">
      <c r="K220" s="27" t="s">
        <v>143</v>
      </c>
      <c r="L220" s="56" t="s">
        <v>867</v>
      </c>
    </row>
    <row r="221" spans="11:12" ht="15" customHeight="1" x14ac:dyDescent="0.3">
      <c r="K221" s="28" t="s">
        <v>868</v>
      </c>
      <c r="L221" s="56" t="s">
        <v>869</v>
      </c>
    </row>
    <row r="222" spans="11:12" ht="15" customHeight="1" x14ac:dyDescent="0.3">
      <c r="K222" s="29" t="s">
        <v>145</v>
      </c>
      <c r="L222" s="56" t="s">
        <v>870</v>
      </c>
    </row>
    <row r="223" spans="11:12" ht="15" customHeight="1" x14ac:dyDescent="0.3">
      <c r="K223" s="26" t="s">
        <v>146</v>
      </c>
      <c r="L223" s="56" t="s">
        <v>871</v>
      </c>
    </row>
    <row r="224" spans="11:12" ht="15" customHeight="1" x14ac:dyDescent="0.3">
      <c r="K224" s="26" t="s">
        <v>147</v>
      </c>
      <c r="L224" s="56" t="s">
        <v>872</v>
      </c>
    </row>
    <row r="225" spans="11:12" ht="15" customHeight="1" x14ac:dyDescent="0.3">
      <c r="K225" s="27" t="s">
        <v>873</v>
      </c>
      <c r="L225" s="56" t="s">
        <v>874</v>
      </c>
    </row>
    <row r="226" spans="11:12" ht="15" customHeight="1" x14ac:dyDescent="0.3">
      <c r="K226" s="28" t="s">
        <v>875</v>
      </c>
      <c r="L226" s="56" t="s">
        <v>876</v>
      </c>
    </row>
    <row r="227" spans="11:12" ht="15" customHeight="1" x14ac:dyDescent="0.3">
      <c r="K227" s="29" t="s">
        <v>148</v>
      </c>
      <c r="L227" s="56" t="s">
        <v>877</v>
      </c>
    </row>
    <row r="228" spans="11:12" ht="15" customHeight="1" x14ac:dyDescent="0.3">
      <c r="K228" s="26" t="s">
        <v>149</v>
      </c>
      <c r="L228" s="56" t="s">
        <v>878</v>
      </c>
    </row>
    <row r="229" spans="11:12" ht="15" customHeight="1" x14ac:dyDescent="0.3">
      <c r="K229" s="26" t="s">
        <v>150</v>
      </c>
      <c r="L229" s="56" t="s">
        <v>879</v>
      </c>
    </row>
    <row r="230" spans="11:12" ht="15" customHeight="1" x14ac:dyDescent="0.3">
      <c r="K230" s="27" t="s">
        <v>880</v>
      </c>
      <c r="L230" s="56" t="s">
        <v>881</v>
      </c>
    </row>
    <row r="231" spans="11:12" ht="15" customHeight="1" x14ac:dyDescent="0.3">
      <c r="K231" s="28" t="s">
        <v>882</v>
      </c>
      <c r="L231" s="56" t="s">
        <v>883</v>
      </c>
    </row>
    <row r="232" spans="11:12" ht="15" customHeight="1" x14ac:dyDescent="0.3">
      <c r="K232" s="29" t="s">
        <v>151</v>
      </c>
      <c r="L232" s="56" t="s">
        <v>884</v>
      </c>
    </row>
    <row r="233" spans="11:12" ht="15" customHeight="1" x14ac:dyDescent="0.3">
      <c r="K233" s="26" t="s">
        <v>152</v>
      </c>
      <c r="L233" s="56" t="s">
        <v>885</v>
      </c>
    </row>
    <row r="234" spans="11:12" ht="15" customHeight="1" x14ac:dyDescent="0.3">
      <c r="K234" s="26" t="s">
        <v>153</v>
      </c>
      <c r="L234" s="56" t="s">
        <v>886</v>
      </c>
    </row>
    <row r="235" spans="11:12" ht="15" customHeight="1" x14ac:dyDescent="0.3">
      <c r="K235" s="27" t="s">
        <v>887</v>
      </c>
      <c r="L235" s="56" t="s">
        <v>888</v>
      </c>
    </row>
    <row r="236" spans="11:12" ht="15" customHeight="1" x14ac:dyDescent="0.3">
      <c r="K236" s="28" t="s">
        <v>889</v>
      </c>
      <c r="L236" s="56" t="s">
        <v>890</v>
      </c>
    </row>
    <row r="237" spans="11:12" ht="15" customHeight="1" x14ac:dyDescent="0.3">
      <c r="K237" s="29" t="s">
        <v>154</v>
      </c>
      <c r="L237" s="56" t="s">
        <v>891</v>
      </c>
    </row>
    <row r="238" spans="11:12" ht="15" customHeight="1" x14ac:dyDescent="0.3">
      <c r="K238" s="26" t="s">
        <v>155</v>
      </c>
      <c r="L238" s="56" t="s">
        <v>425</v>
      </c>
    </row>
    <row r="239" spans="11:12" ht="15" customHeight="1" x14ac:dyDescent="0.3">
      <c r="K239" s="26" t="s">
        <v>156</v>
      </c>
      <c r="L239" s="56" t="s">
        <v>892</v>
      </c>
    </row>
    <row r="240" spans="11:12" ht="15" customHeight="1" x14ac:dyDescent="0.3">
      <c r="K240" s="27" t="s">
        <v>893</v>
      </c>
      <c r="L240" s="56" t="s">
        <v>894</v>
      </c>
    </row>
    <row r="241" spans="11:12" ht="15" customHeight="1" x14ac:dyDescent="0.3">
      <c r="K241" s="28" t="s">
        <v>895</v>
      </c>
      <c r="L241" s="56" t="s">
        <v>896</v>
      </c>
    </row>
    <row r="242" spans="11:12" ht="15" customHeight="1" x14ac:dyDescent="0.3">
      <c r="K242" s="29" t="s">
        <v>157</v>
      </c>
      <c r="L242" s="56" t="s">
        <v>897</v>
      </c>
    </row>
    <row r="243" spans="11:12" ht="15" customHeight="1" x14ac:dyDescent="0.3">
      <c r="K243" s="26" t="s">
        <v>158</v>
      </c>
      <c r="L243" s="56" t="s">
        <v>898</v>
      </c>
    </row>
    <row r="244" spans="11:12" ht="15" customHeight="1" x14ac:dyDescent="0.3">
      <c r="K244" s="26" t="s">
        <v>159</v>
      </c>
      <c r="L244" s="56" t="s">
        <v>899</v>
      </c>
    </row>
    <row r="245" spans="11:12" ht="15" customHeight="1" x14ac:dyDescent="0.3">
      <c r="K245" s="27" t="s">
        <v>900</v>
      </c>
      <c r="L245" s="56" t="s">
        <v>901</v>
      </c>
    </row>
    <row r="246" spans="11:12" ht="15" customHeight="1" x14ac:dyDescent="0.3">
      <c r="K246" s="28" t="s">
        <v>902</v>
      </c>
      <c r="L246" s="56" t="s">
        <v>330</v>
      </c>
    </row>
    <row r="247" spans="11:12" ht="15" customHeight="1" x14ac:dyDescent="0.3">
      <c r="K247" s="29" t="s">
        <v>160</v>
      </c>
      <c r="L247" s="56" t="s">
        <v>903</v>
      </c>
    </row>
    <row r="248" spans="11:12" ht="15" customHeight="1" x14ac:dyDescent="0.3">
      <c r="K248" s="26" t="s">
        <v>161</v>
      </c>
      <c r="L248" s="56" t="s">
        <v>904</v>
      </c>
    </row>
    <row r="249" spans="11:12" ht="15" customHeight="1" x14ac:dyDescent="0.3">
      <c r="K249" s="26" t="s">
        <v>162</v>
      </c>
      <c r="L249" s="56" t="s">
        <v>905</v>
      </c>
    </row>
    <row r="250" spans="11:12" ht="15" customHeight="1" x14ac:dyDescent="0.3">
      <c r="K250" s="27" t="s">
        <v>906</v>
      </c>
      <c r="L250" s="56" t="s">
        <v>907</v>
      </c>
    </row>
    <row r="251" spans="11:12" ht="15" customHeight="1" x14ac:dyDescent="0.3">
      <c r="K251" s="28" t="s">
        <v>908</v>
      </c>
      <c r="L251" s="56" t="s">
        <v>909</v>
      </c>
    </row>
    <row r="252" spans="11:12" ht="15" customHeight="1" x14ac:dyDescent="0.3">
      <c r="K252" s="29" t="s">
        <v>163</v>
      </c>
      <c r="L252" s="56" t="s">
        <v>910</v>
      </c>
    </row>
    <row r="253" spans="11:12" ht="15" customHeight="1" x14ac:dyDescent="0.3">
      <c r="K253" s="26" t="s">
        <v>164</v>
      </c>
      <c r="L253" s="56" t="s">
        <v>911</v>
      </c>
    </row>
    <row r="254" spans="11:12" ht="15" customHeight="1" x14ac:dyDescent="0.3">
      <c r="K254" s="26" t="s">
        <v>165</v>
      </c>
      <c r="L254" s="56" t="s">
        <v>912</v>
      </c>
    </row>
    <row r="255" spans="11:12" ht="15" customHeight="1" x14ac:dyDescent="0.3">
      <c r="K255" s="27" t="s">
        <v>913</v>
      </c>
      <c r="L255" s="56" t="s">
        <v>914</v>
      </c>
    </row>
    <row r="256" spans="11:12" ht="15" customHeight="1" x14ac:dyDescent="0.3">
      <c r="K256" s="28" t="s">
        <v>915</v>
      </c>
      <c r="L256" s="56" t="s">
        <v>916</v>
      </c>
    </row>
    <row r="257" spans="11:12" ht="15" customHeight="1" x14ac:dyDescent="0.3">
      <c r="K257" s="29" t="s">
        <v>166</v>
      </c>
      <c r="L257" s="56" t="s">
        <v>917</v>
      </c>
    </row>
    <row r="258" spans="11:12" ht="15" customHeight="1" x14ac:dyDescent="0.3">
      <c r="K258" s="26" t="s">
        <v>167</v>
      </c>
      <c r="L258" s="56" t="s">
        <v>918</v>
      </c>
    </row>
    <row r="259" spans="11:12" ht="15" customHeight="1" x14ac:dyDescent="0.3">
      <c r="K259" s="26" t="s">
        <v>168</v>
      </c>
      <c r="L259" s="56" t="s">
        <v>236</v>
      </c>
    </row>
    <row r="260" spans="11:12" ht="15" customHeight="1" x14ac:dyDescent="0.3">
      <c r="K260" s="27" t="s">
        <v>919</v>
      </c>
      <c r="L260" s="56" t="s">
        <v>920</v>
      </c>
    </row>
    <row r="261" spans="11:12" ht="15" customHeight="1" x14ac:dyDescent="0.3">
      <c r="K261" s="28" t="s">
        <v>921</v>
      </c>
      <c r="L261" s="56" t="s">
        <v>922</v>
      </c>
    </row>
    <row r="262" spans="11:12" ht="15" customHeight="1" x14ac:dyDescent="0.3">
      <c r="K262" s="29" t="s">
        <v>169</v>
      </c>
      <c r="L262" s="56" t="s">
        <v>923</v>
      </c>
    </row>
    <row r="263" spans="11:12" ht="15" customHeight="1" x14ac:dyDescent="0.3">
      <c r="K263" s="26" t="s">
        <v>170</v>
      </c>
      <c r="L263" s="56" t="s">
        <v>924</v>
      </c>
    </row>
    <row r="264" spans="11:12" ht="15" customHeight="1" x14ac:dyDescent="0.3">
      <c r="K264" s="26" t="s">
        <v>171</v>
      </c>
      <c r="L264" s="56" t="s">
        <v>925</v>
      </c>
    </row>
    <row r="265" spans="11:12" ht="15" customHeight="1" x14ac:dyDescent="0.3">
      <c r="K265" s="27" t="s">
        <v>926</v>
      </c>
      <c r="L265" s="56" t="s">
        <v>927</v>
      </c>
    </row>
    <row r="266" spans="11:12" ht="15" customHeight="1" x14ac:dyDescent="0.3">
      <c r="K266" s="28" t="s">
        <v>928</v>
      </c>
      <c r="L266" s="56" t="s">
        <v>929</v>
      </c>
    </row>
    <row r="267" spans="11:12" ht="15" customHeight="1" x14ac:dyDescent="0.3">
      <c r="K267" s="29" t="s">
        <v>172</v>
      </c>
      <c r="L267" s="56" t="s">
        <v>930</v>
      </c>
    </row>
    <row r="268" spans="11:12" ht="15" customHeight="1" x14ac:dyDescent="0.3">
      <c r="K268" s="26" t="s">
        <v>173</v>
      </c>
      <c r="L268" s="56" t="s">
        <v>931</v>
      </c>
    </row>
    <row r="269" spans="11:12" ht="15" customHeight="1" x14ac:dyDescent="0.3">
      <c r="K269" s="26" t="s">
        <v>174</v>
      </c>
      <c r="L269" s="56" t="s">
        <v>932</v>
      </c>
    </row>
    <row r="270" spans="11:12" ht="15" customHeight="1" x14ac:dyDescent="0.3">
      <c r="K270" s="27" t="s">
        <v>933</v>
      </c>
      <c r="L270" s="56" t="s">
        <v>934</v>
      </c>
    </row>
    <row r="271" spans="11:12" ht="15" customHeight="1" x14ac:dyDescent="0.3">
      <c r="K271" s="28" t="s">
        <v>935</v>
      </c>
      <c r="L271" s="56" t="s">
        <v>936</v>
      </c>
    </row>
    <row r="272" spans="11:12" ht="15" customHeight="1" x14ac:dyDescent="0.3">
      <c r="K272" s="29" t="s">
        <v>175</v>
      </c>
      <c r="L272" s="56" t="s">
        <v>937</v>
      </c>
    </row>
    <row r="273" spans="11:12" ht="15" customHeight="1" x14ac:dyDescent="0.3">
      <c r="K273" s="26" t="s">
        <v>176</v>
      </c>
      <c r="L273" s="56" t="s">
        <v>938</v>
      </c>
    </row>
    <row r="274" spans="11:12" ht="15" customHeight="1" x14ac:dyDescent="0.3">
      <c r="K274" s="26" t="s">
        <v>177</v>
      </c>
      <c r="L274" s="56" t="s">
        <v>939</v>
      </c>
    </row>
    <row r="275" spans="11:12" ht="15" customHeight="1" x14ac:dyDescent="0.3">
      <c r="K275" s="27" t="s">
        <v>940</v>
      </c>
      <c r="L275" s="56" t="s">
        <v>941</v>
      </c>
    </row>
    <row r="276" spans="11:12" ht="15" customHeight="1" x14ac:dyDescent="0.3">
      <c r="K276" s="28" t="s">
        <v>942</v>
      </c>
      <c r="L276" s="56" t="s">
        <v>943</v>
      </c>
    </row>
    <row r="277" spans="11:12" ht="15" customHeight="1" x14ac:dyDescent="0.3">
      <c r="K277" s="29" t="s">
        <v>178</v>
      </c>
      <c r="L277" s="56" t="s">
        <v>944</v>
      </c>
    </row>
    <row r="278" spans="11:12" ht="15" customHeight="1" x14ac:dyDescent="0.3">
      <c r="K278" s="26" t="s">
        <v>179</v>
      </c>
      <c r="L278" s="56" t="s">
        <v>945</v>
      </c>
    </row>
    <row r="279" spans="11:12" ht="15" customHeight="1" x14ac:dyDescent="0.3">
      <c r="K279" s="26" t="s">
        <v>180</v>
      </c>
      <c r="L279" s="56" t="s">
        <v>946</v>
      </c>
    </row>
    <row r="280" spans="11:12" ht="15" customHeight="1" x14ac:dyDescent="0.3">
      <c r="K280" s="27" t="s">
        <v>947</v>
      </c>
      <c r="L280" s="56" t="s">
        <v>948</v>
      </c>
    </row>
    <row r="281" spans="11:12" ht="15" customHeight="1" x14ac:dyDescent="0.3">
      <c r="K281" s="28" t="s">
        <v>949</v>
      </c>
      <c r="L281" s="56" t="s">
        <v>950</v>
      </c>
    </row>
    <row r="282" spans="11:12" ht="15" customHeight="1" x14ac:dyDescent="0.3">
      <c r="K282" s="29" t="s">
        <v>181</v>
      </c>
      <c r="L282" s="56" t="s">
        <v>951</v>
      </c>
    </row>
    <row r="283" spans="11:12" ht="15" customHeight="1" x14ac:dyDescent="0.3">
      <c r="K283" s="26" t="s">
        <v>182</v>
      </c>
      <c r="L283" s="56" t="s">
        <v>952</v>
      </c>
    </row>
    <row r="284" spans="11:12" ht="15" customHeight="1" x14ac:dyDescent="0.3">
      <c r="K284" s="26" t="s">
        <v>183</v>
      </c>
      <c r="L284" s="56" t="s">
        <v>953</v>
      </c>
    </row>
    <row r="285" spans="11:12" ht="15" customHeight="1" x14ac:dyDescent="0.3">
      <c r="K285" s="27" t="s">
        <v>954</v>
      </c>
      <c r="L285" s="56" t="s">
        <v>955</v>
      </c>
    </row>
    <row r="286" spans="11:12" ht="15" customHeight="1" x14ac:dyDescent="0.3">
      <c r="K286" s="28" t="s">
        <v>956</v>
      </c>
      <c r="L286" s="56" t="s">
        <v>957</v>
      </c>
    </row>
    <row r="287" spans="11:12" ht="15" customHeight="1" x14ac:dyDescent="0.3">
      <c r="K287" s="29" t="s">
        <v>184</v>
      </c>
      <c r="L287" s="56" t="s">
        <v>958</v>
      </c>
    </row>
    <row r="288" spans="11:12" ht="15" customHeight="1" x14ac:dyDescent="0.3">
      <c r="K288" s="30" t="s">
        <v>185</v>
      </c>
      <c r="L288" s="56" t="s">
        <v>959</v>
      </c>
    </row>
    <row r="289" spans="11:12" ht="15" customHeight="1" x14ac:dyDescent="0.3">
      <c r="K289" s="26" t="s">
        <v>186</v>
      </c>
      <c r="L289" s="56" t="s">
        <v>960</v>
      </c>
    </row>
    <row r="290" spans="11:12" ht="15" customHeight="1" x14ac:dyDescent="0.3">
      <c r="K290" s="27" t="s">
        <v>961</v>
      </c>
      <c r="L290" s="56" t="s">
        <v>962</v>
      </c>
    </row>
    <row r="291" spans="11:12" ht="15" customHeight="1" x14ac:dyDescent="0.3">
      <c r="K291" s="28" t="s">
        <v>963</v>
      </c>
      <c r="L291" s="56" t="s">
        <v>964</v>
      </c>
    </row>
    <row r="292" spans="11:12" ht="15" customHeight="1" x14ac:dyDescent="0.3">
      <c r="K292" s="29" t="s">
        <v>187</v>
      </c>
      <c r="L292" s="56" t="s">
        <v>965</v>
      </c>
    </row>
    <row r="293" spans="11:12" ht="15" customHeight="1" x14ac:dyDescent="0.3">
      <c r="K293" s="31" t="s">
        <v>188</v>
      </c>
      <c r="L293" s="56" t="s">
        <v>966</v>
      </c>
    </row>
    <row r="294" spans="11:12" ht="15" customHeight="1" x14ac:dyDescent="0.3">
      <c r="K294" s="32" t="s">
        <v>189</v>
      </c>
      <c r="L294" s="56" t="s">
        <v>967</v>
      </c>
    </row>
    <row r="295" spans="11:12" ht="15" customHeight="1" x14ac:dyDescent="0.3">
      <c r="K295" s="33" t="s">
        <v>190</v>
      </c>
      <c r="L295" s="56" t="s">
        <v>968</v>
      </c>
    </row>
    <row r="296" spans="11:12" ht="15" customHeight="1" x14ac:dyDescent="0.3">
      <c r="K296" s="34" t="s">
        <v>191</v>
      </c>
      <c r="L296" s="56" t="s">
        <v>969</v>
      </c>
    </row>
    <row r="297" spans="11:12" ht="15" customHeight="1" x14ac:dyDescent="0.3">
      <c r="K297" s="32" t="s">
        <v>192</v>
      </c>
      <c r="L297" s="56" t="s">
        <v>970</v>
      </c>
    </row>
    <row r="298" spans="11:12" ht="15" customHeight="1" x14ac:dyDescent="0.3">
      <c r="K298" s="32" t="s">
        <v>193</v>
      </c>
      <c r="L298" s="56" t="s">
        <v>971</v>
      </c>
    </row>
    <row r="299" spans="11:12" ht="15" customHeight="1" x14ac:dyDescent="0.3">
      <c r="K299" s="35" t="s">
        <v>972</v>
      </c>
      <c r="L299" s="56" t="s">
        <v>973</v>
      </c>
    </row>
    <row r="300" spans="11:12" ht="15" customHeight="1" x14ac:dyDescent="0.3">
      <c r="K300" s="36" t="s">
        <v>194</v>
      </c>
      <c r="L300" s="56" t="s">
        <v>974</v>
      </c>
    </row>
    <row r="301" spans="11:12" ht="15" customHeight="1" x14ac:dyDescent="0.3">
      <c r="K301" s="37" t="s">
        <v>195</v>
      </c>
      <c r="L301" s="56" t="s">
        <v>975</v>
      </c>
    </row>
    <row r="302" spans="11:12" ht="15" customHeight="1" x14ac:dyDescent="0.3">
      <c r="K302" s="60" t="s">
        <v>196</v>
      </c>
      <c r="L302" s="56" t="s">
        <v>976</v>
      </c>
    </row>
    <row r="303" spans="11:12" ht="15" customHeight="1" x14ac:dyDescent="0.3">
      <c r="K303" s="60" t="s">
        <v>977</v>
      </c>
      <c r="L303" s="56" t="s">
        <v>978</v>
      </c>
    </row>
    <row r="304" spans="11:12" ht="15" customHeight="1" x14ac:dyDescent="0.3">
      <c r="K304" s="60" t="s">
        <v>979</v>
      </c>
      <c r="L304" s="56" t="s">
        <v>980</v>
      </c>
    </row>
    <row r="305" spans="11:12" ht="15" customHeight="1" x14ac:dyDescent="0.3">
      <c r="K305" s="60" t="s">
        <v>981</v>
      </c>
      <c r="L305" s="56" t="s">
        <v>982</v>
      </c>
    </row>
    <row r="306" spans="11:12" ht="15" customHeight="1" x14ac:dyDescent="0.3">
      <c r="K306" s="60" t="s">
        <v>983</v>
      </c>
      <c r="L306" s="56" t="s">
        <v>984</v>
      </c>
    </row>
    <row r="307" spans="11:12" ht="15" customHeight="1" x14ac:dyDescent="0.3">
      <c r="K307" s="60" t="s">
        <v>985</v>
      </c>
      <c r="L307" s="56" t="s">
        <v>986</v>
      </c>
    </row>
    <row r="308" spans="11:12" ht="15" customHeight="1" x14ac:dyDescent="0.3">
      <c r="K308" s="60" t="s">
        <v>987</v>
      </c>
      <c r="L308" s="56" t="s">
        <v>988</v>
      </c>
    </row>
    <row r="309" spans="11:12" ht="15" customHeight="1" x14ac:dyDescent="0.3">
      <c r="K309" s="60" t="s">
        <v>989</v>
      </c>
      <c r="L309" s="56" t="s">
        <v>990</v>
      </c>
    </row>
    <row r="310" spans="11:12" ht="15" customHeight="1" x14ac:dyDescent="0.3">
      <c r="K310" s="60" t="s">
        <v>991</v>
      </c>
      <c r="L310" s="56" t="s">
        <v>992</v>
      </c>
    </row>
    <row r="311" spans="11:12" ht="15" customHeight="1" x14ac:dyDescent="0.3">
      <c r="K311" s="60" t="s">
        <v>993</v>
      </c>
      <c r="L311" s="56" t="s">
        <v>994</v>
      </c>
    </row>
    <row r="312" spans="11:12" ht="15" customHeight="1" x14ac:dyDescent="0.3">
      <c r="K312" s="60" t="s">
        <v>995</v>
      </c>
      <c r="L312" s="56" t="s">
        <v>996</v>
      </c>
    </row>
    <row r="313" spans="11:12" ht="15" customHeight="1" x14ac:dyDescent="0.3">
      <c r="K313" s="60" t="s">
        <v>997</v>
      </c>
      <c r="L313" s="56" t="s">
        <v>998</v>
      </c>
    </row>
    <row r="314" spans="11:12" ht="15" customHeight="1" x14ac:dyDescent="0.3">
      <c r="K314" s="60" t="s">
        <v>999</v>
      </c>
      <c r="L314" s="56" t="s">
        <v>1000</v>
      </c>
    </row>
    <row r="315" spans="11:12" ht="15" customHeight="1" x14ac:dyDescent="0.3">
      <c r="K315" s="60" t="s">
        <v>1001</v>
      </c>
      <c r="L315" s="56" t="s">
        <v>1002</v>
      </c>
    </row>
    <row r="316" spans="11:12" ht="15" customHeight="1" x14ac:dyDescent="0.3">
      <c r="K316" s="60" t="s">
        <v>1003</v>
      </c>
      <c r="L316" s="56" t="s">
        <v>1004</v>
      </c>
    </row>
    <row r="317" spans="11:12" ht="15" customHeight="1" x14ac:dyDescent="0.3">
      <c r="K317" s="60" t="s">
        <v>1005</v>
      </c>
      <c r="L317" s="56" t="s">
        <v>1006</v>
      </c>
    </row>
    <row r="318" spans="11:12" ht="15" customHeight="1" x14ac:dyDescent="0.3">
      <c r="K318" s="60" t="s">
        <v>1007</v>
      </c>
      <c r="L318" s="56" t="s">
        <v>1008</v>
      </c>
    </row>
    <row r="319" spans="11:12" ht="15" customHeight="1" x14ac:dyDescent="0.3">
      <c r="K319" s="60" t="s">
        <v>1009</v>
      </c>
      <c r="L319" s="56" t="s">
        <v>1010</v>
      </c>
    </row>
    <row r="320" spans="11:12" ht="15" customHeight="1" x14ac:dyDescent="0.3">
      <c r="K320" s="60" t="s">
        <v>1011</v>
      </c>
      <c r="L320" s="56" t="s">
        <v>1012</v>
      </c>
    </row>
    <row r="321" spans="11:12" ht="15" customHeight="1" x14ac:dyDescent="0.3">
      <c r="K321" s="60" t="s">
        <v>197</v>
      </c>
      <c r="L321" s="56" t="s">
        <v>1013</v>
      </c>
    </row>
    <row r="322" spans="11:12" ht="15" customHeight="1" x14ac:dyDescent="0.3">
      <c r="K322" s="60" t="s">
        <v>198</v>
      </c>
      <c r="L322" s="56" t="s">
        <v>1014</v>
      </c>
    </row>
    <row r="323" spans="11:12" ht="15" customHeight="1" x14ac:dyDescent="0.3">
      <c r="K323" s="60" t="s">
        <v>199</v>
      </c>
      <c r="L323" s="56" t="s">
        <v>1015</v>
      </c>
    </row>
    <row r="324" spans="11:12" ht="15" customHeight="1" x14ac:dyDescent="0.3">
      <c r="K324" s="60" t="s">
        <v>200</v>
      </c>
      <c r="L324" s="56" t="s">
        <v>1016</v>
      </c>
    </row>
    <row r="325" spans="11:12" ht="15" customHeight="1" x14ac:dyDescent="0.3">
      <c r="K325" s="60" t="s">
        <v>201</v>
      </c>
      <c r="L325" s="56" t="s">
        <v>1017</v>
      </c>
    </row>
    <row r="326" spans="11:12" ht="15" customHeight="1" x14ac:dyDescent="0.3">
      <c r="K326" s="60" t="s">
        <v>202</v>
      </c>
      <c r="L326" s="56" t="s">
        <v>1018</v>
      </c>
    </row>
    <row r="327" spans="11:12" ht="15" customHeight="1" x14ac:dyDescent="0.3">
      <c r="K327" s="60" t="s">
        <v>203</v>
      </c>
      <c r="L327" s="56" t="s">
        <v>1019</v>
      </c>
    </row>
    <row r="328" spans="11:12" ht="15" customHeight="1" x14ac:dyDescent="0.3">
      <c r="K328" s="60" t="s">
        <v>204</v>
      </c>
      <c r="L328" s="56" t="s">
        <v>1020</v>
      </c>
    </row>
    <row r="329" spans="11:12" ht="15" customHeight="1" x14ac:dyDescent="0.3">
      <c r="K329" s="60" t="s">
        <v>205</v>
      </c>
      <c r="L329" s="56" t="s">
        <v>1021</v>
      </c>
    </row>
    <row r="330" spans="11:12" ht="15" customHeight="1" x14ac:dyDescent="0.3">
      <c r="K330" s="60" t="s">
        <v>206</v>
      </c>
      <c r="L330" s="56" t="s">
        <v>1022</v>
      </c>
    </row>
    <row r="331" spans="11:12" ht="15" customHeight="1" x14ac:dyDescent="0.3">
      <c r="K331" s="60" t="s">
        <v>1023</v>
      </c>
      <c r="L331" s="56" t="s">
        <v>1024</v>
      </c>
    </row>
    <row r="332" spans="11:12" ht="15" customHeight="1" x14ac:dyDescent="0.3">
      <c r="K332" s="60" t="s">
        <v>1025</v>
      </c>
      <c r="L332" s="56" t="s">
        <v>1026</v>
      </c>
    </row>
    <row r="333" spans="11:12" ht="15" customHeight="1" x14ac:dyDescent="0.3">
      <c r="K333" s="60" t="s">
        <v>1027</v>
      </c>
      <c r="L333" s="56" t="s">
        <v>1028</v>
      </c>
    </row>
    <row r="334" spans="11:12" ht="15" customHeight="1" x14ac:dyDescent="0.3">
      <c r="K334" s="60" t="s">
        <v>1029</v>
      </c>
      <c r="L334" s="56" t="s">
        <v>1030</v>
      </c>
    </row>
    <row r="335" spans="11:12" ht="15" customHeight="1" x14ac:dyDescent="0.3">
      <c r="K335" s="60" t="s">
        <v>1031</v>
      </c>
      <c r="L335" s="56" t="s">
        <v>1032</v>
      </c>
    </row>
    <row r="336" spans="11:12" ht="15" customHeight="1" x14ac:dyDescent="0.3">
      <c r="K336" s="60" t="s">
        <v>1033</v>
      </c>
      <c r="L336" s="56" t="s">
        <v>1034</v>
      </c>
    </row>
    <row r="337" spans="11:12" ht="15" customHeight="1" x14ac:dyDescent="0.3">
      <c r="K337" s="60" t="s">
        <v>1035</v>
      </c>
      <c r="L337" s="56" t="s">
        <v>1036</v>
      </c>
    </row>
    <row r="338" spans="11:12" ht="15" customHeight="1" x14ac:dyDescent="0.3">
      <c r="K338" s="60" t="s">
        <v>1037</v>
      </c>
      <c r="L338" s="56" t="s">
        <v>1038</v>
      </c>
    </row>
    <row r="339" spans="11:12" ht="15" customHeight="1" x14ac:dyDescent="0.3">
      <c r="K339" s="60" t="s">
        <v>1039</v>
      </c>
      <c r="L339" s="56" t="s">
        <v>1040</v>
      </c>
    </row>
    <row r="340" spans="11:12" ht="15" customHeight="1" x14ac:dyDescent="0.3">
      <c r="K340" s="60" t="s">
        <v>1041</v>
      </c>
      <c r="L340" s="56" t="s">
        <v>1042</v>
      </c>
    </row>
    <row r="341" spans="11:12" ht="15" customHeight="1" x14ac:dyDescent="0.3">
      <c r="K341" s="60" t="s">
        <v>1043</v>
      </c>
      <c r="L341" s="56" t="s">
        <v>1044</v>
      </c>
    </row>
    <row r="342" spans="11:12" ht="15" customHeight="1" x14ac:dyDescent="0.3">
      <c r="K342" s="60" t="s">
        <v>1045</v>
      </c>
      <c r="L342" s="56" t="s">
        <v>1046</v>
      </c>
    </row>
    <row r="343" spans="11:12" ht="15" customHeight="1" x14ac:dyDescent="0.3">
      <c r="K343" s="60" t="s">
        <v>1047</v>
      </c>
      <c r="L343" s="56" t="s">
        <v>1048</v>
      </c>
    </row>
    <row r="344" spans="11:12" ht="15" customHeight="1" x14ac:dyDescent="0.3">
      <c r="K344" s="60" t="s">
        <v>1049</v>
      </c>
      <c r="L344" s="56" t="s">
        <v>1050</v>
      </c>
    </row>
    <row r="345" spans="11:12" ht="15" customHeight="1" x14ac:dyDescent="0.3">
      <c r="K345" s="60" t="s">
        <v>1051</v>
      </c>
      <c r="L345" s="56" t="s">
        <v>1052</v>
      </c>
    </row>
    <row r="346" spans="11:12" ht="15" customHeight="1" x14ac:dyDescent="0.3">
      <c r="K346" s="60" t="s">
        <v>1053</v>
      </c>
      <c r="L346" s="56" t="s">
        <v>1054</v>
      </c>
    </row>
    <row r="347" spans="11:12" ht="15" customHeight="1" x14ac:dyDescent="0.3">
      <c r="K347" s="60" t="s">
        <v>1055</v>
      </c>
      <c r="L347" s="56" t="s">
        <v>1056</v>
      </c>
    </row>
    <row r="348" spans="11:12" ht="15" customHeight="1" x14ac:dyDescent="0.3">
      <c r="K348" s="60" t="s">
        <v>1057</v>
      </c>
      <c r="L348" s="56" t="s">
        <v>1058</v>
      </c>
    </row>
    <row r="349" spans="11:12" ht="15" customHeight="1" x14ac:dyDescent="0.3">
      <c r="K349" s="60" t="s">
        <v>1059</v>
      </c>
      <c r="L349" s="56" t="s">
        <v>1060</v>
      </c>
    </row>
    <row r="350" spans="11:12" ht="15" customHeight="1" x14ac:dyDescent="0.3">
      <c r="K350" s="60" t="s">
        <v>1061</v>
      </c>
      <c r="L350" s="56" t="s">
        <v>1062</v>
      </c>
    </row>
    <row r="351" spans="11:12" ht="15" customHeight="1" x14ac:dyDescent="0.3">
      <c r="K351" s="60" t="s">
        <v>1063</v>
      </c>
      <c r="L351" s="56" t="s">
        <v>1064</v>
      </c>
    </row>
    <row r="352" spans="11:12" ht="15" customHeight="1" x14ac:dyDescent="0.3">
      <c r="K352" s="60" t="s">
        <v>1065</v>
      </c>
      <c r="L352" s="56" t="s">
        <v>1066</v>
      </c>
    </row>
    <row r="353" spans="11:12" ht="15" customHeight="1" x14ac:dyDescent="0.3">
      <c r="K353" s="60" t="s">
        <v>1067</v>
      </c>
      <c r="L353" s="56" t="s">
        <v>1068</v>
      </c>
    </row>
    <row r="354" spans="11:12" ht="15" customHeight="1" x14ac:dyDescent="0.3">
      <c r="K354" s="60" t="s">
        <v>1069</v>
      </c>
      <c r="L354" s="56" t="s">
        <v>1070</v>
      </c>
    </row>
    <row r="355" spans="11:12" ht="15" customHeight="1" x14ac:dyDescent="0.3">
      <c r="K355" s="60" t="s">
        <v>1071</v>
      </c>
      <c r="L355" s="56" t="s">
        <v>1072</v>
      </c>
    </row>
    <row r="356" spans="11:12" ht="15" customHeight="1" x14ac:dyDescent="0.3">
      <c r="K356" s="60" t="s">
        <v>1073</v>
      </c>
      <c r="L356" s="56" t="s">
        <v>1074</v>
      </c>
    </row>
    <row r="357" spans="11:12" ht="15" customHeight="1" x14ac:dyDescent="0.3">
      <c r="K357" s="60" t="s">
        <v>1075</v>
      </c>
      <c r="L357" s="56" t="s">
        <v>1076</v>
      </c>
    </row>
    <row r="358" spans="11:12" ht="15" customHeight="1" x14ac:dyDescent="0.3">
      <c r="K358" s="60" t="s">
        <v>1077</v>
      </c>
      <c r="L358" s="56" t="s">
        <v>1078</v>
      </c>
    </row>
    <row r="359" spans="11:12" ht="15" customHeight="1" x14ac:dyDescent="0.3">
      <c r="K359" s="60" t="s">
        <v>207</v>
      </c>
      <c r="L359" s="56" t="s">
        <v>1079</v>
      </c>
    </row>
    <row r="360" spans="11:12" ht="15" customHeight="1" x14ac:dyDescent="0.3">
      <c r="K360" s="60" t="s">
        <v>1080</v>
      </c>
      <c r="L360" s="56" t="s">
        <v>1081</v>
      </c>
    </row>
    <row r="361" spans="11:12" ht="15" customHeight="1" x14ac:dyDescent="0.3">
      <c r="K361" s="60" t="s">
        <v>1082</v>
      </c>
      <c r="L361" s="56" t="s">
        <v>1083</v>
      </c>
    </row>
    <row r="362" spans="11:12" ht="15" customHeight="1" x14ac:dyDescent="0.3">
      <c r="K362" s="60" t="s">
        <v>1084</v>
      </c>
      <c r="L362" s="56" t="s">
        <v>1085</v>
      </c>
    </row>
    <row r="363" spans="11:12" ht="15" customHeight="1" x14ac:dyDescent="0.3">
      <c r="K363" s="60" t="s">
        <v>1086</v>
      </c>
      <c r="L363" s="56" t="s">
        <v>1087</v>
      </c>
    </row>
    <row r="364" spans="11:12" ht="15" customHeight="1" x14ac:dyDescent="0.3">
      <c r="K364" s="60" t="s">
        <v>1088</v>
      </c>
      <c r="L364" s="56" t="s">
        <v>1089</v>
      </c>
    </row>
    <row r="365" spans="11:12" ht="15" customHeight="1" x14ac:dyDescent="0.3">
      <c r="K365" s="60" t="s">
        <v>1090</v>
      </c>
      <c r="L365" s="56" t="s">
        <v>1091</v>
      </c>
    </row>
    <row r="366" spans="11:12" ht="15" customHeight="1" x14ac:dyDescent="0.3">
      <c r="K366" s="60" t="s">
        <v>1092</v>
      </c>
      <c r="L366" s="56" t="s">
        <v>1093</v>
      </c>
    </row>
    <row r="367" spans="11:12" ht="15" customHeight="1" x14ac:dyDescent="0.3">
      <c r="K367" s="60" t="s">
        <v>1094</v>
      </c>
      <c r="L367" s="56" t="s">
        <v>1095</v>
      </c>
    </row>
    <row r="368" spans="11:12" ht="15" customHeight="1" x14ac:dyDescent="0.3">
      <c r="K368" s="60" t="s">
        <v>1096</v>
      </c>
      <c r="L368" s="56" t="s">
        <v>1097</v>
      </c>
    </row>
    <row r="369" spans="11:12" ht="15" customHeight="1" x14ac:dyDescent="0.3">
      <c r="K369" s="60" t="s">
        <v>1098</v>
      </c>
      <c r="L369" s="56" t="s">
        <v>1099</v>
      </c>
    </row>
    <row r="370" spans="11:12" ht="15" customHeight="1" x14ac:dyDescent="0.3">
      <c r="K370" s="60" t="s">
        <v>1100</v>
      </c>
      <c r="L370" s="56" t="s">
        <v>1101</v>
      </c>
    </row>
    <row r="371" spans="11:12" ht="15" customHeight="1" x14ac:dyDescent="0.3">
      <c r="K371" s="60" t="s">
        <v>1102</v>
      </c>
      <c r="L371" s="56" t="s">
        <v>1103</v>
      </c>
    </row>
    <row r="372" spans="11:12" ht="15" customHeight="1" x14ac:dyDescent="0.3">
      <c r="K372" s="60" t="s">
        <v>1104</v>
      </c>
      <c r="L372" s="56" t="s">
        <v>1105</v>
      </c>
    </row>
    <row r="373" spans="11:12" ht="15" customHeight="1" x14ac:dyDescent="0.3">
      <c r="K373" s="60" t="s">
        <v>1106</v>
      </c>
      <c r="L373" s="56" t="s">
        <v>1107</v>
      </c>
    </row>
    <row r="374" spans="11:12" ht="15" customHeight="1" x14ac:dyDescent="0.3">
      <c r="K374" s="60" t="s">
        <v>208</v>
      </c>
      <c r="L374" s="56" t="s">
        <v>1108</v>
      </c>
    </row>
    <row r="375" spans="11:12" ht="15" customHeight="1" x14ac:dyDescent="0.3">
      <c r="K375" s="60" t="s">
        <v>1109</v>
      </c>
      <c r="L375" s="56" t="s">
        <v>1110</v>
      </c>
    </row>
    <row r="376" spans="11:12" ht="15" customHeight="1" x14ac:dyDescent="0.3">
      <c r="K376" s="60" t="s">
        <v>1111</v>
      </c>
      <c r="L376" s="56" t="s">
        <v>1112</v>
      </c>
    </row>
    <row r="377" spans="11:12" ht="15" customHeight="1" x14ac:dyDescent="0.3">
      <c r="K377" s="60" t="s">
        <v>1113</v>
      </c>
      <c r="L377" s="56" t="s">
        <v>1114</v>
      </c>
    </row>
    <row r="378" spans="11:12" ht="15" customHeight="1" x14ac:dyDescent="0.3">
      <c r="K378" s="60" t="s">
        <v>1115</v>
      </c>
      <c r="L378" s="56" t="s">
        <v>1116</v>
      </c>
    </row>
    <row r="379" spans="11:12" ht="15" customHeight="1" x14ac:dyDescent="0.3">
      <c r="K379" s="60" t="s">
        <v>1117</v>
      </c>
      <c r="L379" s="56" t="s">
        <v>1118</v>
      </c>
    </row>
    <row r="380" spans="11:12" ht="15" customHeight="1" x14ac:dyDescent="0.3">
      <c r="K380" s="60" t="s">
        <v>1119</v>
      </c>
      <c r="L380" s="56" t="s">
        <v>1120</v>
      </c>
    </row>
    <row r="381" spans="11:12" ht="15" customHeight="1" x14ac:dyDescent="0.3">
      <c r="K381" s="60" t="s">
        <v>1121</v>
      </c>
      <c r="L381" s="56" t="s">
        <v>1122</v>
      </c>
    </row>
    <row r="382" spans="11:12" ht="15" customHeight="1" x14ac:dyDescent="0.3">
      <c r="K382" s="60" t="s">
        <v>1123</v>
      </c>
      <c r="L382" s="59" t="s">
        <v>1124</v>
      </c>
    </row>
    <row r="383" spans="11:12" ht="15" customHeight="1" x14ac:dyDescent="0.3">
      <c r="K383" s="60" t="s">
        <v>1125</v>
      </c>
      <c r="L383" s="59" t="s">
        <v>1126</v>
      </c>
    </row>
    <row r="384" spans="11:12" ht="15" customHeight="1" x14ac:dyDescent="0.3">
      <c r="K384" s="60" t="s">
        <v>1127</v>
      </c>
      <c r="L384" s="59" t="s">
        <v>1128</v>
      </c>
    </row>
    <row r="385" spans="11:12" ht="15" customHeight="1" x14ac:dyDescent="0.3">
      <c r="K385" s="60" t="s">
        <v>1129</v>
      </c>
      <c r="L385" s="59" t="s">
        <v>234</v>
      </c>
    </row>
    <row r="386" spans="11:12" ht="15" customHeight="1" x14ac:dyDescent="0.3">
      <c r="K386" s="60" t="s">
        <v>1130</v>
      </c>
      <c r="L386" s="59" t="s">
        <v>1131</v>
      </c>
    </row>
    <row r="387" spans="11:12" ht="15" customHeight="1" x14ac:dyDescent="0.3">
      <c r="K387" s="60" t="s">
        <v>1132</v>
      </c>
      <c r="L387" s="56" t="s">
        <v>1133</v>
      </c>
    </row>
    <row r="388" spans="11:12" ht="15" customHeight="1" x14ac:dyDescent="0.3">
      <c r="K388" s="60" t="s">
        <v>1134</v>
      </c>
      <c r="L388" s="56" t="s">
        <v>1135</v>
      </c>
    </row>
    <row r="389" spans="11:12" ht="15" customHeight="1" x14ac:dyDescent="0.3">
      <c r="K389" s="60" t="s">
        <v>1136</v>
      </c>
      <c r="L389" s="56" t="s">
        <v>1137</v>
      </c>
    </row>
    <row r="390" spans="11:12" ht="15" customHeight="1" x14ac:dyDescent="0.3">
      <c r="K390" s="60" t="s">
        <v>1138</v>
      </c>
      <c r="L390" s="56" t="s">
        <v>1139</v>
      </c>
    </row>
    <row r="391" spans="11:12" ht="15" customHeight="1" x14ac:dyDescent="0.3">
      <c r="K391" s="60" t="s">
        <v>1140</v>
      </c>
      <c r="L391" s="56" t="s">
        <v>1141</v>
      </c>
    </row>
    <row r="392" spans="11:12" ht="15" customHeight="1" x14ac:dyDescent="0.3">
      <c r="K392" s="60" t="s">
        <v>1142</v>
      </c>
      <c r="L392" s="56" t="s">
        <v>1143</v>
      </c>
    </row>
    <row r="393" spans="11:12" ht="15" customHeight="1" x14ac:dyDescent="0.3">
      <c r="K393" s="60" t="s">
        <v>1144</v>
      </c>
      <c r="L393" s="56" t="s">
        <v>1145</v>
      </c>
    </row>
    <row r="394" spans="11:12" ht="15" customHeight="1" x14ac:dyDescent="0.3">
      <c r="K394" s="60" t="s">
        <v>1146</v>
      </c>
      <c r="L394" s="56" t="s">
        <v>1147</v>
      </c>
    </row>
    <row r="395" spans="11:12" ht="15" customHeight="1" x14ac:dyDescent="0.3">
      <c r="K395" s="60" t="s">
        <v>1148</v>
      </c>
      <c r="L395" s="56" t="s">
        <v>1149</v>
      </c>
    </row>
    <row r="396" spans="11:12" ht="15" customHeight="1" x14ac:dyDescent="0.3">
      <c r="K396" s="60" t="s">
        <v>1150</v>
      </c>
      <c r="L396" s="56" t="s">
        <v>1151</v>
      </c>
    </row>
    <row r="397" spans="11:12" ht="15" customHeight="1" x14ac:dyDescent="0.3">
      <c r="K397" s="60" t="s">
        <v>1152</v>
      </c>
      <c r="L397" s="56" t="s">
        <v>1153</v>
      </c>
    </row>
    <row r="398" spans="11:12" ht="15" customHeight="1" x14ac:dyDescent="0.3">
      <c r="K398" s="60" t="s">
        <v>1154</v>
      </c>
      <c r="L398" s="56" t="s">
        <v>1155</v>
      </c>
    </row>
    <row r="399" spans="11:12" ht="15" customHeight="1" x14ac:dyDescent="0.3">
      <c r="K399" s="60" t="s">
        <v>1156</v>
      </c>
      <c r="L399" s="56" t="s">
        <v>1157</v>
      </c>
    </row>
    <row r="400" spans="11:12" ht="15" customHeight="1" x14ac:dyDescent="0.3">
      <c r="K400" s="60" t="s">
        <v>1158</v>
      </c>
      <c r="L400" s="56" t="s">
        <v>1159</v>
      </c>
    </row>
    <row r="401" spans="11:12" ht="15" customHeight="1" x14ac:dyDescent="0.3">
      <c r="K401" s="60" t="s">
        <v>1160</v>
      </c>
      <c r="L401" s="56" t="s">
        <v>1161</v>
      </c>
    </row>
    <row r="402" spans="11:12" ht="15" customHeight="1" x14ac:dyDescent="0.3">
      <c r="K402" s="60" t="s">
        <v>1162</v>
      </c>
      <c r="L402" s="56" t="s">
        <v>1163</v>
      </c>
    </row>
    <row r="403" spans="11:12" ht="15" customHeight="1" x14ac:dyDescent="0.3">
      <c r="K403" s="60" t="s">
        <v>1164</v>
      </c>
      <c r="L403" s="56" t="s">
        <v>1165</v>
      </c>
    </row>
    <row r="404" spans="11:12" ht="15" customHeight="1" x14ac:dyDescent="0.3">
      <c r="K404" s="60" t="s">
        <v>210</v>
      </c>
      <c r="L404" s="56" t="s">
        <v>1166</v>
      </c>
    </row>
    <row r="405" spans="11:12" ht="15" customHeight="1" x14ac:dyDescent="0.3">
      <c r="K405" s="60" t="s">
        <v>211</v>
      </c>
      <c r="L405" s="56" t="s">
        <v>1167</v>
      </c>
    </row>
    <row r="406" spans="11:12" ht="15" customHeight="1" x14ac:dyDescent="0.3">
      <c r="K406" s="60" t="s">
        <v>212</v>
      </c>
      <c r="L406" s="56" t="s">
        <v>1168</v>
      </c>
    </row>
    <row r="407" spans="11:12" ht="15" customHeight="1" x14ac:dyDescent="0.3">
      <c r="K407" s="60" t="s">
        <v>213</v>
      </c>
      <c r="L407" s="56" t="s">
        <v>1169</v>
      </c>
    </row>
    <row r="408" spans="11:12" ht="15" customHeight="1" x14ac:dyDescent="0.3">
      <c r="K408" s="38" t="s">
        <v>214</v>
      </c>
      <c r="L408" s="59" t="s">
        <v>1170</v>
      </c>
    </row>
    <row r="409" spans="11:12" ht="15" customHeight="1" x14ac:dyDescent="0.3">
      <c r="K409" s="39" t="s">
        <v>215</v>
      </c>
      <c r="L409" s="59" t="s">
        <v>1171</v>
      </c>
    </row>
    <row r="410" spans="11:12" ht="15" customHeight="1" x14ac:dyDescent="0.3">
      <c r="K410" s="40" t="s">
        <v>216</v>
      </c>
      <c r="L410" s="59" t="s">
        <v>1172</v>
      </c>
    </row>
    <row r="411" spans="11:12" ht="15" customHeight="1" x14ac:dyDescent="0.3">
      <c r="K411" s="41" t="s">
        <v>217</v>
      </c>
      <c r="L411" s="59" t="s">
        <v>1173</v>
      </c>
    </row>
    <row r="412" spans="11:12" ht="15" customHeight="1" x14ac:dyDescent="0.3">
      <c r="K412" s="38" t="s">
        <v>218</v>
      </c>
      <c r="L412" s="59" t="s">
        <v>573</v>
      </c>
    </row>
    <row r="413" spans="11:12" ht="15" customHeight="1" x14ac:dyDescent="0.3">
      <c r="K413" s="39" t="s">
        <v>219</v>
      </c>
      <c r="L413" s="56" t="s">
        <v>1174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AD1F-2F59-4348-8AB9-B74647F3BD13}">
  <sheetPr codeName="Sheet5"/>
  <dimension ref="A1:C2"/>
  <sheetViews>
    <sheetView workbookViewId="0">
      <selection activeCell="A20" sqref="A20"/>
    </sheetView>
  </sheetViews>
  <sheetFormatPr defaultRowHeight="12.5" x14ac:dyDescent="0.25"/>
  <cols>
    <col min="1" max="2" width="24.6328125" customWidth="1"/>
    <col min="3" max="3" width="80" customWidth="1"/>
  </cols>
  <sheetData>
    <row r="1" spans="1:3" x14ac:dyDescent="0.25">
      <c r="A1" s="114" t="s">
        <v>1175</v>
      </c>
      <c r="B1" s="114" t="s">
        <v>520</v>
      </c>
      <c r="C1" s="114" t="s">
        <v>1176</v>
      </c>
    </row>
    <row r="2" spans="1:3" ht="125" x14ac:dyDescent="0.25">
      <c r="A2" s="114">
        <v>25</v>
      </c>
      <c r="B2" s="114">
        <v>4520391709</v>
      </c>
      <c r="C2" s="115" t="s">
        <v>1177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2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Bone 1 (S1) Follow up</vt:lpstr>
      <vt:lpstr>Bone 1 (S1) Supplementary</vt:lpstr>
      <vt:lpstr>Mets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