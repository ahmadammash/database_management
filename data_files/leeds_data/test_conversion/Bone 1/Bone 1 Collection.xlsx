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Bone/Bone 1/"/>
    </mc:Choice>
  </mc:AlternateContent>
  <xr:revisionPtr revIDLastSave="2168" documentId="11_F9F6FD2F9EAEFA52C416220E3D9E4704522FE6A2" xr6:coauthVersionLast="47" xr6:coauthVersionMax="47" xr10:uidLastSave="{DEDC6795-606B-48A3-ABBB-A7244E706962}"/>
  <bookViews>
    <workbookView xWindow="-28920" yWindow="7905" windowWidth="29040" windowHeight="15720" xr2:uid="{00000000-000D-0000-FFFF-FFFF00000000}"/>
  </bookViews>
  <sheets>
    <sheet name="Case selection" sheetId="1" r:id="rId1"/>
    <sheet name="Sheet1" sheetId="7" r:id="rId2"/>
    <sheet name="Case selection (2)" sheetId="5" r:id="rId3"/>
    <sheet name="Packing list" sheetId="3" r:id="rId4"/>
    <sheet name="Notes" sheetId="4" r:id="rId5"/>
    <sheet name="Lis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3" l="1"/>
  <c r="Q38" i="3"/>
  <c r="Q36" i="3"/>
  <c r="Q34" i="3"/>
  <c r="I24" i="3"/>
  <c r="I27" i="3"/>
  <c r="I25" i="3"/>
  <c r="I23" i="3"/>
  <c r="I21" i="3"/>
  <c r="C36" i="3"/>
  <c r="C35" i="3"/>
  <c r="C34" i="3"/>
  <c r="C32" i="3"/>
  <c r="D89" i="1"/>
  <c r="E89" i="1"/>
  <c r="F89" i="1"/>
  <c r="G89" i="1"/>
  <c r="H89" i="1"/>
  <c r="C89" i="1"/>
  <c r="B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89" i="1"/>
  <c r="Q40" i="3" l="1"/>
  <c r="C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tc={E4F0C0DC-084E-459E-9392-CC688777CBB4}</author>
    <author>tc={8BF997FF-F3C2-4EB7-916B-DBD5CE61B65B}</author>
    <author>tc={BDA61321-BBD0-428B-BA71-14BE8305557A}</author>
    <author>tc={2A2FB4F8-AB43-4B67-8900-D42D739DEA17}</author>
    <author>tc={6FED4193-1355-4D88-8A09-882F98C58834}</author>
    <author>tc={D6CDD476-CC50-4F48-BCE3-D00A40B69C8C}</author>
  </authors>
  <commentList>
    <comment ref="C10" authorId="0" shapeId="0" xr:uid="{E4F0C0DC-084E-459E-9392-CC688777CBB4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NSCLC 3 (SCC Met)</t>
      </text>
    </comment>
    <comment ref="C11" authorId="1" shapeId="0" xr:uid="{8BF997FF-F3C2-4EB7-916B-DBD5CE61B65B}">
      <text>
        <t>[Threaded comment]
Your version of Excel allows you to read this threaded comment; however, any edits to it will get removed if the file is opened in a newer version of Excel. Learn more: https://go.microsoft.com/fwlink/?linkid=870924
Comment:
    Sen tin  5K IO RCC 2017-2021</t>
      </text>
    </comment>
    <comment ref="C20" authorId="2" shapeId="0" xr:uid="{BDA61321-BBD0-428B-BA71-14BE830555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to Misc 1</t>
      </text>
    </comment>
    <comment ref="C30" authorId="3" shapeId="0" xr:uid="{2A2FB4F8-AB43-4B67-8900-D42D739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in  Pancreatic 2 (ship 1)</t>
      </text>
    </comment>
    <comment ref="P48" authorId="4" shapeId="0" xr:uid="{6FED4193-1355-4D88-8A09-882F98C58834}">
      <text>
        <t>[Threaded comment]
Your version of Excel allows you to read this threaded comment; however, any edits to it will get removed if the file is opened in a newer version of Excel. Learn more: https://go.microsoft.com/fwlink/?linkid=870924
Comment:
    A1 BROKEN</t>
      </text>
    </comment>
    <comment ref="AQ77" authorId="5" shapeId="0" xr:uid="{D6CDD476-CC50-4F48-BCE3-D00A40B69C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to do - incorrect block originally collected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tc={2FCA04A2-4344-4A35-9C83-DE058D9FC082}</author>
    <author>tc={1EA2C75F-9B9E-4FC1-BA49-21A12C903D3E}</author>
  </authors>
  <commentList>
    <comment ref="AB14" authorId="0" shapeId="0" xr:uid="{2FCA04A2-4344-4A35-9C83-DE058D9FC082}">
      <text>
        <t>[Threaded comment]
Your version of Excel allows you to read this threaded comment; however, any edits to it will get removed if the file is opened in a newer version of Excel. Learn more: https://go.microsoft.com/fwlink/?linkid=870924
Comment:
    BROKEN, DNS</t>
      </text>
    </comment>
    <comment ref="AG38" authorId="1" shapeId="0" xr:uid="{1EA2C75F-9B9E-4FC1-BA49-21A12C903D3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BLOCKS REMOVED BY ROULSON ON 09.08.2017</t>
      </text>
    </comment>
  </commentList>
</comments>
</file>

<file path=xl/sharedStrings.xml><?xml version="1.0" encoding="utf-8"?>
<sst xmlns="http://schemas.openxmlformats.org/spreadsheetml/2006/main" count="1731" uniqueCount="341">
  <si>
    <t>2 mets where possible</t>
  </si>
  <si>
    <t>Specimen details</t>
  </si>
  <si>
    <t>Patient Info</t>
  </si>
  <si>
    <t>If Dissent N:</t>
  </si>
  <si>
    <t>CellNass Slides</t>
  </si>
  <si>
    <t>Slides Selected:</t>
  </si>
  <si>
    <r>
      <rPr>
        <b/>
        <u/>
        <sz val="11"/>
        <color rgb="FF000000"/>
        <rFont val="Calibri Light"/>
        <family val="2"/>
        <scheme val="major"/>
      </rPr>
      <t xml:space="preserve">Blocks Collected: </t>
    </r>
    <r>
      <rPr>
        <b/>
        <u/>
        <sz val="11"/>
        <color rgb="FFFF0000"/>
        <rFont val="Calibri Light"/>
        <family val="2"/>
        <scheme val="major"/>
      </rPr>
      <t>2 TUMOUR BLOCKS MAX</t>
    </r>
    <r>
      <rPr>
        <b/>
        <u/>
        <sz val="11"/>
        <color rgb="FF000000"/>
        <rFont val="Calibri Light"/>
        <family val="2"/>
        <scheme val="major"/>
      </rPr>
      <t xml:space="preserve"> i.e. P + P or P + M</t>
    </r>
  </si>
  <si>
    <t>Rejected</t>
  </si>
  <si>
    <t>Sample origin</t>
  </si>
  <si>
    <t>Specimen number</t>
  </si>
  <si>
    <t>NHS numbers</t>
  </si>
  <si>
    <t>Tissue Pathway</t>
  </si>
  <si>
    <t>Specimen Notes</t>
  </si>
  <si>
    <t>DOB</t>
  </si>
  <si>
    <t>Gender</t>
  </si>
  <si>
    <t>Dissent Y/N</t>
  </si>
  <si>
    <t>Consent</t>
  </si>
  <si>
    <t>Form Incomplete</t>
  </si>
  <si>
    <t>Form missing</t>
  </si>
  <si>
    <t>No. small slides from CellNass</t>
  </si>
  <si>
    <t>No. large slides from CellNass</t>
  </si>
  <si>
    <t>Total no. of slides recieved from CellNass</t>
  </si>
  <si>
    <t>Slides Collected</t>
  </si>
  <si>
    <t>CoPath (SC)</t>
  </si>
  <si>
    <t>Slides Missing (if any…)</t>
  </si>
  <si>
    <t>P1</t>
  </si>
  <si>
    <t>P2</t>
  </si>
  <si>
    <t>P3</t>
  </si>
  <si>
    <t>P4</t>
  </si>
  <si>
    <t>P5</t>
  </si>
  <si>
    <t>M1</t>
  </si>
  <si>
    <t>M2</t>
  </si>
  <si>
    <t>M3</t>
  </si>
  <si>
    <t>M4</t>
  </si>
  <si>
    <t>M5</t>
  </si>
  <si>
    <t>N</t>
  </si>
  <si>
    <t>S</t>
  </si>
  <si>
    <t>X</t>
  </si>
  <si>
    <t>Selected Slides Notes</t>
  </si>
  <si>
    <t>X Blocks present</t>
  </si>
  <si>
    <t>X Blocks Missing</t>
  </si>
  <si>
    <t>Blocks recieved from CellNass</t>
  </si>
  <si>
    <t>Number of blocks recieved from CellNass</t>
  </si>
  <si>
    <t>Block Collection Notes</t>
  </si>
  <si>
    <t>PB1</t>
  </si>
  <si>
    <t>PB2</t>
  </si>
  <si>
    <t>MB1</t>
  </si>
  <si>
    <t>MB2</t>
  </si>
  <si>
    <t>NB1</t>
  </si>
  <si>
    <t>CoPath (BC)</t>
  </si>
  <si>
    <t>CoPath (Tristar)</t>
  </si>
  <si>
    <t>Archives</t>
  </si>
  <si>
    <t>LH21-00606</t>
  </si>
  <si>
    <t>Breast</t>
  </si>
  <si>
    <t>breast</t>
  </si>
  <si>
    <t>F</t>
  </si>
  <si>
    <t>A1, A2, IHCx9</t>
  </si>
  <si>
    <t>Yes</t>
  </si>
  <si>
    <t>A2</t>
  </si>
  <si>
    <t>A1</t>
  </si>
  <si>
    <t>LH21-00753</t>
  </si>
  <si>
    <t>Urinary tract and testis</t>
  </si>
  <si>
    <t>prostate</t>
  </si>
  <si>
    <t>M</t>
  </si>
  <si>
    <t>LH21-01219</t>
  </si>
  <si>
    <t>Lung and thorax</t>
  </si>
  <si>
    <t>lung</t>
  </si>
  <si>
    <t>A1, B1, IHCx20</t>
  </si>
  <si>
    <t>LH21-03704</t>
  </si>
  <si>
    <t>RCC</t>
  </si>
  <si>
    <t>A1, B1</t>
  </si>
  <si>
    <t>B1</t>
  </si>
  <si>
    <t>LH21-04365</t>
  </si>
  <si>
    <t>A1, B1-2, IHCx3</t>
  </si>
  <si>
    <t>B2</t>
  </si>
  <si>
    <t>LH21-18412</t>
  </si>
  <si>
    <t>LH21-22880</t>
  </si>
  <si>
    <t>LH21-23540</t>
  </si>
  <si>
    <t>Bone and soft tissue</t>
  </si>
  <si>
    <t>Ewing's (metastatic)</t>
  </si>
  <si>
    <t>A1-4</t>
  </si>
  <si>
    <t>A3</t>
  </si>
  <si>
    <t>A4</t>
  </si>
  <si>
    <t>LH21-28013</t>
  </si>
  <si>
    <t>Prostate: part D = bone</t>
  </si>
  <si>
    <t>A1, B1, C1, D1, E1, IHCx13</t>
  </si>
  <si>
    <t>E1</t>
  </si>
  <si>
    <t>C1</t>
  </si>
  <si>
    <t>LH21-40079</t>
  </si>
  <si>
    <t>Gastrointestinal tract</t>
  </si>
  <si>
    <t>oesophageal</t>
  </si>
  <si>
    <t>A1-2</t>
  </si>
  <si>
    <t>LH21-40310</t>
  </si>
  <si>
    <t>A1, B1-2</t>
  </si>
  <si>
    <t>LH21-42242</t>
  </si>
  <si>
    <t>A1-2[L]</t>
  </si>
  <si>
    <t>A2[L]</t>
  </si>
  <si>
    <t>LH21-42754</t>
  </si>
  <si>
    <t>Cancer of unknown primary and malignancy of unknown primary origin</t>
  </si>
  <si>
    <t>Carcinoma - unknown primary</t>
  </si>
  <si>
    <t>A1, B1, IHCx27</t>
  </si>
  <si>
    <t>A1,B1</t>
  </si>
  <si>
    <t>LH21-44327</t>
  </si>
  <si>
    <t>LH22-04617</t>
  </si>
  <si>
    <t>A1-2, B1-3, IHCx8</t>
  </si>
  <si>
    <t>A2,A1</t>
  </si>
  <si>
    <t>B3</t>
  </si>
  <si>
    <t>LH22-05869</t>
  </si>
  <si>
    <t>Skin</t>
  </si>
  <si>
    <t>part C= bone  (merkel cell carcinoma)</t>
  </si>
  <si>
    <t>A1-4, A5-6[L], A7-10, B1-2, B3-5[L], C1-2, D1-2[L], D3-21, E1-2</t>
  </si>
  <si>
    <t>A8</t>
  </si>
  <si>
    <t>A9</t>
  </si>
  <si>
    <t>B5[L],B3[L],B4[L]</t>
  </si>
  <si>
    <t>D2[L]</t>
  </si>
  <si>
    <t>D1[L]</t>
  </si>
  <si>
    <t>A6[L]</t>
  </si>
  <si>
    <t>Unsuitable for bony mets, but please allocate to a skin cancer cohort as a merkel cell carcinoma (as extremely rare)</t>
  </si>
  <si>
    <t>LH22-08503</t>
  </si>
  <si>
    <t>A1[L], B1</t>
  </si>
  <si>
    <t>A1[L]</t>
  </si>
  <si>
    <t>LH22-11983</t>
  </si>
  <si>
    <t>A1, IHCx10</t>
  </si>
  <si>
    <t>LH22-13091</t>
  </si>
  <si>
    <t>lung NSCLC</t>
  </si>
  <si>
    <t>A1, B1-3, IHCx21</t>
  </si>
  <si>
    <t>LH22-13237</t>
  </si>
  <si>
    <t>LH22-15402</t>
  </si>
  <si>
    <t>A1-2, B1-3, IHCx4</t>
  </si>
  <si>
    <t>B1,B2</t>
  </si>
  <si>
    <t>LH22-15778</t>
  </si>
  <si>
    <t>A1-10, IHCx4</t>
  </si>
  <si>
    <t>A6</t>
  </si>
  <si>
    <t>A7,A10</t>
  </si>
  <si>
    <t>LH22-19387</t>
  </si>
  <si>
    <t>Gynaecological tract</t>
  </si>
  <si>
    <t>endometrium</t>
  </si>
  <si>
    <t>US  - NO DATE</t>
  </si>
  <si>
    <t>LH22-20320</t>
  </si>
  <si>
    <t>B1-4, IHCx6</t>
  </si>
  <si>
    <t>B4</t>
  </si>
  <si>
    <t>LH22-24380</t>
  </si>
  <si>
    <t>Endocrine system</t>
  </si>
  <si>
    <t>diffuse B cell lymphoma</t>
  </si>
  <si>
    <t>A1, B1[L], IHCx8</t>
  </si>
  <si>
    <t>LH22-26671</t>
  </si>
  <si>
    <t>pancreas</t>
  </si>
  <si>
    <t>LH22-28326</t>
  </si>
  <si>
    <t>melanoma</t>
  </si>
  <si>
    <t>A1-3, IHCx5</t>
  </si>
  <si>
    <t>LH22-32881</t>
  </si>
  <si>
    <t>LH22-43101</t>
  </si>
  <si>
    <t>Head &amp; Neck</t>
  </si>
  <si>
    <t>metastatic paraganglioma</t>
  </si>
  <si>
    <t>A1, B1, IHCx5</t>
  </si>
  <si>
    <t>LH22-43131</t>
  </si>
  <si>
    <t>A1-4, B1, IHCx6</t>
  </si>
  <si>
    <t>LH22-45179</t>
  </si>
  <si>
    <t>LH22-54772</t>
  </si>
  <si>
    <t>suspicious - hx breast cancer</t>
  </si>
  <si>
    <t>A2-5, IHCx3</t>
  </si>
  <si>
    <t>LH23-03095</t>
  </si>
  <si>
    <t>A1-2, IHCx8</t>
  </si>
  <si>
    <t>LH23-03864</t>
  </si>
  <si>
    <t>A1, B1, IHCx16</t>
  </si>
  <si>
    <t>LH23-04475</t>
  </si>
  <si>
    <t>A1 L1-3, A2 L1-3, IHCx5</t>
  </si>
  <si>
    <t>LH23-04961</t>
  </si>
  <si>
    <t>LH23-06645</t>
  </si>
  <si>
    <t>LH23-09726</t>
  </si>
  <si>
    <t>urothelial carcinoma</t>
  </si>
  <si>
    <t>LH23-11058</t>
  </si>
  <si>
    <t>SCC (H&amp;N)</t>
  </si>
  <si>
    <t>A1,A2</t>
  </si>
  <si>
    <t>LH23-19030</t>
  </si>
  <si>
    <t>A1-2, B1-2</t>
  </si>
  <si>
    <t>LH23-19815</t>
  </si>
  <si>
    <t>thyroid</t>
  </si>
  <si>
    <t>A1-2[L], A3-5, IHCx2</t>
  </si>
  <si>
    <t>A5</t>
  </si>
  <si>
    <t>LH23-21165</t>
  </si>
  <si>
    <t>neuroendocrine carcinoma, primary site unknown</t>
  </si>
  <si>
    <t>A1, B1, IHCx8</t>
  </si>
  <si>
    <t>LH23-25106</t>
  </si>
  <si>
    <t>A1-2, IHCx3</t>
  </si>
  <si>
    <t>LH23-29005</t>
  </si>
  <si>
    <t>A1[L], B1, B2-4[L], C1-2, D1-2, IHCx7</t>
  </si>
  <si>
    <t>B3[L]</t>
  </si>
  <si>
    <t>B4[L]</t>
  </si>
  <si>
    <t>C2,D1,D2</t>
  </si>
  <si>
    <t>LH23-30042</t>
  </si>
  <si>
    <t>lung (breast or NSCLC - marginally favour breast)</t>
  </si>
  <si>
    <t>A1-3, IHCx10</t>
  </si>
  <si>
    <t>LH23-30362</t>
  </si>
  <si>
    <t>A1-2, B1, C1-5, IHCx12</t>
  </si>
  <si>
    <t>LH23-32500</t>
  </si>
  <si>
    <t>LH23-35183</t>
  </si>
  <si>
    <t>A1-3</t>
  </si>
  <si>
    <t>LH23-44736</t>
  </si>
  <si>
    <t>LH23-50042</t>
  </si>
  <si>
    <t>lung ADC</t>
  </si>
  <si>
    <t>A1-6, IHCx17</t>
  </si>
  <si>
    <t>LH23-50271</t>
  </si>
  <si>
    <t>LH23-53234</t>
  </si>
  <si>
    <t>A1-2, IHCx4</t>
  </si>
  <si>
    <t>LH23-54888</t>
  </si>
  <si>
    <t>A1, B1-2, IHCx7</t>
  </si>
  <si>
    <t>LH24-09091</t>
  </si>
  <si>
    <t>A1-2, IHCx19</t>
  </si>
  <si>
    <t>LH24-16167</t>
  </si>
  <si>
    <t>LH24-20379</t>
  </si>
  <si>
    <t>LH24-20988</t>
  </si>
  <si>
    <t>A1[L], B1-7, IHCx5</t>
  </si>
  <si>
    <t>B5</t>
  </si>
  <si>
    <t>LH24-23584</t>
  </si>
  <si>
    <t>LH24-34745</t>
  </si>
  <si>
    <t>LH24-35201</t>
  </si>
  <si>
    <t>A1, B1, C1</t>
  </si>
  <si>
    <t>LH24-36382</t>
  </si>
  <si>
    <t>A1-5, IHCx11</t>
  </si>
  <si>
    <t>LH24-36387</t>
  </si>
  <si>
    <t>LH24-38273</t>
  </si>
  <si>
    <t>A1-4, IHCx10</t>
  </si>
  <si>
    <t>A1,A4</t>
  </si>
  <si>
    <t>LH24-43742</t>
  </si>
  <si>
    <t>A1-10, B1-3, IHC</t>
  </si>
  <si>
    <t>A2,A8,A3</t>
  </si>
  <si>
    <t>A7,A9</t>
  </si>
  <si>
    <t>LH24-44013</t>
  </si>
  <si>
    <t>mesothelioma</t>
  </si>
  <si>
    <t>A1-3, IHCx4</t>
  </si>
  <si>
    <t>A1,A3</t>
  </si>
  <si>
    <t>LH24-44736</t>
  </si>
  <si>
    <t>A1, B1, IHCx11</t>
  </si>
  <si>
    <t>LH24-48699</t>
  </si>
  <si>
    <t>A1-4, A13</t>
  </si>
  <si>
    <t>LH24-48936</t>
  </si>
  <si>
    <t>parotid myoepithelial carcinoma</t>
  </si>
  <si>
    <t>A1-5</t>
  </si>
  <si>
    <t>LH24-50549</t>
  </si>
  <si>
    <t>SCC (skin)</t>
  </si>
  <si>
    <t>A1, B1, C1, D1</t>
  </si>
  <si>
    <t>D1</t>
  </si>
  <si>
    <t>LH25-05142</t>
  </si>
  <si>
    <t>A3-5, IHCx9</t>
  </si>
  <si>
    <t>LH25-05660</t>
  </si>
  <si>
    <t>A1-6, B1-2, IHCx4</t>
  </si>
  <si>
    <t>A1,A5, B1, B2</t>
  </si>
  <si>
    <t>LH25-06337</t>
  </si>
  <si>
    <t>lung NSCLC, possibly adenosquamous</t>
  </si>
  <si>
    <t>LH25-06914</t>
  </si>
  <si>
    <t>CRC</t>
  </si>
  <si>
    <t>LH25-08240</t>
  </si>
  <si>
    <t>LH25-10198</t>
  </si>
  <si>
    <t>LH25-17083</t>
  </si>
  <si>
    <t>lung SCC</t>
  </si>
  <si>
    <t>A1, B1-6, C1-5, IHCx10</t>
  </si>
  <si>
    <t>B6</t>
  </si>
  <si>
    <t>C5</t>
  </si>
  <si>
    <t>C4,C3</t>
  </si>
  <si>
    <t>LH25-27194</t>
  </si>
  <si>
    <t>A1, A2, IHCx13</t>
  </si>
  <si>
    <t>LH25-30968</t>
  </si>
  <si>
    <t>A2,B2</t>
  </si>
  <si>
    <t>LH25-37846</t>
  </si>
  <si>
    <t>A1-3[L], A4[L]x2, A5[L]</t>
  </si>
  <si>
    <t>A3[L]</t>
  </si>
  <si>
    <t>A5[L]</t>
  </si>
  <si>
    <t>LH25-42781</t>
  </si>
  <si>
    <t>A1-2, B1-5, IHCx11</t>
  </si>
  <si>
    <t>B3,B4</t>
  </si>
  <si>
    <t>LH25-45533</t>
  </si>
  <si>
    <t>A1-2, IHCx5</t>
  </si>
  <si>
    <t>LH25-45656</t>
  </si>
  <si>
    <t>A1-3, IHCx9</t>
  </si>
  <si>
    <t>LH25-56949</t>
  </si>
  <si>
    <t>metastatic pulmonary myxoid sarcoma</t>
  </si>
  <si>
    <t>Notes</t>
  </si>
  <si>
    <t>If Dissent N: Consent</t>
  </si>
  <si>
    <t>If Dissent N: Form Incomplete</t>
  </si>
  <si>
    <t>If Dissent N: Form missing</t>
  </si>
  <si>
    <t>CoPath (SS)</t>
  </si>
  <si>
    <t>X Blocks in Archive</t>
  </si>
  <si>
    <t>X Blocks missing from Archive</t>
  </si>
  <si>
    <t>P</t>
  </si>
  <si>
    <t>Scanned?</t>
  </si>
  <si>
    <t>CoPath (post scan)</t>
  </si>
  <si>
    <t>Ship 1 (Blocks)</t>
  </si>
  <si>
    <t>Ship 1 (Slides)</t>
  </si>
  <si>
    <t>Ship 2 (Blocks)</t>
  </si>
  <si>
    <t>QC check</t>
  </si>
  <si>
    <t>Part Number</t>
  </si>
  <si>
    <t>Type</t>
  </si>
  <si>
    <t>1st</t>
  </si>
  <si>
    <t>2nd</t>
  </si>
  <si>
    <t>Number of slides</t>
  </si>
  <si>
    <t>Histological diagnosis</t>
  </si>
  <si>
    <t>Metastatic</t>
  </si>
  <si>
    <t>CF</t>
  </si>
  <si>
    <t>GR</t>
  </si>
  <si>
    <t>(x4)</t>
  </si>
  <si>
    <t>Metastatic clear cell carcinoma</t>
  </si>
  <si>
    <t>VD</t>
  </si>
  <si>
    <t>NB</t>
  </si>
  <si>
    <t>Metastatic adenocarcinoma from prostate</t>
  </si>
  <si>
    <t>Metastatic breast cancer (primary was invasive lobular carcinoma)</t>
  </si>
  <si>
    <t>Metastatic melanoma</t>
  </si>
  <si>
    <t>Metastatic carcinoma consistent with prostate as primary site</t>
  </si>
  <si>
    <t>Metastatic clear cell renal cell carcinoma</t>
  </si>
  <si>
    <t>Metastatic thyroid carcinoma (Hurthle cell carcinoma)</t>
  </si>
  <si>
    <t>Metastatic carcinoma, consistent with breast origin</t>
  </si>
  <si>
    <t>Metastatic high grade carcinoma consistent with breast origin (primary was invasive ductal carcinoma)</t>
  </si>
  <si>
    <t>Metastatic transitional cell carcinoma</t>
  </si>
  <si>
    <t>Metastatic prostate adenocarcinoma</t>
  </si>
  <si>
    <t>Metastatic lung adenocarcinoma</t>
  </si>
  <si>
    <t>Metastatic poorly differentiated carcinoma showing possible neuroendocrine differentiation</t>
  </si>
  <si>
    <t>Metastatic adenocarcinoma; immunoprofile indicative of lung origin</t>
  </si>
  <si>
    <t>Metastatic breast carcinoma (primary was invasive ductal carcinoma)</t>
  </si>
  <si>
    <t>Number of cases</t>
  </si>
  <si>
    <t>Primary tumour slides</t>
  </si>
  <si>
    <t>Metastatic tumour slides</t>
  </si>
  <si>
    <t>Normal tissue slides</t>
  </si>
  <si>
    <t>Total number of slides</t>
  </si>
  <si>
    <t>Primary tumour blocks</t>
  </si>
  <si>
    <t>Metastatic tumour blocks</t>
  </si>
  <si>
    <t>Normal tissue blocks</t>
  </si>
  <si>
    <t>Total number of blocks</t>
  </si>
  <si>
    <t>Brief: bone mets from any cancer</t>
  </si>
  <si>
    <t>About 10mm2 tumour (original brief)</t>
  </si>
  <si>
    <t>Latest email 30% or higher tumour content but waiting to finalise</t>
  </si>
  <si>
    <t>20 cases total but possibly require 5 x 4 um sections of 15 cases  ( for IHC) to be cut here &amp; sent (TBC)</t>
  </si>
  <si>
    <t>Please pass on cancer type to Nic to help with slide review</t>
  </si>
  <si>
    <t>Note some are lung/mesothelioma so the 2 remaining block rule applies if patients are alive. If they are dead then only 1 block needs to remain as per ethics as the lung team will never need to go back to do more tests</t>
  </si>
  <si>
    <t>I have indicated vital status of patient for lung cases as well</t>
  </si>
  <si>
    <t>Tissue pathway</t>
  </si>
  <si>
    <t>Cardiovascular system</t>
  </si>
  <si>
    <t>Central nervous system</t>
  </si>
  <si>
    <t>Cytopathology</t>
  </si>
  <si>
    <t>Eye</t>
  </si>
  <si>
    <t>Lymph node and bone marrow</t>
  </si>
  <si>
    <t>Paediatric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</si>
</sst>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809]dd\ mmmm\ yyyy;@"/>
  </numFmts>
  <fonts count="18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6"/>
      <color rgb="FF7030A0"/>
      <name val="Calibri Light"/>
      <family val="2"/>
      <scheme val="major"/>
    </font>
    <font>
      <b/>
      <u/>
      <sz val="11"/>
      <color theme="1"/>
      <name val="Calibri Light"/>
      <family val="2"/>
      <scheme val="major"/>
    </font>
    <font>
      <b/>
      <u/>
      <sz val="11"/>
      <color rgb="FF000000"/>
      <name val="Calibri Light"/>
      <family val="2"/>
      <scheme val="major"/>
    </font>
    <font>
      <b/>
      <u/>
      <sz val="11"/>
      <color rgb="FFFF0000"/>
      <name val="Calibri Light"/>
      <family val="2"/>
      <scheme val="maj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0BDC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/>
    <xf numFmtId="0" fontId="6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2" borderId="8" xfId="0" applyFont="1" applyFill="1" applyBorder="1" applyAlignment="1">
      <alignment horizontal="center" wrapText="1"/>
    </xf>
    <xf numFmtId="0" fontId="8" fillId="7" borderId="8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9" fillId="8" borderId="8" xfId="0" applyFont="1" applyFill="1" applyBorder="1" applyAlignment="1">
      <alignment horizontal="center" wrapText="1"/>
    </xf>
    <xf numFmtId="0" fontId="8" fillId="5" borderId="8" xfId="0" quotePrefix="1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8" fillId="6" borderId="8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9" fillId="4" borderId="8" xfId="0" applyFont="1" applyFill="1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12" fillId="0" borderId="0" xfId="0" applyFont="1"/>
    <xf numFmtId="0" fontId="5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" fontId="5" fillId="0" borderId="0" xfId="0" applyNumberFormat="1" applyFont="1"/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8" fillId="5" borderId="4" xfId="0" quotePrefix="1" applyFont="1" applyFill="1" applyBorder="1" applyAlignment="1">
      <alignment horizontal="center" vertical="center" wrapText="1"/>
    </xf>
    <xf numFmtId="0" fontId="8" fillId="5" borderId="5" xfId="0" quotePrefix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4" fillId="0" borderId="7" xfId="0" applyFont="1" applyBorder="1"/>
    <xf numFmtId="0" fontId="2" fillId="0" borderId="0" xfId="0" applyFont="1"/>
    <xf numFmtId="0" fontId="6" fillId="0" borderId="0" xfId="0" applyFont="1" applyAlignment="1">
      <alignment vertical="center"/>
    </xf>
    <xf numFmtId="164" fontId="8" fillId="7" borderId="5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0" fillId="9" borderId="0" xfId="0" applyFill="1"/>
    <xf numFmtId="0" fontId="15" fillId="0" borderId="0" xfId="0" applyFont="1"/>
    <xf numFmtId="0" fontId="15" fillId="10" borderId="0" xfId="0" applyFont="1" applyFill="1"/>
    <xf numFmtId="0" fontId="16" fillId="2" borderId="6" xfId="0" applyFont="1" applyFill="1" applyBorder="1" applyAlignment="1">
      <alignment horizontal="center" vertical="center" wrapText="1"/>
    </xf>
    <xf numFmtId="0" fontId="15" fillId="9" borderId="0" xfId="0" applyFont="1" applyFill="1"/>
    <xf numFmtId="0" fontId="17" fillId="0" borderId="0" xfId="0" applyFont="1"/>
    <xf numFmtId="0" fontId="2" fillId="0" borderId="0" xfId="0" applyFont="1" applyAlignment="1">
      <alignment horizontal="center" wrapText="1"/>
    </xf>
    <xf numFmtId="0" fontId="0" fillId="12" borderId="0" xfId="0" applyFill="1"/>
    <xf numFmtId="0" fontId="5" fillId="10" borderId="0" xfId="0" applyFont="1" applyFill="1"/>
    <xf numFmtId="0" fontId="5" fillId="10" borderId="0" xfId="0" applyFont="1" applyFill="1" applyProtection="1">
      <protection locked="0"/>
    </xf>
    <xf numFmtId="164" fontId="5" fillId="10" borderId="0" xfId="0" applyNumberFormat="1" applyFont="1" applyFill="1"/>
    <xf numFmtId="0" fontId="5" fillId="9" borderId="0" xfId="0" applyFont="1" applyFill="1"/>
    <xf numFmtId="0" fontId="5" fillId="9" borderId="0" xfId="0" applyFont="1" applyFill="1" applyProtection="1">
      <protection locked="0"/>
    </xf>
    <xf numFmtId="164" fontId="5" fillId="9" borderId="0" xfId="0" applyNumberFormat="1" applyFont="1" applyFill="1"/>
    <xf numFmtId="0" fontId="5" fillId="11" borderId="0" xfId="0" applyFont="1" applyFill="1"/>
    <xf numFmtId="0" fontId="7" fillId="0" borderId="0" xfId="0" applyFont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F65F14EB-4DA5-4D36-9C88-49B63D030095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border outline="0">
        <bottom style="medium">
          <color rgb="FF000000"/>
        </bottom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rgb="FF000000"/>
        <name val="Calibri Light"/>
        <family val="2"/>
        <scheme val="major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protection locked="0" hidden="0"/>
    </dxf>
    <dxf>
      <font>
        <sz val="10"/>
        <name val="Calibri Light"/>
        <scheme val="major"/>
      </font>
      <numFmt numFmtId="164" formatCode="[$-809]dd\ mmmm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</dxf>
    <dxf>
      <alignment horizontal="center" vertical="center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0957E05-AB34-4AAC-A938-26D2871358FC}"/>
  </tableStyles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NETT, Nicholas (LEEDS TEACHING HOSPITALS NHS TRUST)" id="{212F8A51-D53D-48BE-99DB-EDFB30BDEA89}" userId="S::n.bennett7@nhs.net::7f79b6ca-9579-41c7-ac49-041a823c0562" providerId="AD"/>
  <person displayName="FREER, Clare (LEEDS TEACHING HOSPITALS NHS TRUST)" id="{8B44413B-915E-40C8-81E6-C392728F3CB4}" userId="S::clare.freer2@nhs.net::38188dba-d054-4eda-9019-5e8a7b85df14" providerId="AD"/>
  <person displayName="ROGERSON, Grace (LEEDS TEACHING HOSPITALS NHS TRUST)" id="{0019B8B0-975B-48C4-8A96-CA368C4A0132}" userId="S::grace.rogerson2@nhs.net::a7527938-2579-44fa-a23c-847ea9c289f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45E67-EE19-4C84-AA27-8AA0C7478BCB}" name="Table1" displayName="Table1" ref="A4:AR87" totalsRowShown="0" headerRowDxfId="75" dataDxfId="74" headerRowBorderDxfId="73">
  <autoFilter ref="A4:AR87" xr:uid="{1CB45E67-EE19-4C84-AA27-8AA0C7478BCB}">
    <filterColumn colId="0">
      <filters blank="1"/>
    </filterColumn>
  </autoFilter>
  <tableColumns count="44">
    <tableColumn id="1" xr3:uid="{971E6262-2315-44B2-B71F-9D0593792DA7}" name="Rejected" dataDxfId="72"/>
    <tableColumn id="31" xr3:uid="{149D1C03-E26E-4EB2-91E8-7B643458B76C}" name="Sample origin" dataDxfId="71"/>
    <tableColumn id="2" xr3:uid="{B4FC633A-3ECE-4143-8B8F-E5474BED9EB4}" name="Specimen number" dataDxfId="70"/>
    <tableColumn id="3" xr3:uid="{D897295A-8D6B-4A6A-8DD1-36C0B3DEA64F}" name="NHS numbers" dataDxfId="69"/>
    <tableColumn id="47" xr3:uid="{15F6707C-744A-428A-80C9-B7D210377196}" name="Tissue Pathway" dataDxfId="68"/>
    <tableColumn id="4" xr3:uid="{E56CB695-9F28-4205-BDF1-34BA3D6BF8FC}" name="Specimen Notes" dataDxfId="67"/>
    <tableColumn id="6" xr3:uid="{C2BBB61D-8BD7-4D23-BD7E-AB738310038B}" name="DOB" dataDxfId="66"/>
    <tableColumn id="7" xr3:uid="{8350A74B-13C4-4F3F-947E-34CF40191714}" name="Gender" dataDxfId="65"/>
    <tableColumn id="8" xr3:uid="{32933D10-A8E8-42E6-B5FF-4C4AD4AD40D2}" name="Dissent Y/N" dataDxfId="64"/>
    <tableColumn id="9" xr3:uid="{1B93F356-3408-46DC-A9EF-5E05E644726F}" name="Consent" dataDxfId="63"/>
    <tableColumn id="10" xr3:uid="{A0F6C7A9-A4B1-4012-B89A-71D00AD5EDEF}" name="Form Incomplete" dataDxfId="62"/>
    <tableColumn id="11" xr3:uid="{6F8AC06C-3F7C-43FB-B443-434DC692C79D}" name="Form missing" dataDxfId="61"/>
    <tableColumn id="12" xr3:uid="{29B55F6C-1571-4498-99E7-7FA1C3F32019}" name="No. small slides from CellNass" dataDxfId="60"/>
    <tableColumn id="13" xr3:uid="{0447CD09-087E-43F8-BF4D-E050C062F5D0}" name="No. large slides from CellNass" dataDxfId="59"/>
    <tableColumn id="14" xr3:uid="{E04A1A3D-D0F0-49A3-889F-6FF4212A9CD2}" name="Total no. of slides recieved from CellNass" dataDxfId="58"/>
    <tableColumn id="15" xr3:uid="{0C508936-44E5-4C13-8BC5-A09A33BF46E3}" name="Slides Collected" dataDxfId="57"/>
    <tableColumn id="16" xr3:uid="{01801408-C667-4F3E-A61F-520679A87852}" name="CoPath (SC)" dataDxfId="56"/>
    <tableColumn id="17" xr3:uid="{51B8E23F-F8C8-4D8A-8FD0-741E7290E6F0}" name="Slides Missing (if any…)" dataDxfId="55"/>
    <tableColumn id="18" xr3:uid="{84743F78-0C3E-4435-9C5B-90D9E49CD13E}" name="P1" dataDxfId="54"/>
    <tableColumn id="19" xr3:uid="{1A4A741D-6F28-4D46-AB34-A4AD3C3D58B5}" name="P2" dataDxfId="53"/>
    <tableColumn id="20" xr3:uid="{523BB813-1FC4-4961-9871-00C3BB3114F8}" name="P3" dataDxfId="52"/>
    <tableColumn id="21" xr3:uid="{8961B0A8-3CF9-4DD7-AF1E-24D547B94389}" name="P4" dataDxfId="51"/>
    <tableColumn id="22" xr3:uid="{547A0F3C-0DE8-4A4D-92B8-6A2EF3A8F3E7}" name="P5" dataDxfId="50"/>
    <tableColumn id="23" xr3:uid="{997D72AC-AC90-4D8B-B93C-D4C4951BBD04}" name="M1" dataDxfId="49"/>
    <tableColumn id="24" xr3:uid="{8D2A7B78-7D88-47D0-B238-8F6B6729B7A6}" name="M2" dataDxfId="48"/>
    <tableColumn id="25" xr3:uid="{08E4DCBE-5D01-4601-9263-5DE66303196F}" name="M3" dataDxfId="47"/>
    <tableColumn id="26" xr3:uid="{18894227-15DC-4383-90F0-E86269A04543}" name="M4" dataDxfId="46"/>
    <tableColumn id="27" xr3:uid="{87A6B9ED-3453-4B6E-993B-37AF30BDFB95}" name="M5" dataDxfId="45"/>
    <tableColumn id="28" xr3:uid="{EC70D995-044B-4860-9006-7C58CD9922D1}" name="N" dataDxfId="44"/>
    <tableColumn id="29" xr3:uid="{B03FDE41-54FB-4329-816F-4B0C2A799E6A}" name="S" dataDxfId="43"/>
    <tableColumn id="30" xr3:uid="{0417D3FF-607F-4B40-ABEF-F805A58DB7A7}" name="X" dataDxfId="42"/>
    <tableColumn id="32" xr3:uid="{6D1F164F-A5E0-4E94-B2B9-535BD1B2A912}" name="Selected Slides Notes" dataDxfId="41"/>
    <tableColumn id="33" xr3:uid="{0502673B-E897-48CF-B76E-F3151E3B4D3A}" name="X Blocks present" dataDxfId="40"/>
    <tableColumn id="34" xr3:uid="{696C34AE-3D6C-488F-89AB-984DCBF9CD40}" name="X Blocks Missing" dataDxfId="39"/>
    <tableColumn id="35" xr3:uid="{C1074AAC-25F7-4733-BAD2-61CED611D650}" name="Blocks recieved from CellNass" dataDxfId="38"/>
    <tableColumn id="45" xr3:uid="{8B3747E6-3F37-4D2A-872F-30A4AE1797D2}" name="Number of blocks recieved from CellNass" dataDxfId="37"/>
    <tableColumn id="36" xr3:uid="{F3541951-CBE0-422A-A369-60131309652F}" name="Block Collection Notes" dataDxfId="36"/>
    <tableColumn id="37" xr3:uid="{0FB581D3-22E7-449F-90AB-A964E9EBEA1E}" name="PB1" dataDxfId="35"/>
    <tableColumn id="38" xr3:uid="{336033A0-9395-4F4B-A97F-E04E33D770CC}" name="PB2" dataDxfId="34"/>
    <tableColumn id="39" xr3:uid="{892D1592-A61A-4995-BBE2-7D1FAE0EA31E}" name="MB1" dataDxfId="33"/>
    <tableColumn id="40" xr3:uid="{04DB3397-365D-4480-8985-7B7366769029}" name="MB2" dataDxfId="32"/>
    <tableColumn id="41" xr3:uid="{084AF8C6-EB1A-459E-A804-92320873904F}" name="NB1" dataDxfId="31"/>
    <tableColumn id="42" xr3:uid="{6C7E9304-D5AC-4BC5-8FFD-BAC86D73092D}" name="CoPath (BC)" dataDxfId="30"/>
    <tableColumn id="43" xr3:uid="{DB56A819-9A19-43F4-AE68-C56EAEE92B68}" name="CoPath (Tristar)" dataDxfId="29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CC889-1E81-4CD8-8C08-0E335BD768F5}" name="Table2" displayName="Table2" ref="A1:N37" totalsRowShown="0" headerRowDxfId="25" dataDxfId="24" headerRowBorderDxfId="22" tableBorderDxfId="23">
  <autoFilter ref="A1:N37" xr:uid="{279CC889-1E81-4CD8-8C08-0E335BD768F5}"/>
  <tableColumns count="14">
    <tableColumn id="1" xr3:uid="{754A6242-7FC4-46EF-9F6B-3440B5C42575}" name="Specimen number" dataDxfId="21"/>
    <tableColumn id="2" xr3:uid="{C2B3B04C-E231-41F2-8E96-8A1D5BABFA04}" name="P1" dataDxfId="20"/>
    <tableColumn id="3" xr3:uid="{51630311-50EF-4F61-9E7D-294D854B3D29}" name="P2" dataDxfId="19"/>
    <tableColumn id="4" xr3:uid="{C5B1478B-34EE-445A-961B-7DBEAAD0F1E2}" name="P3" dataDxfId="18"/>
    <tableColumn id="5" xr3:uid="{1A5E6561-AB1B-49BF-B558-5E578BFBAE46}" name="P4" dataDxfId="17"/>
    <tableColumn id="6" xr3:uid="{EAF89518-7286-4B2F-A9F0-12C02168CBFE}" name="P5" dataDxfId="16"/>
    <tableColumn id="7" xr3:uid="{C64AB8AF-81C6-444B-B027-133E97D3239F}" name="M1" dataDxfId="15"/>
    <tableColumn id="8" xr3:uid="{BD2C9E50-DC3A-4575-8B06-D5E5ED2540B3}" name="M2" dataDxfId="14"/>
    <tableColumn id="9" xr3:uid="{BCAC27BA-0B78-40D2-9CEE-56D28EFF8038}" name="M3" dataDxfId="13"/>
    <tableColumn id="10" xr3:uid="{FE2CD9DE-2D58-4A12-9476-14EB748315E5}" name="M4" dataDxfId="12"/>
    <tableColumn id="11" xr3:uid="{44D75B13-236D-4013-B062-9B9F62F1D89F}" name="M5" dataDxfId="11"/>
    <tableColumn id="12" xr3:uid="{3431C75B-06C9-4E4C-9BB0-374E1F6D6069}" name="N" dataDxfId="10"/>
    <tableColumn id="13" xr3:uid="{84FD010E-0616-4479-820D-5E04DCAD21F2}" name="S" dataDxfId="9"/>
    <tableColumn id="14" xr3:uid="{D5D2E7C3-E116-4925-9477-F69CE6CBEDAC}" name="X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2-16T16:29:40.53" personId="{8B44413B-915E-40C8-81E6-C392728F3CB4}" id="{E4F0C0DC-084E-459E-9392-CC688777CBB4}">
    <text>Sent in  NSCLC 3 (SCC Met)</text>
  </threadedComment>
  <threadedComment ref="C11" dT="2026-02-16T16:30:00.55" personId="{8B44413B-915E-40C8-81E6-C392728F3CB4}" id="{8BF997FF-F3C2-4EB7-916B-DBD5CE61B65B}">
    <text>Sen tin  5K IO RCC 2017-2021</text>
  </threadedComment>
  <threadedComment ref="C20" dT="2026-02-26T12:40:02.99" personId="{8B44413B-915E-40C8-81E6-C392728F3CB4}" id="{BDA61321-BBD0-428B-BA71-14BE8305557A}">
    <text>Move to Misc 1</text>
  </threadedComment>
  <threadedComment ref="C30" dT="2026-02-16T16:30:20.61" personId="{8B44413B-915E-40C8-81E6-C392728F3CB4}" id="{2A2FB4F8-AB43-4B67-8900-D42D739DEA17}">
    <text>Sent in  Pancreatic 2 (ship 1)</text>
  </threadedComment>
  <threadedComment ref="P48" dT="2026-02-17T12:20:18.51" personId="{212F8A51-D53D-48BE-99DB-EDFB30BDEA89}" id="{6FED4193-1355-4D88-8A09-882F98C58834}">
    <text>A1 BROKEN</text>
  </threadedComment>
  <threadedComment ref="AQ77" dT="2026-03-02T17:00:58.70" personId="{0019B8B0-975B-48C4-8A96-CA368C4A0132}" id="{D6CDD476-CC50-4F48-BCE3-D00A40B69C8C}" done="1">
    <text>still to do - incorrect block originally collected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B14" dT="2024-11-22T07:51:45.84" personId="{212F8A51-D53D-48BE-99DB-EDFB30BDEA89}" id="{2FCA04A2-4344-4A35-9C83-DE058D9FC082}">
    <text>BROKEN, DNS</text>
  </threadedComment>
  <threadedComment ref="AG38" dT="2024-11-22T15:53:32.91" personId="{0019B8B0-975B-48C4-8A96-CA368C4A0132}" id="{1EA2C75F-9B9E-4FC1-BA49-21A12C903D3E}">
    <text>ALL BLOCKS REMOVED BY ROULSON ON 09.08.2017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89"/>
  <sheetViews>
    <sheetView tabSelected="1" zoomScale="90" zoomScaleNormal="90" workbookViewId="0">
      <pane xSplit="6" ySplit="4" topLeftCell="AC70" activePane="bottomRight" state="frozen"/>
      <selection pane="bottomRight" activeCell="AQ84" sqref="AQ84"/>
      <selection pane="bottomLeft"/>
      <selection pane="topRight"/>
    </sheetView>
  </sheetViews>
  <sheetFormatPr defaultColWidth="9" defaultRowHeight="15" customHeight="1"/>
  <cols>
    <col min="1" max="1" width="6.625" style="6" customWidth="1"/>
    <col min="2" max="2" width="9" style="6" customWidth="1"/>
    <col min="3" max="3" width="10.875" style="6" customWidth="1"/>
    <col min="4" max="4" width="11.5" style="6" hidden="1" customWidth="1"/>
    <col min="5" max="5" width="16.125" style="6" hidden="1" customWidth="1"/>
    <col min="6" max="6" width="15.25" style="6" hidden="1" customWidth="1"/>
    <col min="7" max="7" width="18.5" style="52" bestFit="1" customWidth="1"/>
    <col min="8" max="8" width="11" style="6"/>
    <col min="9" max="9" width="13.625" style="6" bestFit="1" customWidth="1"/>
    <col min="10" max="10" width="11" style="6"/>
    <col min="11" max="12" width="13" style="6" bestFit="1" customWidth="1"/>
    <col min="13" max="15" width="19.875" style="6" customWidth="1"/>
    <col min="16" max="16" width="46.375" style="6" bestFit="1" customWidth="1"/>
    <col min="17" max="17" width="13.75" style="6" customWidth="1"/>
    <col min="18" max="18" width="24.375" style="6" customWidth="1"/>
    <col min="19" max="22" width="7.125" style="6" customWidth="1"/>
    <col min="23" max="23" width="8.375" style="6" bestFit="1" customWidth="1"/>
    <col min="24" max="31" width="7.125" style="6" customWidth="1"/>
    <col min="32" max="32" width="20.375" style="6" customWidth="1"/>
    <col min="33" max="33" width="12.125" style="6" customWidth="1"/>
    <col min="34" max="34" width="15.875" style="6" customWidth="1"/>
    <col min="35" max="35" width="18.5" style="6" hidden="1" customWidth="1"/>
    <col min="36" max="36" width="21.375" style="6" hidden="1" customWidth="1"/>
    <col min="37" max="37" width="15.375" style="6" hidden="1" customWidth="1"/>
    <col min="38" max="42" width="8.5" style="6" customWidth="1"/>
    <col min="43" max="43" width="17.25" style="6" bestFit="1" customWidth="1"/>
    <col min="44" max="16384" width="9" style="6"/>
  </cols>
  <sheetData>
    <row r="1" spans="1:44" s="10" customFormat="1" ht="20.65">
      <c r="A1"/>
      <c r="B1"/>
      <c r="C1"/>
      <c r="G1" s="51"/>
      <c r="AG1" s="68" t="s">
        <v>0</v>
      </c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</row>
    <row r="2" spans="1:44" ht="12.95"/>
    <row r="3" spans="1:44" s="49" customFormat="1" ht="21.75" customHeight="1">
      <c r="A3" s="71" t="s">
        <v>1</v>
      </c>
      <c r="B3" s="72"/>
      <c r="C3" s="72"/>
      <c r="D3" s="72"/>
      <c r="E3" s="72"/>
      <c r="F3" s="73"/>
      <c r="G3" s="69" t="s">
        <v>2</v>
      </c>
      <c r="H3" s="70"/>
      <c r="I3" s="80" t="s">
        <v>3</v>
      </c>
      <c r="J3" s="81"/>
      <c r="K3" s="81"/>
      <c r="L3" s="82"/>
      <c r="M3" s="74" t="s">
        <v>4</v>
      </c>
      <c r="N3" s="75"/>
      <c r="O3" s="76"/>
      <c r="P3" s="77" t="s">
        <v>5</v>
      </c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9"/>
      <c r="AG3" s="83" t="s">
        <v>6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5"/>
    </row>
    <row r="4" spans="1:44" s="46" customFormat="1" ht="31.5" customHeight="1">
      <c r="A4" s="34" t="s">
        <v>7</v>
      </c>
      <c r="B4" s="35" t="s">
        <v>8</v>
      </c>
      <c r="C4" s="35" t="s">
        <v>9</v>
      </c>
      <c r="D4" s="35" t="s">
        <v>10</v>
      </c>
      <c r="E4" s="35" t="s">
        <v>11</v>
      </c>
      <c r="F4" s="56" t="s">
        <v>12</v>
      </c>
      <c r="G4" s="50" t="s">
        <v>13</v>
      </c>
      <c r="H4" s="36" t="s">
        <v>14</v>
      </c>
      <c r="I4" s="37" t="s">
        <v>15</v>
      </c>
      <c r="J4" s="37" t="s">
        <v>16</v>
      </c>
      <c r="K4" s="37" t="s">
        <v>17</v>
      </c>
      <c r="L4" s="38" t="s">
        <v>18</v>
      </c>
      <c r="M4" s="39" t="s">
        <v>19</v>
      </c>
      <c r="N4" s="39" t="s">
        <v>20</v>
      </c>
      <c r="O4" s="40" t="s">
        <v>21</v>
      </c>
      <c r="P4" s="44" t="s">
        <v>22</v>
      </c>
      <c r="Q4" s="44" t="s">
        <v>23</v>
      </c>
      <c r="R4" s="44" t="s">
        <v>24</v>
      </c>
      <c r="S4" s="44" t="s">
        <v>25</v>
      </c>
      <c r="T4" s="44" t="s">
        <v>26</v>
      </c>
      <c r="U4" s="44" t="s">
        <v>27</v>
      </c>
      <c r="V4" s="44" t="s">
        <v>28</v>
      </c>
      <c r="W4" s="44" t="s">
        <v>29</v>
      </c>
      <c r="X4" s="44" t="s">
        <v>30</v>
      </c>
      <c r="Y4" s="44" t="s">
        <v>31</v>
      </c>
      <c r="Z4" s="44" t="s">
        <v>32</v>
      </c>
      <c r="AA4" s="44" t="s">
        <v>33</v>
      </c>
      <c r="AB4" s="44" t="s">
        <v>34</v>
      </c>
      <c r="AC4" s="44" t="s">
        <v>35</v>
      </c>
      <c r="AD4" s="44" t="s">
        <v>36</v>
      </c>
      <c r="AE4" s="44" t="s">
        <v>37</v>
      </c>
      <c r="AF4" s="44" t="s">
        <v>38</v>
      </c>
      <c r="AG4" s="41" t="s">
        <v>39</v>
      </c>
      <c r="AH4" s="42" t="s">
        <v>40</v>
      </c>
      <c r="AI4" s="42" t="s">
        <v>41</v>
      </c>
      <c r="AJ4" s="42" t="s">
        <v>42</v>
      </c>
      <c r="AK4" s="42" t="s">
        <v>43</v>
      </c>
      <c r="AL4" s="43" t="s">
        <v>44</v>
      </c>
      <c r="AM4" s="43" t="s">
        <v>45</v>
      </c>
      <c r="AN4" s="43" t="s">
        <v>46</v>
      </c>
      <c r="AO4" s="43" t="s">
        <v>47</v>
      </c>
      <c r="AP4" s="43" t="s">
        <v>48</v>
      </c>
      <c r="AQ4" s="43" t="s">
        <v>49</v>
      </c>
      <c r="AR4" s="45" t="s">
        <v>50</v>
      </c>
    </row>
    <row r="5" spans="1:44" s="54" customFormat="1" ht="15" customHeight="1">
      <c r="A5" s="6"/>
      <c r="B5" s="6" t="s">
        <v>51</v>
      </c>
      <c r="C5" s="7" t="s">
        <v>52</v>
      </c>
      <c r="D5" s="7">
        <v>4583978219</v>
      </c>
      <c r="E5" s="7" t="s">
        <v>53</v>
      </c>
      <c r="F5" s="7" t="s">
        <v>54</v>
      </c>
      <c r="G5" s="9">
        <v>20690</v>
      </c>
      <c r="H5" s="7" t="s">
        <v>55</v>
      </c>
      <c r="I5" s="6" t="s">
        <v>35</v>
      </c>
      <c r="J5" s="6"/>
      <c r="K5" s="6" t="s">
        <v>37</v>
      </c>
      <c r="L5" s="6"/>
      <c r="M5" s="6"/>
      <c r="N5" s="6"/>
      <c r="O5" s="6"/>
      <c r="P5" s="6" t="s">
        <v>56</v>
      </c>
      <c r="Q5" s="6" t="s">
        <v>57</v>
      </c>
      <c r="R5" s="6"/>
      <c r="S5" s="6" t="s">
        <v>58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 t="s">
        <v>59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s="54" customFormat="1" ht="15" customHeight="1">
      <c r="A6" s="6"/>
      <c r="B6" s="6" t="s">
        <v>51</v>
      </c>
      <c r="C6" s="7" t="s">
        <v>60</v>
      </c>
      <c r="D6" s="7">
        <v>6240702293</v>
      </c>
      <c r="E6" s="7" t="s">
        <v>61</v>
      </c>
      <c r="F6" s="7" t="s">
        <v>62</v>
      </c>
      <c r="G6" s="9">
        <v>18629</v>
      </c>
      <c r="H6" s="7" t="s">
        <v>63</v>
      </c>
      <c r="I6" s="6" t="s">
        <v>35</v>
      </c>
      <c r="J6" s="6"/>
      <c r="K6" s="6" t="s">
        <v>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s="54" customFormat="1" ht="15" customHeight="1">
      <c r="A7" s="6"/>
      <c r="B7" s="6" t="s">
        <v>51</v>
      </c>
      <c r="C7" s="7" t="s">
        <v>64</v>
      </c>
      <c r="D7" s="7">
        <v>6508107755</v>
      </c>
      <c r="E7" s="7" t="s">
        <v>65</v>
      </c>
      <c r="F7" s="7" t="s">
        <v>66</v>
      </c>
      <c r="G7" s="9">
        <v>23137</v>
      </c>
      <c r="H7" s="7" t="s">
        <v>63</v>
      </c>
      <c r="I7" s="6" t="s">
        <v>35</v>
      </c>
      <c r="J7" s="6"/>
      <c r="K7" s="6" t="s">
        <v>37</v>
      </c>
      <c r="L7" s="6"/>
      <c r="M7" s="6"/>
      <c r="N7" s="6"/>
      <c r="O7" s="6"/>
      <c r="P7" s="6" t="s">
        <v>67</v>
      </c>
      <c r="Q7" s="6" t="s">
        <v>57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 t="s">
        <v>59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s="54" customFormat="1" ht="15" customHeight="1">
      <c r="A8" s="6"/>
      <c r="B8" s="6" t="s">
        <v>51</v>
      </c>
      <c r="C8" s="7" t="s">
        <v>68</v>
      </c>
      <c r="D8" s="7">
        <v>6229691280</v>
      </c>
      <c r="E8" s="7" t="s">
        <v>61</v>
      </c>
      <c r="F8" s="7" t="s">
        <v>69</v>
      </c>
      <c r="G8" s="9">
        <v>18113</v>
      </c>
      <c r="H8" s="7" t="s">
        <v>55</v>
      </c>
      <c r="I8" s="6" t="s">
        <v>35</v>
      </c>
      <c r="J8" s="6"/>
      <c r="K8" s="6" t="s">
        <v>37</v>
      </c>
      <c r="L8" s="6"/>
      <c r="M8" s="6"/>
      <c r="N8" s="6"/>
      <c r="O8" s="6"/>
      <c r="P8" s="6" t="s">
        <v>70</v>
      </c>
      <c r="Q8" s="6" t="s">
        <v>57</v>
      </c>
      <c r="R8" s="6"/>
      <c r="S8" s="6"/>
      <c r="T8" s="6"/>
      <c r="U8" s="6"/>
      <c r="V8" s="6"/>
      <c r="W8" s="6"/>
      <c r="X8" s="6" t="s">
        <v>71</v>
      </c>
      <c r="Y8" s="6"/>
      <c r="Z8" s="6"/>
      <c r="AA8" s="6"/>
      <c r="AB8" s="6"/>
      <c r="AC8" s="6"/>
      <c r="AD8" s="6"/>
      <c r="AE8" s="6" t="s">
        <v>59</v>
      </c>
      <c r="AF8" s="6"/>
      <c r="AG8" s="6" t="s">
        <v>59</v>
      </c>
      <c r="AH8" s="6"/>
      <c r="AI8" s="6"/>
      <c r="AJ8" s="6"/>
      <c r="AK8" s="6"/>
      <c r="AL8" s="6"/>
      <c r="AM8" s="6"/>
      <c r="AN8" s="6" t="s">
        <v>71</v>
      </c>
      <c r="AO8" s="6"/>
      <c r="AP8" s="6"/>
      <c r="AQ8" s="6" t="s">
        <v>57</v>
      </c>
      <c r="AR8" s="6" t="s">
        <v>57</v>
      </c>
    </row>
    <row r="9" spans="1:44" s="54" customFormat="1" ht="15" customHeight="1">
      <c r="A9" s="6"/>
      <c r="B9" s="6" t="s">
        <v>51</v>
      </c>
      <c r="C9" s="7" t="s">
        <v>72</v>
      </c>
      <c r="D9" s="7">
        <v>4089649307</v>
      </c>
      <c r="E9" s="7" t="s">
        <v>53</v>
      </c>
      <c r="F9" s="7" t="s">
        <v>54</v>
      </c>
      <c r="G9" s="9">
        <v>28608</v>
      </c>
      <c r="H9" s="7" t="s">
        <v>55</v>
      </c>
      <c r="I9" s="6" t="s">
        <v>35</v>
      </c>
      <c r="J9" s="6"/>
      <c r="K9" s="6" t="s">
        <v>37</v>
      </c>
      <c r="L9" s="6"/>
      <c r="M9" s="6"/>
      <c r="N9" s="6"/>
      <c r="O9" s="6"/>
      <c r="P9" s="6" t="s">
        <v>73</v>
      </c>
      <c r="Q9" s="6" t="s">
        <v>57</v>
      </c>
      <c r="R9" s="6"/>
      <c r="S9" s="6"/>
      <c r="T9" s="6"/>
      <c r="U9" s="6"/>
      <c r="V9" s="6"/>
      <c r="W9" s="6"/>
      <c r="X9" s="6" t="s">
        <v>71</v>
      </c>
      <c r="Y9" s="6" t="s">
        <v>74</v>
      </c>
      <c r="Z9" s="6"/>
      <c r="AA9" s="6"/>
      <c r="AB9" s="6"/>
      <c r="AC9" s="6"/>
      <c r="AD9" s="6"/>
      <c r="AE9" s="6" t="s">
        <v>59</v>
      </c>
      <c r="AF9" s="6"/>
      <c r="AG9" s="6" t="s">
        <v>59</v>
      </c>
      <c r="AH9" s="6"/>
      <c r="AI9" s="6"/>
      <c r="AJ9" s="6"/>
      <c r="AK9" s="6"/>
      <c r="AL9" s="6"/>
      <c r="AM9" s="6"/>
      <c r="AN9" s="6" t="s">
        <v>71</v>
      </c>
      <c r="AO9" s="6" t="s">
        <v>74</v>
      </c>
      <c r="AP9" s="6"/>
      <c r="AQ9" s="6" t="s">
        <v>57</v>
      </c>
      <c r="AR9" s="6" t="s">
        <v>57</v>
      </c>
    </row>
    <row r="10" spans="1:44" s="55" customFormat="1" ht="15" hidden="1" customHeight="1">
      <c r="A10" s="61" t="s">
        <v>57</v>
      </c>
      <c r="B10" s="61" t="s">
        <v>51</v>
      </c>
      <c r="C10" s="62" t="s">
        <v>75</v>
      </c>
      <c r="D10" s="62"/>
      <c r="E10" s="62" t="s">
        <v>65</v>
      </c>
      <c r="F10" s="62" t="s">
        <v>66</v>
      </c>
      <c r="G10" s="63">
        <v>15103</v>
      </c>
      <c r="H10" s="62" t="s">
        <v>63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</row>
    <row r="11" spans="1:44" s="55" customFormat="1" ht="15" hidden="1" customHeight="1">
      <c r="A11" s="61" t="s">
        <v>57</v>
      </c>
      <c r="B11" s="61" t="s">
        <v>51</v>
      </c>
      <c r="C11" s="62" t="s">
        <v>76</v>
      </c>
      <c r="D11" s="62"/>
      <c r="E11" s="62" t="s">
        <v>61</v>
      </c>
      <c r="F11" s="62" t="s">
        <v>69</v>
      </c>
      <c r="G11" s="63">
        <v>28408</v>
      </c>
      <c r="H11" s="62" t="s">
        <v>63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</row>
    <row r="12" spans="1:44" s="54" customFormat="1" ht="15" customHeight="1">
      <c r="A12" s="6"/>
      <c r="B12" s="6" t="s">
        <v>51</v>
      </c>
      <c r="C12" s="7" t="s">
        <v>77</v>
      </c>
      <c r="D12" s="7">
        <v>6301697812</v>
      </c>
      <c r="E12" s="7" t="s">
        <v>78</v>
      </c>
      <c r="F12" s="7" t="s">
        <v>79</v>
      </c>
      <c r="G12" s="9">
        <v>32256</v>
      </c>
      <c r="H12" s="7" t="s">
        <v>55</v>
      </c>
      <c r="I12" s="6" t="s">
        <v>35</v>
      </c>
      <c r="J12" s="6" t="s">
        <v>37</v>
      </c>
      <c r="K12" s="6"/>
      <c r="L12" s="6"/>
      <c r="M12" s="6"/>
      <c r="N12" s="6"/>
      <c r="O12" s="6"/>
      <c r="P12" s="6" t="s">
        <v>80</v>
      </c>
      <c r="Q12" s="6" t="s">
        <v>57</v>
      </c>
      <c r="R12" s="6"/>
      <c r="S12" s="6"/>
      <c r="T12" s="6"/>
      <c r="U12" s="6"/>
      <c r="V12" s="6"/>
      <c r="W12" s="6"/>
      <c r="X12" s="6" t="s">
        <v>58</v>
      </c>
      <c r="Y12" s="6" t="s">
        <v>81</v>
      </c>
      <c r="Z12" s="6" t="s">
        <v>82</v>
      </c>
      <c r="AA12" s="6"/>
      <c r="AB12" s="6"/>
      <c r="AC12" s="6"/>
      <c r="AD12" s="6"/>
      <c r="AE12" s="6" t="s">
        <v>59</v>
      </c>
      <c r="AF12" s="6"/>
      <c r="AG12" s="6" t="s">
        <v>59</v>
      </c>
      <c r="AH12" s="6"/>
      <c r="AI12" s="6"/>
      <c r="AJ12" s="6"/>
      <c r="AK12" s="6"/>
      <c r="AL12" s="6"/>
      <c r="AM12" s="6"/>
      <c r="AN12" s="6" t="s">
        <v>58</v>
      </c>
      <c r="AO12" s="6" t="s">
        <v>81</v>
      </c>
      <c r="AP12" s="6"/>
      <c r="AQ12" s="6" t="s">
        <v>57</v>
      </c>
      <c r="AR12" s="6" t="s">
        <v>57</v>
      </c>
    </row>
    <row r="13" spans="1:44" s="54" customFormat="1" ht="15" customHeight="1">
      <c r="A13" s="6"/>
      <c r="B13" s="6" t="s">
        <v>51</v>
      </c>
      <c r="C13" s="7" t="s">
        <v>83</v>
      </c>
      <c r="D13" s="7">
        <v>4382291100</v>
      </c>
      <c r="E13" s="7" t="s">
        <v>61</v>
      </c>
      <c r="F13" s="7" t="s">
        <v>84</v>
      </c>
      <c r="G13" s="9">
        <v>16429</v>
      </c>
      <c r="H13" s="7" t="s">
        <v>63</v>
      </c>
      <c r="I13" s="6" t="s">
        <v>35</v>
      </c>
      <c r="J13" s="6"/>
      <c r="K13" s="6"/>
      <c r="L13" s="6" t="s">
        <v>37</v>
      </c>
      <c r="M13" s="6"/>
      <c r="N13" s="6"/>
      <c r="O13" s="6"/>
      <c r="P13" s="6" t="s">
        <v>85</v>
      </c>
      <c r="Q13" s="6" t="s">
        <v>57</v>
      </c>
      <c r="R13" s="6"/>
      <c r="S13" s="6"/>
      <c r="T13" s="6"/>
      <c r="U13" s="6"/>
      <c r="V13" s="6"/>
      <c r="W13" s="6"/>
      <c r="X13" s="6" t="s">
        <v>71</v>
      </c>
      <c r="Y13" s="6" t="s">
        <v>59</v>
      </c>
      <c r="Z13" s="6" t="s">
        <v>86</v>
      </c>
      <c r="AA13" s="6"/>
      <c r="AB13" s="6"/>
      <c r="AC13" s="6"/>
      <c r="AD13" s="6"/>
      <c r="AE13" s="6" t="s">
        <v>87</v>
      </c>
      <c r="AF13" s="6"/>
      <c r="AG13" s="6" t="s">
        <v>87</v>
      </c>
      <c r="AH13" s="6"/>
      <c r="AI13" s="6"/>
      <c r="AJ13" s="6"/>
      <c r="AK13" s="6"/>
      <c r="AL13" s="6"/>
      <c r="AM13" s="6"/>
      <c r="AN13" s="6" t="s">
        <v>59</v>
      </c>
      <c r="AO13" s="6" t="s">
        <v>86</v>
      </c>
      <c r="AP13" s="6"/>
      <c r="AQ13" s="6" t="s">
        <v>57</v>
      </c>
      <c r="AR13" s="6" t="s">
        <v>57</v>
      </c>
    </row>
    <row r="14" spans="1:44" s="54" customFormat="1" ht="15" customHeight="1">
      <c r="A14" s="6"/>
      <c r="B14" s="6" t="s">
        <v>51</v>
      </c>
      <c r="C14" s="7" t="s">
        <v>88</v>
      </c>
      <c r="D14" s="7">
        <v>4482050547</v>
      </c>
      <c r="E14" s="7" t="s">
        <v>89</v>
      </c>
      <c r="F14" s="7" t="s">
        <v>90</v>
      </c>
      <c r="G14" s="9">
        <v>17885</v>
      </c>
      <c r="H14" s="7" t="s">
        <v>63</v>
      </c>
      <c r="I14" s="6" t="s">
        <v>35</v>
      </c>
      <c r="J14" s="6"/>
      <c r="K14" s="6" t="s">
        <v>37</v>
      </c>
      <c r="L14" s="6"/>
      <c r="M14" s="6"/>
      <c r="N14" s="6"/>
      <c r="O14" s="6"/>
      <c r="P14" s="6" t="s">
        <v>91</v>
      </c>
      <c r="Q14" s="6" t="s">
        <v>57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 t="s">
        <v>59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s="54" customFormat="1" ht="15" customHeight="1">
      <c r="A15" s="6"/>
      <c r="B15" s="6" t="s">
        <v>51</v>
      </c>
      <c r="C15" s="7" t="s">
        <v>92</v>
      </c>
      <c r="D15" s="7">
        <v>4509045514</v>
      </c>
      <c r="E15" s="7" t="s">
        <v>89</v>
      </c>
      <c r="F15" s="7" t="s">
        <v>90</v>
      </c>
      <c r="G15" s="9">
        <v>17749</v>
      </c>
      <c r="H15" s="7" t="s">
        <v>55</v>
      </c>
      <c r="I15" s="6" t="s">
        <v>35</v>
      </c>
      <c r="J15" s="6"/>
      <c r="K15" s="6"/>
      <c r="L15" s="6" t="s">
        <v>37</v>
      </c>
      <c r="M15" s="6"/>
      <c r="N15" s="6"/>
      <c r="O15" s="6"/>
      <c r="P15" s="6" t="s">
        <v>93</v>
      </c>
      <c r="Q15" s="6" t="s">
        <v>57</v>
      </c>
      <c r="R15" s="6"/>
      <c r="S15" s="6"/>
      <c r="T15" s="6"/>
      <c r="U15" s="6"/>
      <c r="V15" s="6"/>
      <c r="W15" s="6"/>
      <c r="X15" s="6" t="s">
        <v>74</v>
      </c>
      <c r="Y15" s="6" t="s">
        <v>71</v>
      </c>
      <c r="Z15" s="6"/>
      <c r="AA15" s="6"/>
      <c r="AB15" s="6"/>
      <c r="AC15" s="6"/>
      <c r="AD15" s="6"/>
      <c r="AE15" s="6" t="s">
        <v>59</v>
      </c>
      <c r="AF15" s="6"/>
      <c r="AG15" s="6" t="s">
        <v>59</v>
      </c>
      <c r="AH15" s="6"/>
      <c r="AI15" s="6"/>
      <c r="AJ15" s="6"/>
      <c r="AK15" s="6"/>
      <c r="AL15" s="6"/>
      <c r="AM15" s="6"/>
      <c r="AN15" s="6" t="s">
        <v>74</v>
      </c>
      <c r="AO15" s="6" t="s">
        <v>71</v>
      </c>
      <c r="AP15" s="6"/>
      <c r="AQ15" s="6" t="s">
        <v>57</v>
      </c>
      <c r="AR15" s="6" t="s">
        <v>57</v>
      </c>
    </row>
    <row r="16" spans="1:44" s="54" customFormat="1" ht="15" customHeight="1">
      <c r="A16" s="6"/>
      <c r="B16" s="6" t="s">
        <v>51</v>
      </c>
      <c r="C16" s="7" t="s">
        <v>94</v>
      </c>
      <c r="D16" s="7">
        <v>4981668961</v>
      </c>
      <c r="E16" s="7" t="s">
        <v>65</v>
      </c>
      <c r="F16" s="6" t="s">
        <v>66</v>
      </c>
      <c r="G16" s="9">
        <v>22717</v>
      </c>
      <c r="H16" s="7" t="s">
        <v>63</v>
      </c>
      <c r="I16" s="6" t="s">
        <v>35</v>
      </c>
      <c r="J16" s="6" t="s">
        <v>37</v>
      </c>
      <c r="K16" s="6"/>
      <c r="L16" s="6"/>
      <c r="M16" s="6"/>
      <c r="N16" s="6"/>
      <c r="O16" s="6"/>
      <c r="P16" s="6" t="s">
        <v>95</v>
      </c>
      <c r="Q16" s="6" t="s">
        <v>57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 t="s">
        <v>96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1:44" s="54" customFormat="1" ht="15" customHeight="1">
      <c r="A17" s="6"/>
      <c r="B17" s="6" t="s">
        <v>51</v>
      </c>
      <c r="C17" s="7" t="s">
        <v>97</v>
      </c>
      <c r="D17" s="7">
        <v>4343106829</v>
      </c>
      <c r="E17" s="7" t="s">
        <v>98</v>
      </c>
      <c r="F17" s="7" t="s">
        <v>99</v>
      </c>
      <c r="G17" s="9">
        <v>14046</v>
      </c>
      <c r="H17" s="7" t="s">
        <v>63</v>
      </c>
      <c r="I17" s="6" t="s">
        <v>35</v>
      </c>
      <c r="J17" s="6"/>
      <c r="K17" s="6" t="s">
        <v>37</v>
      </c>
      <c r="L17" s="6"/>
      <c r="M17" s="6"/>
      <c r="N17" s="6"/>
      <c r="O17" s="6"/>
      <c r="P17" s="6" t="s">
        <v>100</v>
      </c>
      <c r="Q17" s="6" t="s">
        <v>57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 t="s">
        <v>101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s="54" customFormat="1" ht="15" customHeight="1">
      <c r="A18" s="6"/>
      <c r="B18" s="6" t="s">
        <v>51</v>
      </c>
      <c r="C18" s="7" t="s">
        <v>102</v>
      </c>
      <c r="D18" s="7">
        <v>4125839018</v>
      </c>
      <c r="E18" s="7" t="s">
        <v>53</v>
      </c>
      <c r="F18" s="7" t="s">
        <v>54</v>
      </c>
      <c r="G18" s="9">
        <v>24412</v>
      </c>
      <c r="H18" s="7" t="s">
        <v>55</v>
      </c>
      <c r="I18" s="6" t="s">
        <v>35</v>
      </c>
      <c r="J18" s="6"/>
      <c r="K18" s="6" t="s">
        <v>37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1:44" s="54" customFormat="1" ht="15" customHeight="1">
      <c r="A19" s="6"/>
      <c r="B19" s="6" t="s">
        <v>51</v>
      </c>
      <c r="C19" s="7" t="s">
        <v>103</v>
      </c>
      <c r="D19" s="7">
        <v>4381847067</v>
      </c>
      <c r="E19" s="7" t="s">
        <v>61</v>
      </c>
      <c r="F19" s="7" t="s">
        <v>62</v>
      </c>
      <c r="G19" s="9">
        <v>16804</v>
      </c>
      <c r="H19" s="7" t="s">
        <v>63</v>
      </c>
      <c r="I19" s="6" t="s">
        <v>35</v>
      </c>
      <c r="J19" s="6"/>
      <c r="K19" s="6" t="s">
        <v>37</v>
      </c>
      <c r="L19" s="6"/>
      <c r="M19" s="6"/>
      <c r="N19" s="6"/>
      <c r="O19" s="6"/>
      <c r="P19" s="6" t="s">
        <v>104</v>
      </c>
      <c r="Q19" s="6" t="s">
        <v>57</v>
      </c>
      <c r="R19" s="6"/>
      <c r="S19" s="6"/>
      <c r="T19" s="6"/>
      <c r="U19" s="6"/>
      <c r="V19" s="6"/>
      <c r="W19" s="6"/>
      <c r="X19" s="6" t="s">
        <v>71</v>
      </c>
      <c r="Y19" s="6"/>
      <c r="Z19" s="6"/>
      <c r="AA19" s="6"/>
      <c r="AB19" s="6"/>
      <c r="AC19" s="6"/>
      <c r="AD19" s="6" t="s">
        <v>105</v>
      </c>
      <c r="AE19" s="6" t="s">
        <v>106</v>
      </c>
      <c r="AF19" s="6"/>
      <c r="AG19" s="6" t="s">
        <v>106</v>
      </c>
      <c r="AH19" s="6"/>
      <c r="AI19" s="6"/>
      <c r="AJ19" s="6"/>
      <c r="AK19" s="6"/>
      <c r="AL19" s="6"/>
      <c r="AM19" s="6"/>
      <c r="AN19" s="6" t="s">
        <v>71</v>
      </c>
      <c r="AO19" s="6"/>
      <c r="AP19" s="6"/>
      <c r="AQ19" s="6" t="s">
        <v>57</v>
      </c>
      <c r="AR19" s="6" t="s">
        <v>57</v>
      </c>
    </row>
    <row r="20" spans="1:44" s="57" customFormat="1" ht="15" customHeight="1">
      <c r="A20" s="64"/>
      <c r="B20" s="64" t="s">
        <v>51</v>
      </c>
      <c r="C20" s="65" t="s">
        <v>107</v>
      </c>
      <c r="D20" s="65">
        <v>4849584632</v>
      </c>
      <c r="E20" s="65" t="s">
        <v>108</v>
      </c>
      <c r="F20" s="65" t="s">
        <v>109</v>
      </c>
      <c r="G20" s="66">
        <v>23027</v>
      </c>
      <c r="H20" s="65" t="s">
        <v>63</v>
      </c>
      <c r="I20" s="64" t="s">
        <v>35</v>
      </c>
      <c r="J20" s="64"/>
      <c r="K20" s="64" t="s">
        <v>37</v>
      </c>
      <c r="L20" s="64"/>
      <c r="M20" s="64"/>
      <c r="N20" s="64"/>
      <c r="O20" s="64"/>
      <c r="P20" s="64" t="s">
        <v>110</v>
      </c>
      <c r="Q20" s="64" t="s">
        <v>57</v>
      </c>
      <c r="R20" s="64"/>
      <c r="S20" s="64" t="s">
        <v>111</v>
      </c>
      <c r="T20" s="64" t="s">
        <v>112</v>
      </c>
      <c r="U20" s="64" t="s">
        <v>71</v>
      </c>
      <c r="V20" s="64" t="s">
        <v>74</v>
      </c>
      <c r="W20" s="64" t="s">
        <v>113</v>
      </c>
      <c r="X20" s="64" t="s">
        <v>114</v>
      </c>
      <c r="Y20" s="64" t="s">
        <v>115</v>
      </c>
      <c r="Z20" s="64"/>
      <c r="AA20" s="64"/>
      <c r="AB20" s="64"/>
      <c r="AC20" s="64"/>
      <c r="AD20" s="64" t="s">
        <v>87</v>
      </c>
      <c r="AE20" s="64" t="s">
        <v>116</v>
      </c>
      <c r="AF20" s="64" t="s">
        <v>117</v>
      </c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</row>
    <row r="21" spans="1:44" s="54" customFormat="1" ht="15" customHeight="1">
      <c r="A21" s="6"/>
      <c r="B21" s="6" t="s">
        <v>51</v>
      </c>
      <c r="C21" s="7" t="s">
        <v>118</v>
      </c>
      <c r="D21" s="7">
        <v>4507900077</v>
      </c>
      <c r="E21" s="7" t="s">
        <v>53</v>
      </c>
      <c r="F21" s="7" t="s">
        <v>54</v>
      </c>
      <c r="G21" s="9">
        <v>18580</v>
      </c>
      <c r="H21" s="7" t="s">
        <v>55</v>
      </c>
      <c r="I21" s="6" t="s">
        <v>35</v>
      </c>
      <c r="J21" s="6"/>
      <c r="K21" s="6" t="s">
        <v>37</v>
      </c>
      <c r="L21" s="6"/>
      <c r="M21" s="6"/>
      <c r="N21" s="6"/>
      <c r="O21" s="6"/>
      <c r="P21" s="6" t="s">
        <v>119</v>
      </c>
      <c r="Q21" s="6" t="s">
        <v>57</v>
      </c>
      <c r="R21" s="6"/>
      <c r="S21" s="6"/>
      <c r="T21" s="6"/>
      <c r="U21" s="6"/>
      <c r="V21" s="6"/>
      <c r="W21" s="6"/>
      <c r="X21" s="6" t="s">
        <v>120</v>
      </c>
      <c r="Y21" s="6"/>
      <c r="Z21" s="6"/>
      <c r="AA21" s="6"/>
      <c r="AB21" s="6"/>
      <c r="AC21" s="6"/>
      <c r="AD21" s="6"/>
      <c r="AE21" s="6" t="s">
        <v>71</v>
      </c>
      <c r="AF21" s="6"/>
      <c r="AG21" s="6" t="s">
        <v>120</v>
      </c>
      <c r="AH21" s="6" t="s">
        <v>71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1:44" s="54" customFormat="1" ht="15" customHeight="1">
      <c r="A22" s="6"/>
      <c r="B22" s="6" t="s">
        <v>51</v>
      </c>
      <c r="C22" s="7" t="s">
        <v>121</v>
      </c>
      <c r="D22" s="7">
        <v>4848999995</v>
      </c>
      <c r="E22" s="7" t="s">
        <v>53</v>
      </c>
      <c r="F22" s="7" t="s">
        <v>54</v>
      </c>
      <c r="G22" s="9">
        <v>22651</v>
      </c>
      <c r="H22" s="7" t="s">
        <v>55</v>
      </c>
      <c r="I22" s="6" t="s">
        <v>35</v>
      </c>
      <c r="J22" s="6"/>
      <c r="K22" s="6" t="s">
        <v>37</v>
      </c>
      <c r="L22" s="6"/>
      <c r="M22" s="6"/>
      <c r="N22" s="6"/>
      <c r="O22" s="6"/>
      <c r="P22" s="6" t="s">
        <v>122</v>
      </c>
      <c r="Q22" s="6" t="s">
        <v>57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s="54" customFormat="1" ht="15" customHeight="1">
      <c r="A23" s="6"/>
      <c r="B23" s="6" t="s">
        <v>51</v>
      </c>
      <c r="C23" s="7" t="s">
        <v>123</v>
      </c>
      <c r="D23" s="7">
        <v>4369011124</v>
      </c>
      <c r="E23" s="7" t="s">
        <v>65</v>
      </c>
      <c r="F23" s="7" t="s">
        <v>124</v>
      </c>
      <c r="G23" s="9">
        <v>12341</v>
      </c>
      <c r="H23" s="7" t="s">
        <v>55</v>
      </c>
      <c r="I23" s="6" t="s">
        <v>35</v>
      </c>
      <c r="J23" s="6"/>
      <c r="K23" s="6"/>
      <c r="L23" s="6" t="s">
        <v>37</v>
      </c>
      <c r="M23" s="6"/>
      <c r="N23" s="6"/>
      <c r="O23" s="6"/>
      <c r="P23" s="6" t="s">
        <v>125</v>
      </c>
      <c r="Q23" s="6" t="s">
        <v>57</v>
      </c>
      <c r="R23" s="6"/>
      <c r="S23" s="6"/>
      <c r="T23" s="6"/>
      <c r="U23" s="6"/>
      <c r="V23" s="6"/>
      <c r="W23" s="6"/>
      <c r="X23" s="6" t="s">
        <v>71</v>
      </c>
      <c r="Y23" s="6"/>
      <c r="Z23" s="6"/>
      <c r="AA23" s="6"/>
      <c r="AB23" s="6"/>
      <c r="AC23" s="6"/>
      <c r="AD23" s="6" t="s">
        <v>74</v>
      </c>
      <c r="AE23" s="6" t="s">
        <v>106</v>
      </c>
      <c r="AF23" s="6"/>
      <c r="AG23" s="6" t="s">
        <v>106</v>
      </c>
      <c r="AH23" s="6"/>
      <c r="AI23" s="6"/>
      <c r="AJ23" s="6"/>
      <c r="AK23" s="6"/>
      <c r="AL23" s="6"/>
      <c r="AM23" s="6"/>
      <c r="AN23" s="6" t="s">
        <v>71</v>
      </c>
      <c r="AO23" s="6"/>
      <c r="AP23" s="6"/>
      <c r="AQ23" s="6" t="s">
        <v>57</v>
      </c>
      <c r="AR23" s="6" t="s">
        <v>57</v>
      </c>
    </row>
    <row r="24" spans="1:44" s="54" customFormat="1" ht="15" customHeight="1">
      <c r="A24" s="6"/>
      <c r="B24" s="6" t="s">
        <v>51</v>
      </c>
      <c r="C24" s="7" t="s">
        <v>126</v>
      </c>
      <c r="D24" s="7">
        <v>4382451159</v>
      </c>
      <c r="E24" s="7" t="s">
        <v>61</v>
      </c>
      <c r="F24" s="7" t="s">
        <v>62</v>
      </c>
      <c r="G24" s="9">
        <v>16415</v>
      </c>
      <c r="H24" s="7" t="s">
        <v>63</v>
      </c>
      <c r="I24" s="6" t="s">
        <v>35</v>
      </c>
      <c r="J24" s="6"/>
      <c r="K24" s="6"/>
      <c r="L24" s="6" t="s">
        <v>37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s="54" customFormat="1" ht="15" customHeight="1">
      <c r="A25" s="6"/>
      <c r="B25" s="6" t="s">
        <v>51</v>
      </c>
      <c r="C25" s="7" t="s">
        <v>127</v>
      </c>
      <c r="D25" s="7">
        <v>4509222475</v>
      </c>
      <c r="E25" s="7" t="s">
        <v>61</v>
      </c>
      <c r="F25" s="7" t="s">
        <v>62</v>
      </c>
      <c r="G25" s="9">
        <v>17895</v>
      </c>
      <c r="H25" s="7" t="s">
        <v>63</v>
      </c>
      <c r="I25" s="6" t="s">
        <v>35</v>
      </c>
      <c r="J25" s="6"/>
      <c r="K25" s="6"/>
      <c r="L25" s="6" t="s">
        <v>37</v>
      </c>
      <c r="M25" s="6"/>
      <c r="N25" s="6"/>
      <c r="O25" s="6"/>
      <c r="P25" s="6" t="s">
        <v>128</v>
      </c>
      <c r="Q25" s="6" t="s">
        <v>57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 t="s">
        <v>129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1:44" s="54" customFormat="1" ht="15" customHeight="1">
      <c r="A26" s="6"/>
      <c r="B26" s="6" t="s">
        <v>51</v>
      </c>
      <c r="C26" s="7" t="s">
        <v>130</v>
      </c>
      <c r="D26" s="7">
        <v>4583316437</v>
      </c>
      <c r="E26" s="7" t="s">
        <v>61</v>
      </c>
      <c r="F26" s="7" t="s">
        <v>62</v>
      </c>
      <c r="G26" s="9">
        <v>20796</v>
      </c>
      <c r="H26" s="7" t="s">
        <v>63</v>
      </c>
      <c r="I26" s="6" t="s">
        <v>35</v>
      </c>
      <c r="J26" s="6"/>
      <c r="K26" s="6" t="s">
        <v>37</v>
      </c>
      <c r="L26" s="6"/>
      <c r="M26" s="6"/>
      <c r="N26" s="6"/>
      <c r="O26" s="6"/>
      <c r="P26" s="6" t="s">
        <v>131</v>
      </c>
      <c r="Q26" s="6" t="s">
        <v>57</v>
      </c>
      <c r="R26" s="6"/>
      <c r="S26" s="6"/>
      <c r="T26" s="6"/>
      <c r="U26" s="6"/>
      <c r="V26" s="6"/>
      <c r="W26" s="6"/>
      <c r="X26" s="6" t="s">
        <v>81</v>
      </c>
      <c r="Y26" s="6" t="s">
        <v>59</v>
      </c>
      <c r="Z26" s="6" t="s">
        <v>58</v>
      </c>
      <c r="AA26" s="6" t="s">
        <v>132</v>
      </c>
      <c r="AB26" s="6"/>
      <c r="AC26" s="6"/>
      <c r="AD26" s="6" t="s">
        <v>133</v>
      </c>
      <c r="AE26" s="6" t="s">
        <v>82</v>
      </c>
      <c r="AF26" s="6"/>
      <c r="AG26" s="6" t="s">
        <v>82</v>
      </c>
      <c r="AH26" s="6"/>
      <c r="AI26" s="6"/>
      <c r="AJ26" s="6"/>
      <c r="AK26" s="6"/>
      <c r="AL26" s="6"/>
      <c r="AM26" s="6"/>
      <c r="AN26" s="6" t="s">
        <v>81</v>
      </c>
      <c r="AO26" s="6" t="s">
        <v>59</v>
      </c>
      <c r="AP26" s="6"/>
      <c r="AQ26" s="6" t="s">
        <v>57</v>
      </c>
      <c r="AR26" s="6" t="s">
        <v>57</v>
      </c>
    </row>
    <row r="27" spans="1:44" s="54" customFormat="1" ht="15" customHeight="1">
      <c r="A27" s="6"/>
      <c r="B27" s="6" t="s">
        <v>51</v>
      </c>
      <c r="C27" s="7" t="s">
        <v>134</v>
      </c>
      <c r="D27" s="7">
        <v>4643702346</v>
      </c>
      <c r="E27" s="7" t="s">
        <v>135</v>
      </c>
      <c r="F27" s="7" t="s">
        <v>136</v>
      </c>
      <c r="G27" s="9">
        <v>13034</v>
      </c>
      <c r="H27" s="7" t="s">
        <v>55</v>
      </c>
      <c r="I27" s="6" t="s">
        <v>35</v>
      </c>
      <c r="J27" s="6"/>
      <c r="K27" s="6"/>
      <c r="L27" s="6" t="s">
        <v>37</v>
      </c>
      <c r="M27" s="6"/>
      <c r="N27" s="6"/>
      <c r="O27" s="6"/>
      <c r="P27" s="6"/>
      <c r="Q27" s="6"/>
      <c r="R27" s="6" t="s">
        <v>137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1:44" s="54" customFormat="1" ht="15" customHeight="1">
      <c r="A28" s="6"/>
      <c r="B28" s="6" t="s">
        <v>51</v>
      </c>
      <c r="C28" s="7" t="s">
        <v>138</v>
      </c>
      <c r="D28" s="7">
        <v>4787155423</v>
      </c>
      <c r="E28" s="7" t="s">
        <v>53</v>
      </c>
      <c r="F28" s="7" t="s">
        <v>54</v>
      </c>
      <c r="G28" s="9">
        <v>23387</v>
      </c>
      <c r="H28" s="7" t="s">
        <v>55</v>
      </c>
      <c r="I28" s="6" t="s">
        <v>35</v>
      </c>
      <c r="J28" s="6"/>
      <c r="K28" s="6" t="s">
        <v>37</v>
      </c>
      <c r="L28" s="6"/>
      <c r="M28" s="6"/>
      <c r="N28" s="6"/>
      <c r="O28" s="6"/>
      <c r="P28" s="6" t="s">
        <v>139</v>
      </c>
      <c r="Q28" s="6" t="s">
        <v>57</v>
      </c>
      <c r="R28" s="6"/>
      <c r="S28" s="6"/>
      <c r="T28" s="6"/>
      <c r="U28" s="6"/>
      <c r="V28" s="6"/>
      <c r="W28" s="6"/>
      <c r="X28" s="6" t="s">
        <v>71</v>
      </c>
      <c r="Y28" s="6" t="s">
        <v>106</v>
      </c>
      <c r="Z28" s="6" t="s">
        <v>74</v>
      </c>
      <c r="AA28" s="6"/>
      <c r="AB28" s="6"/>
      <c r="AC28" s="6"/>
      <c r="AD28" s="6"/>
      <c r="AE28" s="6" t="s">
        <v>140</v>
      </c>
      <c r="AF28" s="6"/>
      <c r="AG28" s="6" t="s">
        <v>140</v>
      </c>
      <c r="AH28" s="6"/>
      <c r="AI28" s="6"/>
      <c r="AJ28" s="6"/>
      <c r="AK28" s="6"/>
      <c r="AL28" s="6"/>
      <c r="AM28" s="6"/>
      <c r="AN28" s="6" t="s">
        <v>71</v>
      </c>
      <c r="AO28" s="6" t="s">
        <v>106</v>
      </c>
      <c r="AP28" s="6"/>
      <c r="AQ28" s="6" t="s">
        <v>57</v>
      </c>
      <c r="AR28" s="6" t="s">
        <v>57</v>
      </c>
    </row>
    <row r="29" spans="1:44" s="54" customFormat="1" ht="15" customHeight="1">
      <c r="A29" s="6"/>
      <c r="B29" s="6" t="s">
        <v>51</v>
      </c>
      <c r="C29" s="7" t="s">
        <v>141</v>
      </c>
      <c r="D29" s="7">
        <v>4281010157</v>
      </c>
      <c r="E29" s="7" t="s">
        <v>142</v>
      </c>
      <c r="F29" s="7" t="s">
        <v>143</v>
      </c>
      <c r="G29" s="9">
        <v>16365</v>
      </c>
      <c r="H29" s="7" t="s">
        <v>55</v>
      </c>
      <c r="I29" s="6" t="s">
        <v>35</v>
      </c>
      <c r="J29" s="6"/>
      <c r="K29" s="6"/>
      <c r="L29" s="6" t="s">
        <v>37</v>
      </c>
      <c r="M29" s="6"/>
      <c r="N29" s="6"/>
      <c r="O29" s="6"/>
      <c r="P29" s="6" t="s">
        <v>144</v>
      </c>
      <c r="Q29" s="6" t="s">
        <v>57</v>
      </c>
      <c r="R29" s="6"/>
      <c r="S29" s="6"/>
      <c r="T29" s="6"/>
      <c r="U29" s="6"/>
      <c r="V29" s="6"/>
      <c r="W29" s="6"/>
      <c r="X29" s="6" t="s">
        <v>71</v>
      </c>
      <c r="Y29" s="6"/>
      <c r="Z29" s="6"/>
      <c r="AA29" s="6"/>
      <c r="AB29" s="6"/>
      <c r="AC29" s="6"/>
      <c r="AD29" s="6"/>
      <c r="AE29" s="6" t="s">
        <v>59</v>
      </c>
      <c r="AF29" s="6"/>
      <c r="AG29" s="6" t="s">
        <v>59</v>
      </c>
      <c r="AH29" s="6" t="s">
        <v>71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s="55" customFormat="1" ht="15" hidden="1" customHeight="1">
      <c r="A30" s="61" t="s">
        <v>57</v>
      </c>
      <c r="B30" s="61" t="s">
        <v>51</v>
      </c>
      <c r="C30" s="62" t="s">
        <v>145</v>
      </c>
      <c r="D30" s="62"/>
      <c r="E30" s="62"/>
      <c r="F30" s="62" t="s">
        <v>146</v>
      </c>
      <c r="G30" s="63">
        <v>22641</v>
      </c>
      <c r="H30" s="62" t="s">
        <v>63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</row>
    <row r="31" spans="1:44" s="54" customFormat="1" ht="15" customHeight="1">
      <c r="A31" s="6"/>
      <c r="B31" s="6" t="s">
        <v>51</v>
      </c>
      <c r="C31" s="7" t="s">
        <v>147</v>
      </c>
      <c r="D31" s="7">
        <v>4848755808</v>
      </c>
      <c r="E31" s="7" t="s">
        <v>108</v>
      </c>
      <c r="F31" s="7" t="s">
        <v>148</v>
      </c>
      <c r="G31" s="9">
        <v>21658</v>
      </c>
      <c r="H31" s="7" t="s">
        <v>55</v>
      </c>
      <c r="I31" s="6" t="s">
        <v>35</v>
      </c>
      <c r="J31" s="6"/>
      <c r="K31" s="6" t="s">
        <v>37</v>
      </c>
      <c r="L31" s="6"/>
      <c r="M31" s="6"/>
      <c r="N31" s="6"/>
      <c r="O31" s="6"/>
      <c r="P31" s="6" t="s">
        <v>149</v>
      </c>
      <c r="Q31" s="6" t="s">
        <v>57</v>
      </c>
      <c r="R31" s="6"/>
      <c r="S31" s="6"/>
      <c r="T31" s="6"/>
      <c r="U31" s="6"/>
      <c r="V31" s="6"/>
      <c r="W31" s="6"/>
      <c r="X31" s="6" t="s">
        <v>59</v>
      </c>
      <c r="Y31" s="6" t="s">
        <v>58</v>
      </c>
      <c r="Z31" s="6"/>
      <c r="AA31" s="6"/>
      <c r="AB31" s="6"/>
      <c r="AC31" s="6"/>
      <c r="AD31" s="6"/>
      <c r="AE31" s="6" t="s">
        <v>81</v>
      </c>
      <c r="AF31" s="6"/>
      <c r="AG31" s="6" t="s">
        <v>81</v>
      </c>
      <c r="AH31" s="6"/>
      <c r="AI31" s="6"/>
      <c r="AJ31" s="6"/>
      <c r="AK31" s="6"/>
      <c r="AL31" s="6"/>
      <c r="AM31" s="6"/>
      <c r="AN31" s="6" t="s">
        <v>59</v>
      </c>
      <c r="AO31" s="6" t="s">
        <v>58</v>
      </c>
      <c r="AP31" s="6"/>
      <c r="AQ31" s="6" t="s">
        <v>57</v>
      </c>
      <c r="AR31" s="6" t="s">
        <v>57</v>
      </c>
    </row>
    <row r="32" spans="1:44" s="54" customFormat="1" ht="15" customHeight="1">
      <c r="A32" s="6"/>
      <c r="B32" s="6" t="s">
        <v>51</v>
      </c>
      <c r="C32" s="7" t="s">
        <v>150</v>
      </c>
      <c r="D32" s="7">
        <v>6498724773</v>
      </c>
      <c r="E32" s="7" t="s">
        <v>61</v>
      </c>
      <c r="F32" s="7" t="s">
        <v>69</v>
      </c>
      <c r="G32" s="9">
        <v>25907</v>
      </c>
      <c r="H32" s="7" t="s">
        <v>63</v>
      </c>
      <c r="I32" s="6" t="s">
        <v>35</v>
      </c>
      <c r="J32" s="6"/>
      <c r="K32" s="6" t="s">
        <v>37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2:44" s="54" customFormat="1" ht="15" customHeight="1">
      <c r="B33" s="6" t="s">
        <v>51</v>
      </c>
      <c r="C33" s="7" t="s">
        <v>151</v>
      </c>
      <c r="D33" s="7">
        <v>4382193907</v>
      </c>
      <c r="E33" s="7" t="s">
        <v>152</v>
      </c>
      <c r="F33" s="7" t="s">
        <v>153</v>
      </c>
      <c r="G33" s="9">
        <v>16344</v>
      </c>
      <c r="H33" s="7" t="s">
        <v>63</v>
      </c>
      <c r="I33" s="6" t="s">
        <v>35</v>
      </c>
      <c r="J33" s="6"/>
      <c r="K33" s="6" t="s">
        <v>37</v>
      </c>
      <c r="L33" s="6"/>
      <c r="M33" s="6"/>
      <c r="N33" s="6"/>
      <c r="O33" s="6"/>
      <c r="P33" s="6" t="s">
        <v>154</v>
      </c>
      <c r="Q33" s="6" t="s">
        <v>57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 t="s">
        <v>59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2:44" s="54" customFormat="1" ht="15" customHeight="1">
      <c r="B34" s="6" t="s">
        <v>51</v>
      </c>
      <c r="C34" s="7" t="s">
        <v>155</v>
      </c>
      <c r="D34" s="7">
        <v>4860516370</v>
      </c>
      <c r="E34" s="7" t="s">
        <v>53</v>
      </c>
      <c r="F34" s="7" t="s">
        <v>54</v>
      </c>
      <c r="G34" s="9">
        <v>21608</v>
      </c>
      <c r="H34" s="7" t="s">
        <v>55</v>
      </c>
      <c r="I34" s="6" t="s">
        <v>35</v>
      </c>
      <c r="J34" s="6"/>
      <c r="K34" s="6" t="s">
        <v>37</v>
      </c>
      <c r="L34" s="6"/>
      <c r="M34" s="6"/>
      <c r="N34" s="6"/>
      <c r="O34" s="6"/>
      <c r="P34" s="6" t="s">
        <v>156</v>
      </c>
      <c r="Q34" s="6" t="s">
        <v>57</v>
      </c>
      <c r="R34" s="6"/>
      <c r="S34" s="6"/>
      <c r="T34" s="6"/>
      <c r="U34" s="6"/>
      <c r="V34" s="6"/>
      <c r="W34" s="6"/>
      <c r="X34" s="6" t="s">
        <v>81</v>
      </c>
      <c r="Y34" s="6" t="s">
        <v>59</v>
      </c>
      <c r="Z34" s="6" t="s">
        <v>71</v>
      </c>
      <c r="AA34" s="6"/>
      <c r="AB34" s="6"/>
      <c r="AC34" s="6"/>
      <c r="AD34" s="6"/>
      <c r="AE34" s="6" t="s">
        <v>58</v>
      </c>
      <c r="AF34" s="6"/>
      <c r="AG34" s="6" t="s">
        <v>81</v>
      </c>
      <c r="AH34" s="6" t="s">
        <v>58</v>
      </c>
      <c r="AI34" s="6"/>
      <c r="AJ34" s="6"/>
      <c r="AK34" s="6"/>
      <c r="AL34" s="6"/>
      <c r="AM34" s="6"/>
      <c r="AN34" s="6" t="s">
        <v>59</v>
      </c>
      <c r="AO34" s="6" t="s">
        <v>71</v>
      </c>
      <c r="AP34" s="6"/>
      <c r="AQ34" s="6" t="s">
        <v>57</v>
      </c>
      <c r="AR34" s="6" t="s">
        <v>57</v>
      </c>
    </row>
    <row r="35" spans="2:44" s="54" customFormat="1" ht="15" customHeight="1">
      <c r="B35" s="6" t="s">
        <v>51</v>
      </c>
      <c r="C35" s="7" t="s">
        <v>157</v>
      </c>
      <c r="D35" s="7">
        <v>4581283973</v>
      </c>
      <c r="E35" s="7" t="s">
        <v>53</v>
      </c>
      <c r="F35" s="7" t="s">
        <v>54</v>
      </c>
      <c r="G35" s="9">
        <v>19164</v>
      </c>
      <c r="H35" s="7" t="s">
        <v>55</v>
      </c>
      <c r="I35" s="6" t="s">
        <v>35</v>
      </c>
      <c r="J35" s="6"/>
      <c r="K35" s="6" t="s">
        <v>37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2:44" s="54" customFormat="1" ht="15" customHeight="1">
      <c r="B36" s="6" t="s">
        <v>51</v>
      </c>
      <c r="C36" s="7" t="s">
        <v>158</v>
      </c>
      <c r="D36" s="7">
        <v>4380803058</v>
      </c>
      <c r="E36" s="7" t="s">
        <v>53</v>
      </c>
      <c r="F36" s="7" t="s">
        <v>159</v>
      </c>
      <c r="G36" s="9">
        <v>14539</v>
      </c>
      <c r="H36" s="7" t="s">
        <v>55</v>
      </c>
      <c r="I36" s="6" t="s">
        <v>35</v>
      </c>
      <c r="J36" s="6"/>
      <c r="K36" s="6"/>
      <c r="L36" s="6" t="s">
        <v>37</v>
      </c>
      <c r="M36" s="6"/>
      <c r="N36" s="6"/>
      <c r="O36" s="6"/>
      <c r="P36" s="6" t="s">
        <v>160</v>
      </c>
      <c r="Q36" s="6" t="s">
        <v>57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2:44" s="54" customFormat="1" ht="15" customHeight="1">
      <c r="B37" s="6" t="s">
        <v>51</v>
      </c>
      <c r="C37" s="7" t="s">
        <v>161</v>
      </c>
      <c r="D37" s="7">
        <v>4520737753</v>
      </c>
      <c r="E37" s="7" t="s">
        <v>61</v>
      </c>
      <c r="F37" s="7" t="s">
        <v>62</v>
      </c>
      <c r="G37" s="9">
        <v>18598</v>
      </c>
      <c r="H37" s="7" t="s">
        <v>63</v>
      </c>
      <c r="I37" s="6" t="s">
        <v>35</v>
      </c>
      <c r="J37" s="6"/>
      <c r="K37" s="6"/>
      <c r="L37" s="6" t="s">
        <v>37</v>
      </c>
      <c r="M37" s="6"/>
      <c r="N37" s="6"/>
      <c r="O37" s="6"/>
      <c r="P37" s="6" t="s">
        <v>162</v>
      </c>
      <c r="Q37" s="6" t="s">
        <v>57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 t="s">
        <v>58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2:44" s="54" customFormat="1" ht="15" customHeight="1">
      <c r="B38" s="6" t="s">
        <v>51</v>
      </c>
      <c r="C38" s="7" t="s">
        <v>163</v>
      </c>
      <c r="D38" s="7">
        <v>6399086442</v>
      </c>
      <c r="E38" s="7" t="s">
        <v>61</v>
      </c>
      <c r="F38" s="7" t="s">
        <v>69</v>
      </c>
      <c r="G38" s="9">
        <v>18354</v>
      </c>
      <c r="H38" s="7" t="s">
        <v>63</v>
      </c>
      <c r="I38" s="6" t="s">
        <v>35</v>
      </c>
      <c r="J38" s="6"/>
      <c r="K38" s="6" t="s">
        <v>37</v>
      </c>
      <c r="L38" s="6"/>
      <c r="M38" s="6"/>
      <c r="N38" s="6"/>
      <c r="O38" s="6"/>
      <c r="P38" s="6" t="s">
        <v>164</v>
      </c>
      <c r="Q38" s="6" t="s">
        <v>57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2:44" s="54" customFormat="1" ht="15" customHeight="1">
      <c r="B39" s="6" t="s">
        <v>51</v>
      </c>
      <c r="C39" s="7" t="s">
        <v>165</v>
      </c>
      <c r="D39" s="7">
        <v>7142262737</v>
      </c>
      <c r="E39" s="7" t="s">
        <v>53</v>
      </c>
      <c r="F39" s="7" t="s">
        <v>54</v>
      </c>
      <c r="G39" s="9">
        <v>28330</v>
      </c>
      <c r="H39" s="7" t="s">
        <v>55</v>
      </c>
      <c r="I39" s="6" t="s">
        <v>35</v>
      </c>
      <c r="J39" s="6"/>
      <c r="K39" s="6" t="s">
        <v>37</v>
      </c>
      <c r="L39" s="6"/>
      <c r="M39" s="6"/>
      <c r="N39" s="6"/>
      <c r="O39" s="6"/>
      <c r="P39" s="6" t="s">
        <v>166</v>
      </c>
      <c r="Q39" s="6" t="s">
        <v>57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 t="s">
        <v>58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2:44" s="54" customFormat="1" ht="15" customHeight="1">
      <c r="B40" s="6" t="s">
        <v>51</v>
      </c>
      <c r="C40" s="7" t="s">
        <v>167</v>
      </c>
      <c r="D40" s="7">
        <v>4520391709</v>
      </c>
      <c r="E40" s="7" t="s">
        <v>61</v>
      </c>
      <c r="F40" s="7" t="s">
        <v>62</v>
      </c>
      <c r="G40" s="9">
        <v>18321</v>
      </c>
      <c r="H40" s="7" t="s">
        <v>63</v>
      </c>
      <c r="I40" s="6" t="s">
        <v>35</v>
      </c>
      <c r="J40" s="6"/>
      <c r="K40" s="6" t="s">
        <v>37</v>
      </c>
      <c r="L40" s="6"/>
      <c r="M40" s="6"/>
      <c r="N40" s="6"/>
      <c r="O40" s="6"/>
      <c r="P40" s="6" t="s">
        <v>80</v>
      </c>
      <c r="Q40" s="6" t="s">
        <v>57</v>
      </c>
      <c r="R40" s="6"/>
      <c r="S40" s="6"/>
      <c r="T40" s="6"/>
      <c r="U40" s="6"/>
      <c r="V40" s="6"/>
      <c r="W40" s="6"/>
      <c r="X40" s="6" t="s">
        <v>58</v>
      </c>
      <c r="Y40" s="6" t="s">
        <v>82</v>
      </c>
      <c r="Z40" s="6"/>
      <c r="AA40" s="6"/>
      <c r="AB40" s="6"/>
      <c r="AC40" s="6"/>
      <c r="AD40" s="6" t="s">
        <v>81</v>
      </c>
      <c r="AE40" s="6" t="s">
        <v>59</v>
      </c>
      <c r="AF40" s="6"/>
      <c r="AG40" s="6" t="s">
        <v>59</v>
      </c>
      <c r="AH40" s="6"/>
      <c r="AI40" s="6"/>
      <c r="AJ40" s="6"/>
      <c r="AK40" s="6"/>
      <c r="AL40" s="6"/>
      <c r="AM40" s="6"/>
      <c r="AN40" s="6" t="s">
        <v>58</v>
      </c>
      <c r="AO40" s="6" t="s">
        <v>82</v>
      </c>
      <c r="AP40" s="6"/>
      <c r="AQ40" s="6" t="s">
        <v>57</v>
      </c>
      <c r="AR40" s="6" t="s">
        <v>57</v>
      </c>
    </row>
    <row r="41" spans="2:44" s="54" customFormat="1" ht="15" customHeight="1">
      <c r="B41" s="6" t="s">
        <v>51</v>
      </c>
      <c r="C41" s="7" t="s">
        <v>168</v>
      </c>
      <c r="D41" s="7">
        <v>4088930010</v>
      </c>
      <c r="E41" s="7" t="s">
        <v>53</v>
      </c>
      <c r="F41" s="7" t="s">
        <v>54</v>
      </c>
      <c r="G41" s="9">
        <v>31374</v>
      </c>
      <c r="H41" s="7" t="s">
        <v>55</v>
      </c>
      <c r="I41" s="6" t="s">
        <v>35</v>
      </c>
      <c r="J41" s="6"/>
      <c r="K41" s="6" t="s">
        <v>37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2:44" s="54" customFormat="1" ht="15" customHeight="1">
      <c r="B42" s="6" t="s">
        <v>51</v>
      </c>
      <c r="C42" s="7" t="s">
        <v>169</v>
      </c>
      <c r="D42" s="7">
        <v>4124075472</v>
      </c>
      <c r="E42" s="7" t="s">
        <v>61</v>
      </c>
      <c r="F42" s="7" t="s">
        <v>170</v>
      </c>
      <c r="G42" s="9">
        <v>25474</v>
      </c>
      <c r="H42" s="7" t="s">
        <v>63</v>
      </c>
      <c r="I42" s="6" t="s">
        <v>35</v>
      </c>
      <c r="J42" s="6"/>
      <c r="K42" s="6" t="s">
        <v>37</v>
      </c>
      <c r="L42" s="6"/>
      <c r="M42" s="6"/>
      <c r="N42" s="6"/>
      <c r="O42" s="6"/>
      <c r="P42" s="6" t="s">
        <v>91</v>
      </c>
      <c r="Q42" s="6" t="s">
        <v>57</v>
      </c>
      <c r="R42" s="6"/>
      <c r="S42" s="6"/>
      <c r="T42" s="6"/>
      <c r="U42" s="6"/>
      <c r="V42" s="6"/>
      <c r="W42" s="6"/>
      <c r="X42" s="6" t="s">
        <v>58</v>
      </c>
      <c r="Y42" s="6"/>
      <c r="Z42" s="6"/>
      <c r="AA42" s="6"/>
      <c r="AB42" s="6"/>
      <c r="AC42" s="6"/>
      <c r="AD42" s="6"/>
      <c r="AE42" s="6" t="s">
        <v>59</v>
      </c>
      <c r="AF42" s="6"/>
      <c r="AG42" s="6" t="s">
        <v>59</v>
      </c>
      <c r="AH42" s="6"/>
      <c r="AI42" s="6"/>
      <c r="AJ42" s="6"/>
      <c r="AK42" s="6"/>
      <c r="AL42" s="6"/>
      <c r="AM42" s="6"/>
      <c r="AN42" s="6" t="s">
        <v>58</v>
      </c>
      <c r="AO42" s="6"/>
      <c r="AP42" s="6"/>
      <c r="AQ42" s="6" t="s">
        <v>57</v>
      </c>
      <c r="AR42" s="6" t="s">
        <v>57</v>
      </c>
    </row>
    <row r="43" spans="2:44" s="54" customFormat="1" ht="15" customHeight="1">
      <c r="B43" s="6" t="s">
        <v>51</v>
      </c>
      <c r="C43" s="7" t="s">
        <v>171</v>
      </c>
      <c r="D43" s="7">
        <v>4125541531</v>
      </c>
      <c r="E43" s="7" t="s">
        <v>152</v>
      </c>
      <c r="F43" s="7" t="s">
        <v>172</v>
      </c>
      <c r="G43" s="9">
        <v>27825</v>
      </c>
      <c r="H43" s="7" t="s">
        <v>63</v>
      </c>
      <c r="I43" s="6" t="s">
        <v>35</v>
      </c>
      <c r="J43" s="6"/>
      <c r="K43" s="6" t="s">
        <v>37</v>
      </c>
      <c r="L43" s="6"/>
      <c r="M43" s="6"/>
      <c r="N43" s="6"/>
      <c r="O43" s="6"/>
      <c r="P43" s="6" t="s">
        <v>91</v>
      </c>
      <c r="Q43" s="6" t="s">
        <v>57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 t="s">
        <v>173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2:44" s="54" customFormat="1" ht="15" customHeight="1">
      <c r="B44" s="6" t="s">
        <v>51</v>
      </c>
      <c r="C44" s="7" t="s">
        <v>174</v>
      </c>
      <c r="D44" s="7">
        <v>4406672605</v>
      </c>
      <c r="E44" s="7" t="s">
        <v>53</v>
      </c>
      <c r="F44" s="7" t="s">
        <v>54</v>
      </c>
      <c r="G44" s="9">
        <v>16985</v>
      </c>
      <c r="H44" s="7" t="s">
        <v>55</v>
      </c>
      <c r="I44" s="6" t="s">
        <v>35</v>
      </c>
      <c r="J44" s="6"/>
      <c r="K44" s="6" t="s">
        <v>37</v>
      </c>
      <c r="L44" s="6"/>
      <c r="M44" s="6"/>
      <c r="N44" s="6"/>
      <c r="O44" s="6"/>
      <c r="P44" s="6" t="s">
        <v>175</v>
      </c>
      <c r="Q44" s="6" t="s">
        <v>57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 t="s">
        <v>71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2:44" s="54" customFormat="1" ht="15" customHeight="1">
      <c r="B45" s="6" t="s">
        <v>51</v>
      </c>
      <c r="C45" s="7" t="s">
        <v>176</v>
      </c>
      <c r="D45" s="7">
        <v>4381374088</v>
      </c>
      <c r="E45" s="7" t="s">
        <v>152</v>
      </c>
      <c r="F45" s="7" t="s">
        <v>177</v>
      </c>
      <c r="G45" s="9">
        <v>14976</v>
      </c>
      <c r="H45" s="7" t="s">
        <v>55</v>
      </c>
      <c r="I45" s="6" t="s">
        <v>35</v>
      </c>
      <c r="J45" s="6"/>
      <c r="K45" s="6"/>
      <c r="L45" s="6" t="s">
        <v>37</v>
      </c>
      <c r="M45" s="6"/>
      <c r="N45" s="6"/>
      <c r="O45" s="6"/>
      <c r="P45" s="6" t="s">
        <v>178</v>
      </c>
      <c r="Q45" s="6" t="s">
        <v>57</v>
      </c>
      <c r="R45" s="6"/>
      <c r="S45" s="6"/>
      <c r="T45" s="6"/>
      <c r="U45" s="6"/>
      <c r="V45" s="6"/>
      <c r="W45" s="6"/>
      <c r="X45" s="6" t="s">
        <v>82</v>
      </c>
      <c r="Y45" s="6" t="s">
        <v>179</v>
      </c>
      <c r="Z45" s="6"/>
      <c r="AA45" s="6"/>
      <c r="AB45" s="6"/>
      <c r="AC45" s="6"/>
      <c r="AD45" s="6"/>
      <c r="AE45" s="6" t="s">
        <v>81</v>
      </c>
      <c r="AF45" s="6"/>
      <c r="AG45" s="6" t="s">
        <v>81</v>
      </c>
      <c r="AH45" s="6"/>
      <c r="AI45" s="6"/>
      <c r="AJ45" s="6"/>
      <c r="AK45" s="6"/>
      <c r="AL45" s="6"/>
      <c r="AM45" s="6"/>
      <c r="AN45" s="6" t="s">
        <v>82</v>
      </c>
      <c r="AO45" s="6" t="s">
        <v>179</v>
      </c>
      <c r="AP45" s="6"/>
      <c r="AQ45" s="6" t="s">
        <v>57</v>
      </c>
      <c r="AR45" s="6" t="s">
        <v>57</v>
      </c>
    </row>
    <row r="46" spans="2:44" s="54" customFormat="1" ht="15" customHeight="1">
      <c r="B46" s="6" t="s">
        <v>51</v>
      </c>
      <c r="C46" s="7" t="s">
        <v>180</v>
      </c>
      <c r="D46" s="7">
        <v>4382252768</v>
      </c>
      <c r="E46" s="7" t="s">
        <v>98</v>
      </c>
      <c r="F46" s="7" t="s">
        <v>181</v>
      </c>
      <c r="G46" s="9">
        <v>15078</v>
      </c>
      <c r="H46" s="7" t="s">
        <v>63</v>
      </c>
      <c r="I46" s="6" t="s">
        <v>35</v>
      </c>
      <c r="J46" s="6"/>
      <c r="K46" s="6" t="s">
        <v>37</v>
      </c>
      <c r="L46" s="6"/>
      <c r="M46" s="6"/>
      <c r="N46" s="6"/>
      <c r="O46" s="6"/>
      <c r="P46" s="6" t="s">
        <v>182</v>
      </c>
      <c r="Q46" s="6" t="s">
        <v>57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2:44" s="54" customFormat="1" ht="15" customHeight="1">
      <c r="B47" s="6" t="s">
        <v>51</v>
      </c>
      <c r="C47" s="7" t="s">
        <v>183</v>
      </c>
      <c r="D47" s="7">
        <v>4388771279</v>
      </c>
      <c r="E47" s="7" t="s">
        <v>53</v>
      </c>
      <c r="F47" s="7" t="s">
        <v>54</v>
      </c>
      <c r="G47" s="9">
        <v>16688</v>
      </c>
      <c r="H47" s="7" t="s">
        <v>55</v>
      </c>
      <c r="I47" s="6" t="s">
        <v>35</v>
      </c>
      <c r="J47" s="6"/>
      <c r="K47" s="6" t="s">
        <v>37</v>
      </c>
      <c r="L47" s="6"/>
      <c r="M47" s="6"/>
      <c r="N47" s="6"/>
      <c r="O47" s="6"/>
      <c r="P47" s="6" t="s">
        <v>184</v>
      </c>
      <c r="Q47" s="6" t="s">
        <v>57</v>
      </c>
      <c r="R47" s="6"/>
      <c r="S47" s="6"/>
      <c r="T47" s="6"/>
      <c r="U47" s="6"/>
      <c r="V47" s="6"/>
      <c r="W47" s="6"/>
      <c r="X47" s="6" t="s">
        <v>59</v>
      </c>
      <c r="Y47" s="6"/>
      <c r="Z47" s="6"/>
      <c r="AA47" s="6"/>
      <c r="AB47" s="6"/>
      <c r="AC47" s="6"/>
      <c r="AD47" s="6"/>
      <c r="AE47" s="6" t="s">
        <v>58</v>
      </c>
      <c r="AF47" s="6"/>
      <c r="AG47" s="6" t="s">
        <v>58</v>
      </c>
      <c r="AH47" s="6"/>
      <c r="AI47" s="6"/>
      <c r="AJ47" s="6"/>
      <c r="AK47" s="6"/>
      <c r="AL47" s="6"/>
      <c r="AM47" s="6"/>
      <c r="AN47" s="6" t="s">
        <v>59</v>
      </c>
      <c r="AO47" s="6"/>
      <c r="AP47" s="6"/>
      <c r="AQ47" s="6" t="s">
        <v>57</v>
      </c>
      <c r="AR47" s="6" t="s">
        <v>57</v>
      </c>
    </row>
    <row r="48" spans="2:44" s="54" customFormat="1" ht="15" customHeight="1">
      <c r="B48" s="6" t="s">
        <v>51</v>
      </c>
      <c r="C48" s="7" t="s">
        <v>185</v>
      </c>
      <c r="D48" s="7">
        <v>4406553371</v>
      </c>
      <c r="E48" s="7" t="s">
        <v>53</v>
      </c>
      <c r="F48" s="7" t="s">
        <v>54</v>
      </c>
      <c r="G48" s="9">
        <v>15778</v>
      </c>
      <c r="H48" s="7" t="s">
        <v>55</v>
      </c>
      <c r="I48" s="6" t="s">
        <v>35</v>
      </c>
      <c r="J48" s="6"/>
      <c r="K48" s="6"/>
      <c r="L48" s="6" t="s">
        <v>37</v>
      </c>
      <c r="M48" s="6"/>
      <c r="N48" s="6"/>
      <c r="O48" s="6"/>
      <c r="P48" s="6" t="s">
        <v>186</v>
      </c>
      <c r="Q48" s="6" t="s">
        <v>57</v>
      </c>
      <c r="R48" s="6"/>
      <c r="S48" s="6"/>
      <c r="T48" s="6"/>
      <c r="U48" s="6"/>
      <c r="V48" s="6"/>
      <c r="W48" s="6"/>
      <c r="X48" s="6" t="s">
        <v>187</v>
      </c>
      <c r="Y48" s="6" t="s">
        <v>188</v>
      </c>
      <c r="Z48" s="6" t="s">
        <v>87</v>
      </c>
      <c r="AA48" s="6" t="s">
        <v>189</v>
      </c>
      <c r="AB48" s="6"/>
      <c r="AC48" s="6"/>
      <c r="AD48" s="6"/>
      <c r="AE48" s="6" t="s">
        <v>74</v>
      </c>
      <c r="AF48" s="6"/>
      <c r="AG48" s="6" t="s">
        <v>187</v>
      </c>
      <c r="AH48" s="6" t="s">
        <v>74</v>
      </c>
      <c r="AI48" s="6"/>
      <c r="AJ48" s="6"/>
      <c r="AK48" s="6"/>
      <c r="AL48" s="6"/>
      <c r="AM48" s="6"/>
      <c r="AN48" s="6" t="s">
        <v>188</v>
      </c>
      <c r="AO48" s="6" t="s">
        <v>87</v>
      </c>
      <c r="AP48" s="6"/>
      <c r="AQ48" s="6" t="s">
        <v>57</v>
      </c>
      <c r="AR48" s="6" t="s">
        <v>57</v>
      </c>
    </row>
    <row r="49" spans="2:44" s="54" customFormat="1" ht="15" customHeight="1">
      <c r="B49" s="6" t="s">
        <v>51</v>
      </c>
      <c r="C49" s="7" t="s">
        <v>190</v>
      </c>
      <c r="D49" s="7">
        <v>4582709389</v>
      </c>
      <c r="E49" s="7" t="s">
        <v>65</v>
      </c>
      <c r="F49" s="7" t="s">
        <v>191</v>
      </c>
      <c r="G49" s="9">
        <v>19883</v>
      </c>
      <c r="H49" s="7" t="s">
        <v>55</v>
      </c>
      <c r="I49" s="6" t="s">
        <v>35</v>
      </c>
      <c r="J49" s="6"/>
      <c r="K49" s="6"/>
      <c r="L49" s="6" t="s">
        <v>37</v>
      </c>
      <c r="M49" s="6"/>
      <c r="N49" s="6"/>
      <c r="O49" s="6"/>
      <c r="P49" s="6" t="s">
        <v>192</v>
      </c>
      <c r="Q49" s="6" t="s">
        <v>57</v>
      </c>
      <c r="R49" s="6"/>
      <c r="S49" s="6"/>
      <c r="T49" s="6"/>
      <c r="U49" s="6"/>
      <c r="V49" s="6"/>
      <c r="W49" s="6"/>
      <c r="X49" s="6" t="s">
        <v>81</v>
      </c>
      <c r="Y49" s="6"/>
      <c r="Z49" s="6"/>
      <c r="AA49" s="6"/>
      <c r="AB49" s="6"/>
      <c r="AC49" s="6"/>
      <c r="AD49" s="6"/>
      <c r="AE49" s="6" t="s">
        <v>58</v>
      </c>
      <c r="AF49" s="6"/>
      <c r="AG49" s="6" t="s">
        <v>58</v>
      </c>
      <c r="AH49" s="6"/>
      <c r="AI49" s="6"/>
      <c r="AJ49" s="6"/>
      <c r="AK49" s="6"/>
      <c r="AL49" s="6"/>
      <c r="AM49" s="6"/>
      <c r="AN49" s="6" t="s">
        <v>81</v>
      </c>
      <c r="AO49" s="6"/>
      <c r="AP49" s="6"/>
      <c r="AQ49" s="6" t="s">
        <v>57</v>
      </c>
      <c r="AR49" s="6" t="s">
        <v>57</v>
      </c>
    </row>
    <row r="50" spans="2:44" s="54" customFormat="1" ht="15" customHeight="1">
      <c r="B50" s="6" t="s">
        <v>51</v>
      </c>
      <c r="C50" s="7" t="s">
        <v>193</v>
      </c>
      <c r="D50" s="7">
        <v>4445569178</v>
      </c>
      <c r="E50" s="7" t="s">
        <v>61</v>
      </c>
      <c r="F50" s="7" t="s">
        <v>170</v>
      </c>
      <c r="G50" s="9">
        <v>18209</v>
      </c>
      <c r="H50" s="7" t="s">
        <v>63</v>
      </c>
      <c r="I50" s="6" t="s">
        <v>35</v>
      </c>
      <c r="J50" s="6"/>
      <c r="K50" s="6" t="s">
        <v>37</v>
      </c>
      <c r="L50" s="6"/>
      <c r="M50" s="6"/>
      <c r="N50" s="6"/>
      <c r="O50" s="6"/>
      <c r="P50" s="6" t="s">
        <v>194</v>
      </c>
      <c r="Q50" s="6" t="s">
        <v>57</v>
      </c>
      <c r="R50" s="6"/>
      <c r="S50" s="6"/>
      <c r="T50" s="6"/>
      <c r="U50" s="6"/>
      <c r="V50" s="6"/>
      <c r="W50" s="6"/>
      <c r="X50" s="6" t="s">
        <v>58</v>
      </c>
      <c r="Y50" s="6" t="s">
        <v>71</v>
      </c>
      <c r="Z50" s="6"/>
      <c r="AA50" s="6"/>
      <c r="AB50" s="6"/>
      <c r="AC50" s="6"/>
      <c r="AD50" s="6"/>
      <c r="AE50" s="6" t="s">
        <v>59</v>
      </c>
      <c r="AF50" s="6"/>
      <c r="AG50" s="6" t="s">
        <v>59</v>
      </c>
      <c r="AH50" s="6"/>
      <c r="AI50" s="6"/>
      <c r="AJ50" s="6"/>
      <c r="AK50" s="6"/>
      <c r="AL50" s="6"/>
      <c r="AM50" s="6"/>
      <c r="AN50" s="6" t="s">
        <v>58</v>
      </c>
      <c r="AO50" s="6" t="s">
        <v>71</v>
      </c>
      <c r="AP50" s="6"/>
      <c r="AQ50" s="6" t="s">
        <v>57</v>
      </c>
      <c r="AR50" s="6" t="s">
        <v>57</v>
      </c>
    </row>
    <row r="51" spans="2:44" s="54" customFormat="1" ht="15" customHeight="1">
      <c r="B51" s="6" t="s">
        <v>51</v>
      </c>
      <c r="C51" s="7" t="s">
        <v>195</v>
      </c>
      <c r="D51" s="7">
        <v>4362478698</v>
      </c>
      <c r="E51" s="7" t="s">
        <v>61</v>
      </c>
      <c r="F51" s="7" t="s">
        <v>170</v>
      </c>
      <c r="G51" s="9">
        <v>13385</v>
      </c>
      <c r="H51" s="7" t="s">
        <v>63</v>
      </c>
      <c r="I51" s="6" t="s">
        <v>35</v>
      </c>
      <c r="J51" s="6"/>
      <c r="K51" s="6"/>
      <c r="L51" s="6" t="s">
        <v>37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2:44" s="54" customFormat="1" ht="15" customHeight="1">
      <c r="B52" s="6" t="s">
        <v>51</v>
      </c>
      <c r="C52" s="7" t="s">
        <v>196</v>
      </c>
      <c r="D52" s="7">
        <v>4947349018</v>
      </c>
      <c r="E52" s="7" t="s">
        <v>61</v>
      </c>
      <c r="F52" s="7" t="s">
        <v>62</v>
      </c>
      <c r="G52" s="9">
        <v>17066</v>
      </c>
      <c r="H52" s="7" t="s">
        <v>63</v>
      </c>
      <c r="I52" s="6" t="s">
        <v>35</v>
      </c>
      <c r="J52" s="6"/>
      <c r="K52" s="6" t="s">
        <v>37</v>
      </c>
      <c r="L52" s="6"/>
      <c r="M52" s="6"/>
      <c r="N52" s="6"/>
      <c r="O52" s="6"/>
      <c r="P52" s="6" t="s">
        <v>197</v>
      </c>
      <c r="Q52" s="6" t="s">
        <v>57</v>
      </c>
      <c r="R52" s="6"/>
      <c r="S52" s="6"/>
      <c r="T52" s="6"/>
      <c r="U52" s="6"/>
      <c r="V52" s="6"/>
      <c r="W52" s="6"/>
      <c r="X52" s="6" t="s">
        <v>58</v>
      </c>
      <c r="Y52" s="6" t="s">
        <v>59</v>
      </c>
      <c r="Z52" s="6"/>
      <c r="AA52" s="6"/>
      <c r="AB52" s="6"/>
      <c r="AC52" s="6"/>
      <c r="AD52" s="6"/>
      <c r="AE52" s="6" t="s">
        <v>81</v>
      </c>
      <c r="AF52" s="6"/>
      <c r="AG52" s="6" t="s">
        <v>81</v>
      </c>
      <c r="AH52" s="6"/>
      <c r="AI52" s="6"/>
      <c r="AJ52" s="6"/>
      <c r="AK52" s="6"/>
      <c r="AL52" s="6"/>
      <c r="AM52" s="6"/>
      <c r="AN52" s="6" t="s">
        <v>58</v>
      </c>
      <c r="AO52" s="6" t="s">
        <v>59</v>
      </c>
      <c r="AP52" s="6"/>
      <c r="AQ52" s="6" t="s">
        <v>57</v>
      </c>
      <c r="AR52" s="6" t="s">
        <v>57</v>
      </c>
    </row>
    <row r="53" spans="2:44" s="54" customFormat="1" ht="15" customHeight="1">
      <c r="B53" s="6" t="s">
        <v>51</v>
      </c>
      <c r="C53" s="7" t="s">
        <v>198</v>
      </c>
      <c r="D53" s="7">
        <v>6144924469</v>
      </c>
      <c r="E53" s="7" t="s">
        <v>53</v>
      </c>
      <c r="F53" s="7" t="s">
        <v>54</v>
      </c>
      <c r="G53" s="9">
        <v>23948</v>
      </c>
      <c r="H53" s="7" t="s">
        <v>55</v>
      </c>
      <c r="I53" s="6" t="s">
        <v>35</v>
      </c>
      <c r="J53" s="6"/>
      <c r="K53" s="6" t="s">
        <v>37</v>
      </c>
      <c r="L53" s="6"/>
      <c r="M53" s="6"/>
      <c r="N53" s="6"/>
      <c r="O53" s="6"/>
      <c r="P53" s="6" t="s">
        <v>149</v>
      </c>
      <c r="Q53" s="6" t="s">
        <v>57</v>
      </c>
      <c r="R53" s="6"/>
      <c r="S53" s="6"/>
      <c r="T53" s="6"/>
      <c r="U53" s="6"/>
      <c r="V53" s="6"/>
      <c r="W53" s="6"/>
      <c r="X53" s="6" t="s">
        <v>81</v>
      </c>
      <c r="Y53" s="6"/>
      <c r="Z53" s="6"/>
      <c r="AA53" s="6"/>
      <c r="AB53" s="6"/>
      <c r="AC53" s="6"/>
      <c r="AD53" s="6" t="s">
        <v>59</v>
      </c>
      <c r="AE53" s="6" t="s">
        <v>58</v>
      </c>
      <c r="AF53" s="6"/>
      <c r="AG53" s="6" t="s">
        <v>58</v>
      </c>
      <c r="AH53" s="6"/>
      <c r="AI53" s="6"/>
      <c r="AJ53" s="6"/>
      <c r="AK53" s="6"/>
      <c r="AL53" s="6"/>
      <c r="AM53" s="6"/>
      <c r="AN53" s="6" t="s">
        <v>81</v>
      </c>
      <c r="AO53" s="6"/>
      <c r="AP53" s="6"/>
      <c r="AQ53" s="6" t="s">
        <v>57</v>
      </c>
      <c r="AR53" s="6" t="s">
        <v>57</v>
      </c>
    </row>
    <row r="54" spans="2:44" s="54" customFormat="1" ht="15" customHeight="1">
      <c r="B54" s="6" t="s">
        <v>51</v>
      </c>
      <c r="C54" s="7" t="s">
        <v>199</v>
      </c>
      <c r="D54" s="7">
        <v>4507901820</v>
      </c>
      <c r="E54" s="7" t="s">
        <v>65</v>
      </c>
      <c r="F54" s="7" t="s">
        <v>200</v>
      </c>
      <c r="G54" s="9">
        <v>17218</v>
      </c>
      <c r="H54" s="7" t="s">
        <v>55</v>
      </c>
      <c r="I54" s="6" t="s">
        <v>35</v>
      </c>
      <c r="J54" s="6"/>
      <c r="K54" s="6"/>
      <c r="L54" s="6" t="s">
        <v>37</v>
      </c>
      <c r="M54" s="6"/>
      <c r="N54" s="6"/>
      <c r="O54" s="6"/>
      <c r="P54" s="6" t="s">
        <v>201</v>
      </c>
      <c r="Q54" s="6" t="s">
        <v>57</v>
      </c>
      <c r="R54" s="6"/>
      <c r="S54" s="6"/>
      <c r="T54" s="6"/>
      <c r="U54" s="6"/>
      <c r="V54" s="6"/>
      <c r="W54" s="6"/>
      <c r="X54" s="6" t="s">
        <v>59</v>
      </c>
      <c r="Y54" s="6" t="s">
        <v>82</v>
      </c>
      <c r="Z54" s="6" t="s">
        <v>179</v>
      </c>
      <c r="AA54" s="6"/>
      <c r="AB54" s="6"/>
      <c r="AC54" s="6"/>
      <c r="AD54" s="6"/>
      <c r="AE54" s="6" t="s">
        <v>58</v>
      </c>
      <c r="AF54" s="6"/>
      <c r="AG54" s="6" t="s">
        <v>58</v>
      </c>
      <c r="AH54" s="6"/>
      <c r="AI54" s="6"/>
      <c r="AJ54" s="6"/>
      <c r="AK54" s="6"/>
      <c r="AL54" s="6"/>
      <c r="AM54" s="6"/>
      <c r="AN54" s="6" t="s">
        <v>59</v>
      </c>
      <c r="AO54" s="6" t="s">
        <v>82</v>
      </c>
      <c r="AP54" s="6"/>
      <c r="AQ54" s="6" t="s">
        <v>57</v>
      </c>
      <c r="AR54" s="6" t="s">
        <v>57</v>
      </c>
    </row>
    <row r="55" spans="2:44" s="54" customFormat="1" ht="15" customHeight="1">
      <c r="B55" s="6" t="s">
        <v>51</v>
      </c>
      <c r="C55" s="7" t="s">
        <v>202</v>
      </c>
      <c r="D55" s="7">
        <v>4884501233</v>
      </c>
      <c r="E55" s="7" t="s">
        <v>61</v>
      </c>
      <c r="F55" s="7" t="s">
        <v>62</v>
      </c>
      <c r="G55" s="9">
        <v>21221</v>
      </c>
      <c r="H55" s="7" t="s">
        <v>63</v>
      </c>
      <c r="I55" s="6" t="s">
        <v>35</v>
      </c>
      <c r="J55" s="6"/>
      <c r="K55" s="6" t="s">
        <v>37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2:44" s="54" customFormat="1" ht="15" customHeight="1">
      <c r="B56" s="6" t="s">
        <v>51</v>
      </c>
      <c r="C56" s="7" t="s">
        <v>203</v>
      </c>
      <c r="D56" s="7">
        <v>4382201438</v>
      </c>
      <c r="E56" s="7" t="s">
        <v>65</v>
      </c>
      <c r="F56" s="7" t="s">
        <v>66</v>
      </c>
      <c r="G56" s="9">
        <v>16945</v>
      </c>
      <c r="H56" s="7" t="s">
        <v>63</v>
      </c>
      <c r="I56" s="6" t="s">
        <v>35</v>
      </c>
      <c r="J56" s="6"/>
      <c r="K56" s="6" t="s">
        <v>37</v>
      </c>
      <c r="L56" s="6"/>
      <c r="M56" s="6"/>
      <c r="N56" s="6"/>
      <c r="O56" s="6"/>
      <c r="P56" s="6" t="s">
        <v>204</v>
      </c>
      <c r="Q56" s="6" t="s">
        <v>57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2:44" s="54" customFormat="1" ht="15" customHeight="1">
      <c r="B57" s="6" t="s">
        <v>51</v>
      </c>
      <c r="C57" s="7" t="s">
        <v>205</v>
      </c>
      <c r="D57" s="7">
        <v>4508449778</v>
      </c>
      <c r="E57" s="7" t="s">
        <v>108</v>
      </c>
      <c r="F57" s="7" t="s">
        <v>148</v>
      </c>
      <c r="G57" s="9">
        <v>17490</v>
      </c>
      <c r="H57" s="7" t="s">
        <v>55</v>
      </c>
      <c r="I57" s="6" t="s">
        <v>35</v>
      </c>
      <c r="J57" s="6"/>
      <c r="K57" s="6" t="s">
        <v>37</v>
      </c>
      <c r="L57" s="6"/>
      <c r="M57" s="6"/>
      <c r="N57" s="6"/>
      <c r="O57" s="6"/>
      <c r="P57" s="6" t="s">
        <v>206</v>
      </c>
      <c r="Q57" s="6" t="s">
        <v>57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2:44" s="54" customFormat="1" ht="15" customHeight="1">
      <c r="B58" s="6" t="s">
        <v>51</v>
      </c>
      <c r="C58" s="7" t="s">
        <v>207</v>
      </c>
      <c r="D58" s="7">
        <v>4069551794</v>
      </c>
      <c r="E58" s="7" t="s">
        <v>65</v>
      </c>
      <c r="F58" s="7" t="s">
        <v>124</v>
      </c>
      <c r="G58" s="9">
        <v>26843</v>
      </c>
      <c r="H58" s="7" t="s">
        <v>55</v>
      </c>
      <c r="I58" s="6" t="s">
        <v>35</v>
      </c>
      <c r="J58" s="6"/>
      <c r="K58" s="6"/>
      <c r="L58" s="6" t="s">
        <v>37</v>
      </c>
      <c r="M58" s="6"/>
      <c r="N58" s="6"/>
      <c r="O58" s="6"/>
      <c r="P58" s="6" t="s">
        <v>208</v>
      </c>
      <c r="Q58" s="6" t="s">
        <v>57</v>
      </c>
      <c r="R58" s="6"/>
      <c r="S58" s="6"/>
      <c r="T58" s="6"/>
      <c r="U58" s="6"/>
      <c r="V58" s="6"/>
      <c r="W58" s="6"/>
      <c r="X58" s="6" t="s">
        <v>59</v>
      </c>
      <c r="Y58" s="6"/>
      <c r="Z58" s="6"/>
      <c r="AA58" s="6"/>
      <c r="AB58" s="6"/>
      <c r="AC58" s="6"/>
      <c r="AD58" s="6"/>
      <c r="AE58" s="6" t="s">
        <v>58</v>
      </c>
      <c r="AF58" s="6"/>
      <c r="AG58" s="6" t="s">
        <v>58</v>
      </c>
      <c r="AH58" s="6"/>
      <c r="AI58" s="6"/>
      <c r="AJ58" s="6"/>
      <c r="AK58" s="6"/>
      <c r="AL58" s="6"/>
      <c r="AM58" s="6"/>
      <c r="AN58" s="6" t="s">
        <v>59</v>
      </c>
      <c r="AO58" s="6"/>
      <c r="AP58" s="6"/>
      <c r="AQ58" s="6" t="s">
        <v>57</v>
      </c>
      <c r="AR58" s="6" t="s">
        <v>57</v>
      </c>
    </row>
    <row r="59" spans="2:44" s="54" customFormat="1" ht="15" customHeight="1">
      <c r="B59" s="6" t="s">
        <v>51</v>
      </c>
      <c r="C59" s="7" t="s">
        <v>209</v>
      </c>
      <c r="D59" s="7">
        <v>4087508404</v>
      </c>
      <c r="E59" s="7" t="s">
        <v>53</v>
      </c>
      <c r="F59" s="7" t="s">
        <v>54</v>
      </c>
      <c r="G59" s="9">
        <v>32296</v>
      </c>
      <c r="H59" s="7" t="s">
        <v>55</v>
      </c>
      <c r="I59" s="6" t="s">
        <v>35</v>
      </c>
      <c r="J59" s="6"/>
      <c r="K59" s="6" t="s">
        <v>37</v>
      </c>
      <c r="L59" s="6"/>
      <c r="M59" s="6"/>
      <c r="N59" s="6"/>
      <c r="O59" s="6"/>
      <c r="P59" s="6" t="s">
        <v>70</v>
      </c>
      <c r="Q59" s="6" t="s">
        <v>57</v>
      </c>
      <c r="R59" s="6"/>
      <c r="S59" s="6"/>
      <c r="T59" s="6"/>
      <c r="U59" s="6"/>
      <c r="V59" s="6"/>
      <c r="W59" s="6"/>
      <c r="X59" s="6" t="s">
        <v>59</v>
      </c>
      <c r="Y59" s="6"/>
      <c r="Z59" s="6"/>
      <c r="AA59" s="6"/>
      <c r="AB59" s="6"/>
      <c r="AC59" s="6"/>
      <c r="AD59" s="6"/>
      <c r="AE59" s="6" t="s">
        <v>71</v>
      </c>
      <c r="AF59" s="6"/>
      <c r="AG59" s="6" t="s">
        <v>71</v>
      </c>
      <c r="AH59" s="6"/>
      <c r="AI59" s="6"/>
      <c r="AJ59" s="6"/>
      <c r="AK59" s="6"/>
      <c r="AL59" s="6"/>
      <c r="AM59" s="6"/>
      <c r="AN59" s="6" t="s">
        <v>59</v>
      </c>
      <c r="AO59" s="6"/>
      <c r="AP59" s="6"/>
      <c r="AQ59" s="6" t="s">
        <v>57</v>
      </c>
      <c r="AR59" s="6" t="s">
        <v>57</v>
      </c>
    </row>
    <row r="60" spans="2:44" s="54" customFormat="1" ht="15" customHeight="1">
      <c r="B60" s="6" t="s">
        <v>51</v>
      </c>
      <c r="C60" s="7" t="s">
        <v>210</v>
      </c>
      <c r="D60" s="7">
        <v>6268392760</v>
      </c>
      <c r="E60" s="7" t="s">
        <v>53</v>
      </c>
      <c r="F60" s="7" t="s">
        <v>54</v>
      </c>
      <c r="G60" s="9">
        <v>26301</v>
      </c>
      <c r="H60" s="7" t="s">
        <v>55</v>
      </c>
      <c r="I60" s="6" t="s">
        <v>35</v>
      </c>
      <c r="J60" s="6"/>
      <c r="K60" s="6" t="s">
        <v>37</v>
      </c>
      <c r="L60" s="6"/>
      <c r="M60" s="6"/>
      <c r="N60" s="6"/>
      <c r="O60" s="6"/>
      <c r="P60" s="6" t="s">
        <v>182</v>
      </c>
      <c r="Q60" s="6" t="s">
        <v>57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 t="s">
        <v>59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2:44" s="54" customFormat="1" ht="15" customHeight="1">
      <c r="B61" s="6" t="s">
        <v>51</v>
      </c>
      <c r="C61" s="7" t="s">
        <v>211</v>
      </c>
      <c r="D61" s="7">
        <v>4643830778</v>
      </c>
      <c r="E61" s="7" t="s">
        <v>61</v>
      </c>
      <c r="F61" s="7" t="s">
        <v>62</v>
      </c>
      <c r="G61" s="9">
        <v>13439</v>
      </c>
      <c r="H61" s="7" t="s">
        <v>63</v>
      </c>
      <c r="I61" s="6" t="s">
        <v>35</v>
      </c>
      <c r="J61" s="6"/>
      <c r="K61" s="6" t="s">
        <v>37</v>
      </c>
      <c r="L61" s="6"/>
      <c r="M61" s="6"/>
      <c r="N61" s="6"/>
      <c r="O61" s="6"/>
      <c r="P61" s="6" t="s">
        <v>212</v>
      </c>
      <c r="Q61" s="6" t="s">
        <v>57</v>
      </c>
      <c r="R61" s="6"/>
      <c r="S61" s="6"/>
      <c r="T61" s="6"/>
      <c r="U61" s="6"/>
      <c r="V61" s="6"/>
      <c r="W61" s="6"/>
      <c r="X61" s="6" t="s">
        <v>120</v>
      </c>
      <c r="Y61" s="6"/>
      <c r="Z61" s="6"/>
      <c r="AA61" s="6"/>
      <c r="AB61" s="6"/>
      <c r="AC61" s="6"/>
      <c r="AD61" s="6"/>
      <c r="AE61" s="6" t="s">
        <v>213</v>
      </c>
      <c r="AF61" s="6"/>
      <c r="AG61" s="6" t="s">
        <v>213</v>
      </c>
      <c r="AH61" s="6"/>
      <c r="AI61" s="6"/>
      <c r="AJ61" s="6"/>
      <c r="AK61" s="6"/>
      <c r="AL61" s="6"/>
      <c r="AM61" s="6"/>
      <c r="AN61" s="6" t="s">
        <v>120</v>
      </c>
      <c r="AO61" s="6"/>
      <c r="AP61" s="6"/>
      <c r="AQ61" s="6" t="s">
        <v>57</v>
      </c>
      <c r="AR61" s="6" t="s">
        <v>57</v>
      </c>
    </row>
    <row r="62" spans="2:44" s="54" customFormat="1" ht="15" customHeight="1">
      <c r="B62" s="6" t="s">
        <v>51</v>
      </c>
      <c r="C62" s="7" t="s">
        <v>214</v>
      </c>
      <c r="D62" s="7">
        <v>4387578106</v>
      </c>
      <c r="E62" s="7" t="s">
        <v>65</v>
      </c>
      <c r="F62" s="7" t="s">
        <v>66</v>
      </c>
      <c r="G62" s="9">
        <v>16235</v>
      </c>
      <c r="H62" s="7" t="s">
        <v>55</v>
      </c>
      <c r="I62" s="6" t="s">
        <v>35</v>
      </c>
      <c r="J62" s="6" t="s">
        <v>37</v>
      </c>
      <c r="K62" s="6"/>
      <c r="L62" s="6"/>
      <c r="M62" s="6"/>
      <c r="N62" s="6"/>
      <c r="O62" s="6"/>
      <c r="P62" s="6" t="s">
        <v>162</v>
      </c>
      <c r="Q62" s="6" t="s">
        <v>57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 t="s">
        <v>59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2:44" s="54" customFormat="1" ht="15" customHeight="1">
      <c r="B63" s="6" t="s">
        <v>51</v>
      </c>
      <c r="C63" s="7" t="s">
        <v>215</v>
      </c>
      <c r="D63" s="7">
        <v>7238915405</v>
      </c>
      <c r="E63" s="7" t="s">
        <v>65</v>
      </c>
      <c r="F63" s="7" t="s">
        <v>66</v>
      </c>
      <c r="G63" s="9">
        <v>21645</v>
      </c>
      <c r="H63" s="7" t="s">
        <v>55</v>
      </c>
      <c r="I63" s="6" t="s">
        <v>35</v>
      </c>
      <c r="J63" s="6"/>
      <c r="K63" s="6" t="s">
        <v>37</v>
      </c>
      <c r="L63" s="6"/>
      <c r="M63" s="6"/>
      <c r="N63" s="6"/>
      <c r="O63" s="6"/>
      <c r="P63" s="6" t="s">
        <v>184</v>
      </c>
      <c r="Q63" s="6" t="s">
        <v>57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 t="s">
        <v>58</v>
      </c>
      <c r="AE63" s="6" t="s">
        <v>59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2:44" s="54" customFormat="1" ht="15" customHeight="1">
      <c r="B64" s="6" t="s">
        <v>51</v>
      </c>
      <c r="C64" s="7" t="s">
        <v>216</v>
      </c>
      <c r="D64" s="7">
        <v>4508519423</v>
      </c>
      <c r="E64" s="7" t="s">
        <v>61</v>
      </c>
      <c r="F64" s="7" t="s">
        <v>69</v>
      </c>
      <c r="G64" s="9">
        <v>17794</v>
      </c>
      <c r="H64" s="7" t="s">
        <v>55</v>
      </c>
      <c r="I64" s="6" t="s">
        <v>35</v>
      </c>
      <c r="J64" s="6"/>
      <c r="K64" s="6" t="s">
        <v>37</v>
      </c>
      <c r="L64" s="6"/>
      <c r="M64" s="6"/>
      <c r="N64" s="6"/>
      <c r="O64" s="6"/>
      <c r="P64" s="6" t="s">
        <v>217</v>
      </c>
      <c r="Q64" s="6" t="s">
        <v>57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2:45" s="54" customFormat="1" ht="15" customHeight="1">
      <c r="B65" s="6" t="s">
        <v>51</v>
      </c>
      <c r="C65" s="7" t="s">
        <v>218</v>
      </c>
      <c r="D65" s="7">
        <v>4120314030</v>
      </c>
      <c r="E65" s="7" t="s">
        <v>61</v>
      </c>
      <c r="F65" s="7" t="s">
        <v>69</v>
      </c>
      <c r="G65" s="9">
        <v>26125</v>
      </c>
      <c r="H65" s="7" t="s">
        <v>63</v>
      </c>
      <c r="I65" s="6" t="s">
        <v>35</v>
      </c>
      <c r="J65" s="6"/>
      <c r="K65" s="6" t="s">
        <v>37</v>
      </c>
      <c r="L65" s="6"/>
      <c r="M65" s="6"/>
      <c r="N65" s="6"/>
      <c r="O65" s="6"/>
      <c r="P65" s="6" t="s">
        <v>219</v>
      </c>
      <c r="Q65" s="6" t="s">
        <v>57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 t="s">
        <v>81</v>
      </c>
      <c r="AE65" s="6" t="s">
        <v>179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2:45" s="54" customFormat="1" ht="15" customHeight="1">
      <c r="B66" s="6" t="s">
        <v>51</v>
      </c>
      <c r="C66" s="7" t="s">
        <v>220</v>
      </c>
      <c r="D66" s="7">
        <v>4581959764</v>
      </c>
      <c r="E66" s="7" t="s">
        <v>61</v>
      </c>
      <c r="F66" s="7" t="s">
        <v>69</v>
      </c>
      <c r="G66" s="9">
        <v>19537</v>
      </c>
      <c r="H66" s="7" t="s">
        <v>63</v>
      </c>
      <c r="I66" s="6" t="s">
        <v>35</v>
      </c>
      <c r="J66" s="6"/>
      <c r="K66" s="6" t="s">
        <v>37</v>
      </c>
      <c r="L66" s="6"/>
      <c r="M66" s="6"/>
      <c r="N66" s="6"/>
      <c r="O66" s="6"/>
      <c r="P66" s="6" t="s">
        <v>197</v>
      </c>
      <c r="Q66" s="6" t="s">
        <v>57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2:45" s="54" customFormat="1" ht="15" customHeight="1">
      <c r="B67" s="6" t="s">
        <v>51</v>
      </c>
      <c r="C67" s="7" t="s">
        <v>221</v>
      </c>
      <c r="D67" s="7">
        <v>4382169739</v>
      </c>
      <c r="E67" s="7" t="s">
        <v>65</v>
      </c>
      <c r="F67" s="7" t="s">
        <v>66</v>
      </c>
      <c r="G67" s="9">
        <v>15297</v>
      </c>
      <c r="H67" s="7" t="s">
        <v>55</v>
      </c>
      <c r="I67" s="6" t="s">
        <v>35</v>
      </c>
      <c r="J67" s="6"/>
      <c r="K67" s="6" t="s">
        <v>37</v>
      </c>
      <c r="L67" s="6"/>
      <c r="M67" s="6"/>
      <c r="N67" s="6"/>
      <c r="O67" s="6"/>
      <c r="P67" s="6" t="s">
        <v>222</v>
      </c>
      <c r="Q67" s="6" t="s">
        <v>57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 t="s">
        <v>223</v>
      </c>
      <c r="AE67" s="6" t="s">
        <v>58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2:45" s="54" customFormat="1" ht="15" customHeight="1">
      <c r="B68" s="6" t="s">
        <v>51</v>
      </c>
      <c r="C68" s="7" t="s">
        <v>224</v>
      </c>
      <c r="D68" s="7">
        <v>4160571263</v>
      </c>
      <c r="E68" s="7" t="s">
        <v>98</v>
      </c>
      <c r="F68" s="7" t="s">
        <v>181</v>
      </c>
      <c r="G68" s="9">
        <v>24071</v>
      </c>
      <c r="H68" s="7" t="s">
        <v>55</v>
      </c>
      <c r="I68" s="6" t="s">
        <v>35</v>
      </c>
      <c r="J68" s="6"/>
      <c r="K68" s="6"/>
      <c r="L68" s="6" t="s">
        <v>37</v>
      </c>
      <c r="M68" s="6"/>
      <c r="N68" s="6"/>
      <c r="O68" s="6"/>
      <c r="P68" s="6" t="s">
        <v>225</v>
      </c>
      <c r="Q68" s="6" t="s">
        <v>57</v>
      </c>
      <c r="R68" s="6"/>
      <c r="S68" s="6"/>
      <c r="T68" s="6"/>
      <c r="U68" s="6"/>
      <c r="V68" s="6"/>
      <c r="W68" s="6"/>
      <c r="X68" s="6" t="s">
        <v>71</v>
      </c>
      <c r="Y68" s="6" t="s">
        <v>106</v>
      </c>
      <c r="Z68" s="6" t="s">
        <v>82</v>
      </c>
      <c r="AA68" s="6" t="s">
        <v>179</v>
      </c>
      <c r="AB68" s="6" t="s">
        <v>226</v>
      </c>
      <c r="AC68" s="6"/>
      <c r="AD68" s="6" t="s">
        <v>227</v>
      </c>
      <c r="AE68" s="6" t="s">
        <v>74</v>
      </c>
      <c r="AF68" s="6"/>
      <c r="AG68" s="6" t="s">
        <v>74</v>
      </c>
      <c r="AH68" s="6"/>
      <c r="AI68" s="6"/>
      <c r="AJ68" s="6"/>
      <c r="AK68" s="6"/>
      <c r="AL68" s="6"/>
      <c r="AM68" s="6"/>
      <c r="AN68" s="6" t="s">
        <v>106</v>
      </c>
      <c r="AO68" s="6" t="s">
        <v>82</v>
      </c>
      <c r="AP68" s="6"/>
      <c r="AQ68" s="6" t="s">
        <v>57</v>
      </c>
      <c r="AR68" s="6" t="s">
        <v>57</v>
      </c>
      <c r="AS68" s="6"/>
    </row>
    <row r="69" spans="2:45" s="54" customFormat="1" ht="15" customHeight="1">
      <c r="B69" s="6" t="s">
        <v>51</v>
      </c>
      <c r="C69" s="7" t="s">
        <v>228</v>
      </c>
      <c r="D69" s="7">
        <v>4581523230</v>
      </c>
      <c r="E69" s="7" t="s">
        <v>65</v>
      </c>
      <c r="F69" s="7" t="s">
        <v>229</v>
      </c>
      <c r="G69" s="9">
        <v>19618</v>
      </c>
      <c r="H69" s="7" t="s">
        <v>63</v>
      </c>
      <c r="I69" s="6" t="s">
        <v>35</v>
      </c>
      <c r="J69" s="6"/>
      <c r="K69" s="6" t="s">
        <v>37</v>
      </c>
      <c r="L69" s="6"/>
      <c r="M69" s="6"/>
      <c r="N69" s="6"/>
      <c r="O69" s="6"/>
      <c r="P69" s="6" t="s">
        <v>230</v>
      </c>
      <c r="Q69" s="6" t="s">
        <v>57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 t="s">
        <v>231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2:45" s="54" customFormat="1" ht="15" customHeight="1">
      <c r="B70" s="6" t="s">
        <v>51</v>
      </c>
      <c r="C70" s="7" t="s">
        <v>232</v>
      </c>
      <c r="D70" s="7">
        <v>4761340037</v>
      </c>
      <c r="E70" s="7" t="s">
        <v>53</v>
      </c>
      <c r="F70" s="7" t="s">
        <v>54</v>
      </c>
      <c r="G70" s="9">
        <v>23267</v>
      </c>
      <c r="H70" s="7" t="s">
        <v>55</v>
      </c>
      <c r="I70" s="6" t="s">
        <v>35</v>
      </c>
      <c r="J70" s="6"/>
      <c r="K70" s="6" t="s">
        <v>37</v>
      </c>
      <c r="L70" s="6"/>
      <c r="M70" s="6"/>
      <c r="N70" s="6"/>
      <c r="O70" s="6"/>
      <c r="P70" s="6" t="s">
        <v>233</v>
      </c>
      <c r="Q70" s="6" t="s">
        <v>57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 t="s">
        <v>101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2:45" s="54" customFormat="1" ht="15" customHeight="1">
      <c r="B71" s="6" t="s">
        <v>51</v>
      </c>
      <c r="C71" s="7" t="s">
        <v>234</v>
      </c>
      <c r="D71" s="7">
        <v>6309843109</v>
      </c>
      <c r="E71" s="7" t="s">
        <v>152</v>
      </c>
      <c r="F71" s="7" t="s">
        <v>177</v>
      </c>
      <c r="G71" s="9">
        <v>21442</v>
      </c>
      <c r="H71" s="7" t="s">
        <v>63</v>
      </c>
      <c r="I71" s="6" t="s">
        <v>35</v>
      </c>
      <c r="J71" s="6"/>
      <c r="K71" s="6" t="s">
        <v>37</v>
      </c>
      <c r="L71" s="6"/>
      <c r="M71" s="6"/>
      <c r="N71" s="6"/>
      <c r="O71" s="6"/>
      <c r="P71" s="6" t="s">
        <v>235</v>
      </c>
      <c r="Q71" s="6" t="s">
        <v>57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2:45" s="54" customFormat="1" ht="15" customHeight="1">
      <c r="B72" s="6" t="s">
        <v>51</v>
      </c>
      <c r="C72" s="7" t="s">
        <v>236</v>
      </c>
      <c r="D72" s="7">
        <v>4509210248</v>
      </c>
      <c r="E72" s="7" t="s">
        <v>152</v>
      </c>
      <c r="F72" s="7" t="s">
        <v>237</v>
      </c>
      <c r="G72" s="9">
        <v>18553</v>
      </c>
      <c r="H72" s="7" t="s">
        <v>63</v>
      </c>
      <c r="I72" s="6" t="s">
        <v>35</v>
      </c>
      <c r="J72" s="6"/>
      <c r="K72" s="6" t="s">
        <v>37</v>
      </c>
      <c r="L72" s="6"/>
      <c r="M72" s="6"/>
      <c r="N72" s="6"/>
      <c r="O72" s="6"/>
      <c r="P72" s="6" t="s">
        <v>238</v>
      </c>
      <c r="Q72" s="6" t="s">
        <v>57</v>
      </c>
      <c r="R72" s="6"/>
      <c r="S72" s="6"/>
      <c r="T72" s="6"/>
      <c r="U72" s="6"/>
      <c r="V72" s="6"/>
      <c r="W72" s="6"/>
      <c r="X72" s="6" t="s">
        <v>59</v>
      </c>
      <c r="Y72" s="6" t="s">
        <v>179</v>
      </c>
      <c r="Z72" s="6" t="s">
        <v>82</v>
      </c>
      <c r="AA72" s="6"/>
      <c r="AB72" s="6"/>
      <c r="AC72" s="6"/>
      <c r="AD72" s="6"/>
      <c r="AE72" s="6" t="s">
        <v>81</v>
      </c>
      <c r="AF72" s="6"/>
      <c r="AG72" s="6" t="s">
        <v>81</v>
      </c>
      <c r="AH72" s="6"/>
      <c r="AI72" s="6"/>
      <c r="AJ72" s="6"/>
      <c r="AK72" s="6"/>
      <c r="AL72" s="6"/>
      <c r="AM72" s="6"/>
      <c r="AN72" s="6" t="s">
        <v>59</v>
      </c>
      <c r="AO72" s="6" t="s">
        <v>179</v>
      </c>
      <c r="AP72" s="6"/>
      <c r="AQ72" s="6" t="s">
        <v>57</v>
      </c>
      <c r="AR72" s="6" t="s">
        <v>57</v>
      </c>
      <c r="AS72" s="6"/>
    </row>
    <row r="73" spans="2:45" s="54" customFormat="1" ht="15" customHeight="1">
      <c r="B73" s="6" t="s">
        <v>51</v>
      </c>
      <c r="C73" s="7" t="s">
        <v>239</v>
      </c>
      <c r="D73" s="7">
        <v>4382203791</v>
      </c>
      <c r="E73" s="7" t="s">
        <v>108</v>
      </c>
      <c r="F73" s="7" t="s">
        <v>240</v>
      </c>
      <c r="G73" s="9">
        <v>16978</v>
      </c>
      <c r="H73" s="7" t="s">
        <v>63</v>
      </c>
      <c r="I73" s="6" t="s">
        <v>35</v>
      </c>
      <c r="J73" s="6"/>
      <c r="K73" s="6" t="s">
        <v>37</v>
      </c>
      <c r="L73" s="6"/>
      <c r="M73" s="6"/>
      <c r="N73" s="6"/>
      <c r="O73" s="6"/>
      <c r="P73" s="6" t="s">
        <v>241</v>
      </c>
      <c r="Q73" s="6" t="s">
        <v>57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 t="s">
        <v>242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2:45" s="54" customFormat="1" ht="15" customHeight="1">
      <c r="B74" s="6" t="s">
        <v>51</v>
      </c>
      <c r="C74" s="7" t="s">
        <v>243</v>
      </c>
      <c r="D74" s="7">
        <v>4382138280</v>
      </c>
      <c r="E74" s="7" t="s">
        <v>65</v>
      </c>
      <c r="F74" s="7" t="s">
        <v>200</v>
      </c>
      <c r="G74" s="9">
        <v>16881</v>
      </c>
      <c r="H74" s="7" t="s">
        <v>55</v>
      </c>
      <c r="I74" s="6" t="s">
        <v>35</v>
      </c>
      <c r="J74" s="6"/>
      <c r="K74" s="6" t="s">
        <v>37</v>
      </c>
      <c r="L74" s="6"/>
      <c r="M74" s="6"/>
      <c r="N74" s="6"/>
      <c r="O74" s="6"/>
      <c r="P74" s="6" t="s">
        <v>244</v>
      </c>
      <c r="Q74" s="6" t="s">
        <v>57</v>
      </c>
      <c r="R74" s="6"/>
      <c r="S74" s="6"/>
      <c r="T74" s="6"/>
      <c r="U74" s="6"/>
      <c r="V74" s="6"/>
      <c r="W74" s="6"/>
      <c r="X74" s="6" t="s">
        <v>82</v>
      </c>
      <c r="Y74" s="6" t="s">
        <v>179</v>
      </c>
      <c r="Z74" s="6"/>
      <c r="AA74" s="6"/>
      <c r="AB74" s="6"/>
      <c r="AC74" s="6"/>
      <c r="AD74" s="6"/>
      <c r="AE74" s="6" t="s">
        <v>81</v>
      </c>
      <c r="AF74" s="6"/>
      <c r="AG74" s="6" t="s">
        <v>81</v>
      </c>
      <c r="AH74" s="6"/>
      <c r="AI74" s="6"/>
      <c r="AJ74" s="6"/>
      <c r="AK74" s="6"/>
      <c r="AL74" s="6"/>
      <c r="AM74" s="6"/>
      <c r="AN74" s="6" t="s">
        <v>82</v>
      </c>
      <c r="AO74" s="6" t="s">
        <v>179</v>
      </c>
      <c r="AP74" s="6"/>
      <c r="AQ74" s="6" t="s">
        <v>57</v>
      </c>
      <c r="AR74" s="6" t="s">
        <v>57</v>
      </c>
      <c r="AS74" s="6"/>
    </row>
    <row r="75" spans="2:45" s="54" customFormat="1" ht="15" customHeight="1">
      <c r="B75" s="6" t="s">
        <v>51</v>
      </c>
      <c r="C75" s="7" t="s">
        <v>245</v>
      </c>
      <c r="D75" s="7">
        <v>6060874681</v>
      </c>
      <c r="E75" s="7" t="s">
        <v>53</v>
      </c>
      <c r="F75" s="7" t="s">
        <v>54</v>
      </c>
      <c r="G75" s="9">
        <v>29438</v>
      </c>
      <c r="H75" s="7" t="s">
        <v>55</v>
      </c>
      <c r="I75" s="6" t="s">
        <v>35</v>
      </c>
      <c r="J75" s="6"/>
      <c r="K75" s="6" t="s">
        <v>37</v>
      </c>
      <c r="L75" s="6"/>
      <c r="M75" s="6"/>
      <c r="N75" s="6"/>
      <c r="O75" s="6"/>
      <c r="P75" s="6" t="s">
        <v>246</v>
      </c>
      <c r="Q75" s="6" t="s">
        <v>57</v>
      </c>
      <c r="R75" s="6"/>
      <c r="S75" s="6"/>
      <c r="T75" s="6"/>
      <c r="U75" s="6"/>
      <c r="V75" s="6"/>
      <c r="W75" s="6"/>
      <c r="X75" s="6" t="s">
        <v>81</v>
      </c>
      <c r="Y75" s="6" t="s">
        <v>132</v>
      </c>
      <c r="Z75" s="6" t="s">
        <v>58</v>
      </c>
      <c r="AA75" s="6"/>
      <c r="AB75" s="6"/>
      <c r="AC75" s="6"/>
      <c r="AD75" s="6" t="s">
        <v>247</v>
      </c>
      <c r="AE75" s="6" t="s">
        <v>82</v>
      </c>
      <c r="AF75" s="6"/>
      <c r="AG75" s="6" t="s">
        <v>82</v>
      </c>
      <c r="AH75" s="6"/>
      <c r="AI75" s="6"/>
      <c r="AJ75" s="6"/>
      <c r="AK75" s="6"/>
      <c r="AL75" s="6"/>
      <c r="AM75" s="6"/>
      <c r="AN75" s="6" t="s">
        <v>81</v>
      </c>
      <c r="AO75" s="6" t="s">
        <v>132</v>
      </c>
      <c r="AP75" s="6"/>
      <c r="AQ75" s="6" t="s">
        <v>57</v>
      </c>
      <c r="AR75" s="6" t="s">
        <v>57</v>
      </c>
      <c r="AS75" s="6"/>
    </row>
    <row r="76" spans="2:45" s="54" customFormat="1" ht="15" customHeight="1">
      <c r="B76" s="6" t="s">
        <v>51</v>
      </c>
      <c r="C76" s="7" t="s">
        <v>248</v>
      </c>
      <c r="D76" s="7">
        <v>4250103331</v>
      </c>
      <c r="E76" s="7" t="s">
        <v>65</v>
      </c>
      <c r="F76" s="7" t="s">
        <v>249</v>
      </c>
      <c r="G76" s="9">
        <v>14855</v>
      </c>
      <c r="H76" s="7" t="s">
        <v>63</v>
      </c>
      <c r="I76" s="6" t="s">
        <v>35</v>
      </c>
      <c r="J76" s="6" t="s">
        <v>37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2:45" s="54" customFormat="1" ht="15" customHeight="1">
      <c r="B77" s="6" t="s">
        <v>51</v>
      </c>
      <c r="C77" s="7" t="s">
        <v>250</v>
      </c>
      <c r="D77" s="7">
        <v>6505808795</v>
      </c>
      <c r="E77" s="7" t="s">
        <v>89</v>
      </c>
      <c r="F77" s="7" t="s">
        <v>251</v>
      </c>
      <c r="G77" s="9">
        <v>24838</v>
      </c>
      <c r="H77" s="7" t="s">
        <v>63</v>
      </c>
      <c r="I77" s="6" t="s">
        <v>35</v>
      </c>
      <c r="J77" s="6"/>
      <c r="K77" s="6" t="s">
        <v>37</v>
      </c>
      <c r="L77" s="6"/>
      <c r="M77" s="6"/>
      <c r="N77" s="6"/>
      <c r="O77" s="6"/>
      <c r="P77" s="6" t="s">
        <v>91</v>
      </c>
      <c r="Q77" s="6" t="s">
        <v>57</v>
      </c>
      <c r="R77" s="6"/>
      <c r="S77" s="6"/>
      <c r="T77" s="6"/>
      <c r="U77" s="6"/>
      <c r="V77" s="6"/>
      <c r="W77" s="6"/>
      <c r="X77" s="6" t="s">
        <v>59</v>
      </c>
      <c r="Y77" s="6"/>
      <c r="Z77" s="6"/>
      <c r="AA77" s="6"/>
      <c r="AB77" s="6"/>
      <c r="AC77" s="6"/>
      <c r="AD77" s="6"/>
      <c r="AE77" s="6" t="s">
        <v>58</v>
      </c>
      <c r="AF77" s="6"/>
      <c r="AG77" s="6" t="s">
        <v>58</v>
      </c>
      <c r="AH77" s="6"/>
      <c r="AI77" s="6"/>
      <c r="AJ77" s="6"/>
      <c r="AK77" s="6"/>
      <c r="AL77" s="6"/>
      <c r="AM77" s="6"/>
      <c r="AN77" s="6" t="s">
        <v>59</v>
      </c>
      <c r="AO77" s="6"/>
      <c r="AP77" s="6"/>
      <c r="AQ77" s="6" t="s">
        <v>57</v>
      </c>
      <c r="AR77" s="6" t="s">
        <v>57</v>
      </c>
      <c r="AS77" s="6"/>
    </row>
    <row r="78" spans="2:45" s="54" customFormat="1" ht="15" customHeight="1">
      <c r="B78" s="6" t="s">
        <v>51</v>
      </c>
      <c r="C78" s="7" t="s">
        <v>252</v>
      </c>
      <c r="D78" s="7">
        <v>4506303598</v>
      </c>
      <c r="E78" s="7" t="s">
        <v>152</v>
      </c>
      <c r="F78" s="7" t="s">
        <v>177</v>
      </c>
      <c r="G78" s="9">
        <v>20973</v>
      </c>
      <c r="H78" s="7" t="s">
        <v>63</v>
      </c>
      <c r="I78" s="6" t="s">
        <v>35</v>
      </c>
      <c r="J78" s="6"/>
      <c r="K78" s="6" t="s">
        <v>37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2:45" s="54" customFormat="1" ht="15" customHeight="1">
      <c r="B79" s="6" t="s">
        <v>51</v>
      </c>
      <c r="C79" s="7" t="s">
        <v>253</v>
      </c>
      <c r="D79" s="7">
        <v>4581198275</v>
      </c>
      <c r="E79" s="7" t="s">
        <v>61</v>
      </c>
      <c r="F79" s="7" t="s">
        <v>69</v>
      </c>
      <c r="G79" s="9">
        <v>19054</v>
      </c>
      <c r="H79" s="7" t="s">
        <v>63</v>
      </c>
      <c r="I79" s="6" t="s">
        <v>35</v>
      </c>
      <c r="J79" s="6"/>
      <c r="K79" s="6" t="s">
        <v>37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2:45" s="54" customFormat="1" ht="15" customHeight="1">
      <c r="B80" s="6" t="s">
        <v>51</v>
      </c>
      <c r="C80" s="7" t="s">
        <v>254</v>
      </c>
      <c r="D80" s="7">
        <v>4362000127</v>
      </c>
      <c r="E80" s="7" t="s">
        <v>65</v>
      </c>
      <c r="F80" s="7" t="s">
        <v>255</v>
      </c>
      <c r="G80" s="9">
        <v>14387</v>
      </c>
      <c r="H80" s="7" t="s">
        <v>63</v>
      </c>
      <c r="I80" s="6" t="s">
        <v>35</v>
      </c>
      <c r="J80" s="6"/>
      <c r="K80" s="6"/>
      <c r="L80" s="6" t="s">
        <v>37</v>
      </c>
      <c r="M80" s="6"/>
      <c r="N80" s="6"/>
      <c r="O80" s="6"/>
      <c r="P80" s="6" t="s">
        <v>256</v>
      </c>
      <c r="Q80" s="6" t="s">
        <v>57</v>
      </c>
      <c r="R80" s="6"/>
      <c r="S80" s="6"/>
      <c r="T80" s="6"/>
      <c r="U80" s="6"/>
      <c r="V80" s="6"/>
      <c r="W80" s="6"/>
      <c r="X80" s="6" t="s">
        <v>140</v>
      </c>
      <c r="Y80" s="6" t="s">
        <v>257</v>
      </c>
      <c r="Z80" s="6" t="s">
        <v>258</v>
      </c>
      <c r="AA80" s="6" t="s">
        <v>87</v>
      </c>
      <c r="AB80" s="6" t="s">
        <v>259</v>
      </c>
      <c r="AC80" s="6"/>
      <c r="AD80" s="6"/>
      <c r="AE80" s="6" t="s">
        <v>106</v>
      </c>
      <c r="AF80" s="6"/>
      <c r="AG80" s="6" t="s">
        <v>106</v>
      </c>
      <c r="AH80" s="6"/>
      <c r="AI80" s="6"/>
      <c r="AJ80" s="6"/>
      <c r="AK80" s="6"/>
      <c r="AL80" s="6"/>
      <c r="AM80" s="6"/>
      <c r="AN80" s="6" t="s">
        <v>140</v>
      </c>
      <c r="AO80" s="6" t="s">
        <v>257</v>
      </c>
      <c r="AP80" s="6"/>
      <c r="AQ80" s="6" t="s">
        <v>57</v>
      </c>
      <c r="AR80" s="6" t="s">
        <v>57</v>
      </c>
      <c r="AS80" s="6"/>
    </row>
    <row r="81" spans="1:44" s="54" customFormat="1" ht="15" customHeight="1">
      <c r="A81" s="6"/>
      <c r="B81" s="6" t="s">
        <v>51</v>
      </c>
      <c r="C81" s="7" t="s">
        <v>260</v>
      </c>
      <c r="D81" s="7">
        <v>4582092640</v>
      </c>
      <c r="E81" s="7" t="s">
        <v>65</v>
      </c>
      <c r="F81" s="7" t="s">
        <v>66</v>
      </c>
      <c r="G81" s="9">
        <v>19668</v>
      </c>
      <c r="H81" s="7" t="s">
        <v>63</v>
      </c>
      <c r="I81" s="6" t="s">
        <v>35</v>
      </c>
      <c r="J81" s="6" t="s">
        <v>37</v>
      </c>
      <c r="K81" s="6"/>
      <c r="L81" s="6"/>
      <c r="M81" s="6"/>
      <c r="N81" s="6"/>
      <c r="O81" s="6"/>
      <c r="P81" s="6" t="s">
        <v>261</v>
      </c>
      <c r="Q81" s="6" t="s">
        <v>57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 t="s">
        <v>58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s="54" customFormat="1" ht="15" customHeight="1">
      <c r="A82" s="6"/>
      <c r="B82" s="6" t="s">
        <v>51</v>
      </c>
      <c r="C82" s="7" t="s">
        <v>262</v>
      </c>
      <c r="D82" s="7">
        <v>4043521421</v>
      </c>
      <c r="E82" s="7" t="s">
        <v>61</v>
      </c>
      <c r="F82" s="7" t="s">
        <v>170</v>
      </c>
      <c r="G82" s="9">
        <v>26360</v>
      </c>
      <c r="H82" s="7" t="s">
        <v>63</v>
      </c>
      <c r="I82" s="6" t="s">
        <v>35</v>
      </c>
      <c r="J82" s="6"/>
      <c r="K82" s="6" t="s">
        <v>37</v>
      </c>
      <c r="L82" s="6"/>
      <c r="M82" s="6"/>
      <c r="N82" s="6"/>
      <c r="O82" s="6"/>
      <c r="P82" s="6" t="s">
        <v>175</v>
      </c>
      <c r="Q82" s="6" t="s">
        <v>57</v>
      </c>
      <c r="R82" s="6"/>
      <c r="S82" s="6"/>
      <c r="T82" s="6"/>
      <c r="U82" s="6"/>
      <c r="V82" s="6"/>
      <c r="W82" s="6"/>
      <c r="X82" s="6" t="s">
        <v>71</v>
      </c>
      <c r="Y82" s="6"/>
      <c r="Z82" s="6"/>
      <c r="AA82" s="6"/>
      <c r="AB82" s="6"/>
      <c r="AC82" s="6"/>
      <c r="AD82" s="6" t="s">
        <v>263</v>
      </c>
      <c r="AE82" s="6" t="s">
        <v>59</v>
      </c>
      <c r="AF82" s="6"/>
      <c r="AG82" s="6" t="s">
        <v>59</v>
      </c>
      <c r="AH82" s="6"/>
      <c r="AI82" s="6"/>
      <c r="AJ82" s="6"/>
      <c r="AK82" s="6"/>
      <c r="AL82" s="6"/>
      <c r="AM82" s="6"/>
      <c r="AN82" s="6" t="s">
        <v>71</v>
      </c>
      <c r="AO82" s="6"/>
      <c r="AP82" s="6"/>
      <c r="AQ82" s="6" t="s">
        <v>57</v>
      </c>
      <c r="AR82" s="6" t="s">
        <v>57</v>
      </c>
    </row>
    <row r="83" spans="1:44" s="54" customFormat="1" ht="15" customHeight="1">
      <c r="A83" s="6"/>
      <c r="B83" s="6" t="s">
        <v>51</v>
      </c>
      <c r="C83" s="7" t="s">
        <v>264</v>
      </c>
      <c r="D83" s="7">
        <v>4382255848</v>
      </c>
      <c r="E83" s="7" t="s">
        <v>53</v>
      </c>
      <c r="F83" s="7" t="s">
        <v>54</v>
      </c>
      <c r="G83" s="9">
        <v>15210</v>
      </c>
      <c r="H83" s="7" t="s">
        <v>55</v>
      </c>
      <c r="I83" s="6" t="s">
        <v>35</v>
      </c>
      <c r="J83" s="6"/>
      <c r="K83" s="6" t="s">
        <v>37</v>
      </c>
      <c r="L83" s="6"/>
      <c r="M83" s="6"/>
      <c r="N83" s="6"/>
      <c r="O83" s="6"/>
      <c r="P83" s="6" t="s">
        <v>265</v>
      </c>
      <c r="Q83" s="6" t="s">
        <v>57</v>
      </c>
      <c r="R83" s="6"/>
      <c r="S83" s="6"/>
      <c r="T83" s="6"/>
      <c r="U83" s="6"/>
      <c r="V83" s="6"/>
      <c r="W83" s="6"/>
      <c r="X83" s="6" t="s">
        <v>120</v>
      </c>
      <c r="Y83" s="6" t="s">
        <v>266</v>
      </c>
      <c r="Z83" s="6"/>
      <c r="AA83" s="6"/>
      <c r="AB83" s="6"/>
      <c r="AC83" s="6"/>
      <c r="AD83" s="6" t="s">
        <v>267</v>
      </c>
      <c r="AE83" s="6" t="s">
        <v>96</v>
      </c>
      <c r="AF83" s="6"/>
      <c r="AG83" s="6" t="s">
        <v>96</v>
      </c>
      <c r="AH83" s="6"/>
      <c r="AI83" s="6"/>
      <c r="AJ83" s="6"/>
      <c r="AK83" s="6"/>
      <c r="AL83" s="6"/>
      <c r="AM83" s="6"/>
      <c r="AN83" s="6" t="s">
        <v>120</v>
      </c>
      <c r="AO83" s="6" t="s">
        <v>266</v>
      </c>
      <c r="AP83" s="6"/>
      <c r="AQ83" s="6" t="s">
        <v>57</v>
      </c>
      <c r="AR83" s="6" t="s">
        <v>57</v>
      </c>
    </row>
    <row r="84" spans="1:44" s="54" customFormat="1" ht="15" customHeight="1">
      <c r="A84" s="6"/>
      <c r="B84" s="6" t="s">
        <v>51</v>
      </c>
      <c r="C84" s="7" t="s">
        <v>268</v>
      </c>
      <c r="D84" s="7">
        <v>4861994977</v>
      </c>
      <c r="E84" s="7" t="s">
        <v>65</v>
      </c>
      <c r="F84" s="7" t="s">
        <v>66</v>
      </c>
      <c r="G84" s="9">
        <v>23154</v>
      </c>
      <c r="H84" s="7" t="s">
        <v>63</v>
      </c>
      <c r="I84" s="6" t="s">
        <v>35</v>
      </c>
      <c r="J84" s="6"/>
      <c r="K84" s="6" t="s">
        <v>37</v>
      </c>
      <c r="L84" s="6"/>
      <c r="M84" s="6"/>
      <c r="N84" s="6"/>
      <c r="O84" s="6"/>
      <c r="P84" s="6" t="s">
        <v>269</v>
      </c>
      <c r="Q84" s="6" t="s">
        <v>57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 t="s">
        <v>270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s="54" customFormat="1" ht="15" customHeight="1">
      <c r="A85" s="6"/>
      <c r="B85" s="6" t="s">
        <v>51</v>
      </c>
      <c r="C85" s="7" t="s">
        <v>271</v>
      </c>
      <c r="D85" s="7">
        <v>4947025212</v>
      </c>
      <c r="E85" s="7" t="s">
        <v>61</v>
      </c>
      <c r="F85" s="7" t="s">
        <v>69</v>
      </c>
      <c r="G85" s="9">
        <v>17374</v>
      </c>
      <c r="H85" s="7" t="s">
        <v>63</v>
      </c>
      <c r="I85" s="6" t="s">
        <v>35</v>
      </c>
      <c r="J85" s="6"/>
      <c r="K85" s="6" t="s">
        <v>37</v>
      </c>
      <c r="L85" s="6"/>
      <c r="M85" s="6"/>
      <c r="N85" s="6"/>
      <c r="O85" s="6"/>
      <c r="P85" s="6" t="s">
        <v>272</v>
      </c>
      <c r="Q85" s="6" t="s">
        <v>57</v>
      </c>
      <c r="R85" s="6"/>
      <c r="S85" s="6"/>
      <c r="T85" s="6"/>
      <c r="U85" s="6"/>
      <c r="V85" s="6"/>
      <c r="W85" s="6"/>
      <c r="X85" s="6" t="s">
        <v>59</v>
      </c>
      <c r="Y85" s="6"/>
      <c r="Z85" s="6"/>
      <c r="AA85" s="6"/>
      <c r="AB85" s="6"/>
      <c r="AC85" s="6"/>
      <c r="AD85" s="6"/>
      <c r="AE85" s="6" t="s">
        <v>58</v>
      </c>
      <c r="AF85" s="6"/>
      <c r="AG85" s="6" t="s">
        <v>58</v>
      </c>
      <c r="AH85" s="6"/>
      <c r="AI85" s="6"/>
      <c r="AJ85" s="6"/>
      <c r="AK85" s="6"/>
      <c r="AL85" s="6"/>
      <c r="AM85" s="6"/>
      <c r="AN85" s="6" t="s">
        <v>59</v>
      </c>
      <c r="AO85" s="6"/>
      <c r="AP85" s="6"/>
      <c r="AQ85" s="6" t="s">
        <v>57</v>
      </c>
      <c r="AR85" s="6" t="s">
        <v>57</v>
      </c>
    </row>
    <row r="86" spans="1:44" s="54" customFormat="1" ht="15" customHeight="1">
      <c r="A86" s="6"/>
      <c r="B86" s="6" t="s">
        <v>51</v>
      </c>
      <c r="C86" s="7" t="s">
        <v>273</v>
      </c>
      <c r="D86" s="7">
        <v>4823057694</v>
      </c>
      <c r="E86" s="7" t="s">
        <v>53</v>
      </c>
      <c r="F86" s="7" t="s">
        <v>54</v>
      </c>
      <c r="G86" s="9">
        <v>22061</v>
      </c>
      <c r="H86" s="7" t="s">
        <v>55</v>
      </c>
      <c r="I86" s="6" t="s">
        <v>35</v>
      </c>
      <c r="J86" s="6"/>
      <c r="K86" s="6" t="s">
        <v>37</v>
      </c>
      <c r="L86" s="6"/>
      <c r="M86" s="6"/>
      <c r="N86" s="6"/>
      <c r="O86" s="6"/>
      <c r="P86" s="6" t="s">
        <v>274</v>
      </c>
      <c r="Q86" s="6" t="s">
        <v>57</v>
      </c>
      <c r="R86" s="6"/>
      <c r="S86" s="6"/>
      <c r="T86" s="6"/>
      <c r="U86" s="6"/>
      <c r="V86" s="6"/>
      <c r="W86" s="6"/>
      <c r="X86" s="6" t="s">
        <v>58</v>
      </c>
      <c r="Y86" s="6" t="s">
        <v>81</v>
      </c>
      <c r="Z86" s="6"/>
      <c r="AA86" s="6"/>
      <c r="AB86" s="6"/>
      <c r="AC86" s="6"/>
      <c r="AD86" s="6"/>
      <c r="AE86" s="6" t="s">
        <v>59</v>
      </c>
      <c r="AF86" s="6"/>
      <c r="AG86" s="6" t="s">
        <v>59</v>
      </c>
      <c r="AH86" s="6"/>
      <c r="AI86" s="6"/>
      <c r="AJ86" s="6"/>
      <c r="AK86" s="6"/>
      <c r="AL86" s="6"/>
      <c r="AM86" s="6"/>
      <c r="AN86" s="6" t="s">
        <v>58</v>
      </c>
      <c r="AO86" s="6" t="s">
        <v>81</v>
      </c>
      <c r="AP86" s="6"/>
      <c r="AQ86" s="6" t="s">
        <v>57</v>
      </c>
      <c r="AR86" s="6" t="s">
        <v>57</v>
      </c>
    </row>
    <row r="87" spans="1:44" s="54" customFormat="1" ht="15" customHeight="1">
      <c r="A87" s="6"/>
      <c r="B87" s="6" t="s">
        <v>51</v>
      </c>
      <c r="C87" s="7" t="s">
        <v>275</v>
      </c>
      <c r="D87" s="7">
        <v>4086897938</v>
      </c>
      <c r="E87" s="7" t="s">
        <v>78</v>
      </c>
      <c r="F87" s="7" t="s">
        <v>276</v>
      </c>
      <c r="G87" s="9">
        <v>25012</v>
      </c>
      <c r="H87" s="7" t="s">
        <v>63</v>
      </c>
      <c r="I87" s="6" t="s">
        <v>35</v>
      </c>
      <c r="J87" s="6" t="s">
        <v>37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9" spans="1:44" ht="15" customHeight="1">
      <c r="A89" s="47">
        <f>COUNTA(Table1[Rejected])</f>
        <v>3</v>
      </c>
      <c r="B89" s="47">
        <f>COUNTA(Table1[Sample origin])</f>
        <v>83</v>
      </c>
      <c r="C89" s="47">
        <f>COUNTA(Table1[Specimen number])</f>
        <v>83</v>
      </c>
      <c r="D89" s="47">
        <f>COUNTA(Table1[NHS numbers])</f>
        <v>80</v>
      </c>
      <c r="E89" s="47">
        <f>COUNTA(Table1[Tissue Pathway])</f>
        <v>82</v>
      </c>
      <c r="F89" s="47">
        <f>COUNTA(Table1[Specimen Notes])</f>
        <v>83</v>
      </c>
      <c r="G89" s="47">
        <f>COUNTA(Table1[DOB])</f>
        <v>83</v>
      </c>
      <c r="H89" s="47">
        <f>COUNTA(Table1[Gender])</f>
        <v>83</v>
      </c>
      <c r="I89" s="47">
        <f>COUNTA(Table1[Dissent Y/N])</f>
        <v>80</v>
      </c>
      <c r="J89" s="47">
        <f>COUNTA(Table1[Consent])</f>
        <v>6</v>
      </c>
      <c r="K89" s="47">
        <f>COUNTA(Table1[Form Incomplete])</f>
        <v>57</v>
      </c>
      <c r="L89" s="47">
        <f>COUNTA(Table1[Form missing])</f>
        <v>17</v>
      </c>
      <c r="M89" s="47">
        <f>COUNTA(Table1[No. small slides from CellNass])</f>
        <v>0</v>
      </c>
      <c r="N89" s="47">
        <f>COUNTA(Table1[No. large slides from CellNass])</f>
        <v>0</v>
      </c>
      <c r="O89" s="47">
        <f>COUNTA(Table1[Total no. of slides recieved from CellNass])</f>
        <v>0</v>
      </c>
      <c r="P89" s="47">
        <f>COUNTA(Table1[Slides Collected])</f>
        <v>67</v>
      </c>
      <c r="Q89" s="47">
        <f>COUNTA(Table1[CoPath (SC)])</f>
        <v>67</v>
      </c>
      <c r="R89" s="47">
        <f>COUNTA(Table1[Slides Missing (if any…)])</f>
        <v>1</v>
      </c>
      <c r="S89" s="47">
        <f>COUNTA(Table1[P1])</f>
        <v>2</v>
      </c>
      <c r="T89" s="47">
        <f>COUNTA(Table1[P2])</f>
        <v>1</v>
      </c>
      <c r="U89" s="47">
        <f>COUNTA(Table1[P3])</f>
        <v>1</v>
      </c>
      <c r="V89" s="47">
        <f>COUNTA(Table1[P4])</f>
        <v>1</v>
      </c>
      <c r="W89" s="47">
        <f>COUNTA(Table1[P5])</f>
        <v>1</v>
      </c>
      <c r="X89" s="47">
        <f>COUNTA(Table1[M1])</f>
        <v>37</v>
      </c>
      <c r="Y89" s="47">
        <f>COUNTA(Table1[M2])</f>
        <v>22</v>
      </c>
      <c r="Z89" s="47">
        <f>COUNTA(Table1[M3])</f>
        <v>11</v>
      </c>
      <c r="AA89" s="47">
        <f>COUNTA(Table1[M4])</f>
        <v>4</v>
      </c>
      <c r="AB89" s="47">
        <f>COUNTA(Table1[M5])</f>
        <v>2</v>
      </c>
      <c r="AC89" s="47">
        <f>COUNTA(Table1[N])</f>
        <v>0</v>
      </c>
      <c r="AD89" s="47">
        <f>COUNTA(Table1[S])</f>
        <v>14</v>
      </c>
      <c r="AE89" s="47">
        <f>COUNTA(Table1[X])</f>
        <v>57</v>
      </c>
      <c r="AF89" s="47">
        <f>COUNTA(Table1[Selected Slides Notes])</f>
        <v>1</v>
      </c>
      <c r="AG89" s="47">
        <f>COUNTA(Table1[X Blocks present])</f>
        <v>36</v>
      </c>
      <c r="AH89" s="47">
        <f>COUNTA(Table1[X Blocks Missing])</f>
        <v>4</v>
      </c>
      <c r="AI89" s="47">
        <f>COUNTA(Table1[Blocks recieved from CellNass])</f>
        <v>0</v>
      </c>
      <c r="AJ89" s="47">
        <f>COUNTA(Table1[Number of blocks recieved from CellNass])</f>
        <v>0</v>
      </c>
      <c r="AK89" s="47">
        <f>COUNTA(Table1[Block Collection Notes])</f>
        <v>0</v>
      </c>
      <c r="AL89" s="47">
        <f>COUNTA(Table1[PB1])</f>
        <v>0</v>
      </c>
      <c r="AM89" s="47">
        <f>COUNTA(Table1[PB2])</f>
        <v>0</v>
      </c>
      <c r="AN89" s="47">
        <f>COUNTA(Table1[MB1])</f>
        <v>34</v>
      </c>
      <c r="AO89" s="47">
        <f>COUNTA(Table1[MB2])</f>
        <v>21</v>
      </c>
      <c r="AP89" s="47">
        <f>COUNTA(Table1[NB1])</f>
        <v>0</v>
      </c>
      <c r="AQ89" s="47">
        <f>COUNTA(Table1[CoPath (BC)])</f>
        <v>34</v>
      </c>
      <c r="AR89" s="47">
        <f>COUNTA(Table1[CoPath (Tristar)])</f>
        <v>34</v>
      </c>
    </row>
  </sheetData>
  <mergeCells count="7">
    <mergeCell ref="AG1:AR1"/>
    <mergeCell ref="G3:H3"/>
    <mergeCell ref="A3:F3"/>
    <mergeCell ref="M3:O3"/>
    <mergeCell ref="P3:AF3"/>
    <mergeCell ref="I3:L3"/>
    <mergeCell ref="AG3:AR3"/>
  </mergeCells>
  <conditionalFormatting sqref="A1:A2 A4:A1048576 B89:H89">
    <cfRule type="containsText" dxfId="80" priority="5" operator="containsText" text="Yes">
      <formula>NOT(ISERROR(SEARCH("Yes",A1)))</formula>
    </cfRule>
  </conditionalFormatting>
  <conditionalFormatting sqref="C5:C74">
    <cfRule type="duplicateValues" dxfId="79" priority="3"/>
  </conditionalFormatting>
  <conditionalFormatting sqref="C75:C87">
    <cfRule type="duplicateValues" dxfId="78" priority="2"/>
  </conditionalFormatting>
  <conditionalFormatting sqref="C90:D1048576 C1:D2 C4:D4 A3 C88:D88 D5:D87">
    <cfRule type="duplicateValues" dxfId="77" priority="4"/>
  </conditionalFormatting>
  <conditionalFormatting sqref="D5:D87">
    <cfRule type="duplicateValues" dxfId="76" priority="1"/>
  </conditionalFormatting>
  <dataValidations count="2">
    <dataValidation type="list" allowBlank="1" showInputMessage="1" showErrorMessage="1" sqref="B5:B87" xr:uid="{D0F77DE9-FB39-419D-BE99-610A11C2D407}">
      <formula1>"CellNass, Archives, N/A"</formula1>
    </dataValidation>
    <dataValidation type="list" allowBlank="1" showInputMessage="1" showErrorMessage="1" sqref="A5:A87 Q5:Q87 AQ5:AR87" xr:uid="{80B113B1-0A7D-4FCF-A499-267FB893E2BF}">
      <formula1>"Yes, No, N/A"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FC8D31-B521-4328-B63C-8E90139C7890}">
          <x14:formula1>
            <xm:f>List!$A$2:$A$17</xm:f>
          </x14:formula1>
          <xm:sqref>E5:E87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7C13-AEE9-4514-85E0-75D9DF59D15B}">
  <dimension ref="A1:N37"/>
  <sheetViews>
    <sheetView workbookViewId="0">
      <selection activeCell="A37" sqref="A37"/>
    </sheetView>
  </sheetViews>
  <sheetFormatPr defaultRowHeight="15.95"/>
  <cols>
    <col min="1" max="1" width="11" bestFit="1" customWidth="1"/>
    <col min="6" max="6" width="12.5" bestFit="1" customWidth="1"/>
    <col min="13" max="13" width="10.375" bestFit="1" customWidth="1"/>
  </cols>
  <sheetData>
    <row r="1" spans="1:14" ht="29.1">
      <c r="A1" s="35" t="s">
        <v>9</v>
      </c>
      <c r="B1" s="44" t="s">
        <v>25</v>
      </c>
      <c r="C1" s="44" t="s">
        <v>26</v>
      </c>
      <c r="D1" s="44" t="s">
        <v>27</v>
      </c>
      <c r="E1" s="44" t="s">
        <v>28</v>
      </c>
      <c r="F1" s="44" t="s">
        <v>29</v>
      </c>
      <c r="G1" s="44" t="s">
        <v>30</v>
      </c>
      <c r="H1" s="44" t="s">
        <v>31</v>
      </c>
      <c r="I1" s="44" t="s">
        <v>32</v>
      </c>
      <c r="J1" s="44" t="s">
        <v>33</v>
      </c>
      <c r="K1" s="44" t="s">
        <v>34</v>
      </c>
      <c r="L1" s="44" t="s">
        <v>35</v>
      </c>
      <c r="M1" s="44" t="s">
        <v>36</v>
      </c>
      <c r="N1" s="44" t="s">
        <v>37</v>
      </c>
    </row>
    <row r="2" spans="1:14">
      <c r="A2" s="6" t="s">
        <v>68</v>
      </c>
      <c r="B2" s="6"/>
      <c r="C2" s="6"/>
      <c r="D2" s="6"/>
      <c r="E2" s="6"/>
      <c r="F2" s="6"/>
      <c r="G2" s="6" t="s">
        <v>71</v>
      </c>
      <c r="H2" s="6"/>
      <c r="I2" s="6"/>
      <c r="J2" s="6"/>
      <c r="K2" s="6"/>
      <c r="L2" s="6"/>
      <c r="M2" s="6"/>
      <c r="N2" s="6" t="s">
        <v>59</v>
      </c>
    </row>
    <row r="3" spans="1:14">
      <c r="A3" s="6" t="s">
        <v>72</v>
      </c>
      <c r="B3" s="6"/>
      <c r="C3" s="6"/>
      <c r="D3" s="6"/>
      <c r="E3" s="6"/>
      <c r="F3" s="6"/>
      <c r="G3" s="6" t="s">
        <v>71</v>
      </c>
      <c r="H3" s="6" t="s">
        <v>74</v>
      </c>
      <c r="I3" s="6"/>
      <c r="J3" s="6"/>
      <c r="K3" s="6"/>
      <c r="L3" s="6"/>
      <c r="M3" s="6"/>
      <c r="N3" s="6" t="s">
        <v>59</v>
      </c>
    </row>
    <row r="4" spans="1:14">
      <c r="A4" s="6" t="s">
        <v>77</v>
      </c>
      <c r="B4" s="6"/>
      <c r="C4" s="6"/>
      <c r="D4" s="6"/>
      <c r="E4" s="6"/>
      <c r="F4" s="6"/>
      <c r="G4" s="6" t="s">
        <v>58</v>
      </c>
      <c r="H4" s="6" t="s">
        <v>81</v>
      </c>
      <c r="I4" s="6" t="s">
        <v>82</v>
      </c>
      <c r="J4" s="6"/>
      <c r="K4" s="6"/>
      <c r="L4" s="6"/>
      <c r="M4" s="6"/>
      <c r="N4" s="6" t="s">
        <v>59</v>
      </c>
    </row>
    <row r="5" spans="1:14">
      <c r="A5" s="6" t="s">
        <v>83</v>
      </c>
      <c r="B5" s="6"/>
      <c r="C5" s="6"/>
      <c r="D5" s="6"/>
      <c r="E5" s="6"/>
      <c r="F5" s="6"/>
      <c r="G5" s="6" t="s">
        <v>71</v>
      </c>
      <c r="H5" s="6" t="s">
        <v>59</v>
      </c>
      <c r="I5" s="6" t="s">
        <v>86</v>
      </c>
      <c r="J5" s="6"/>
      <c r="K5" s="6"/>
      <c r="L5" s="6"/>
      <c r="M5" s="6"/>
      <c r="N5" s="6" t="s">
        <v>87</v>
      </c>
    </row>
    <row r="6" spans="1:14">
      <c r="A6" s="6" t="s">
        <v>92</v>
      </c>
      <c r="B6" s="6"/>
      <c r="C6" s="6"/>
      <c r="D6" s="6"/>
      <c r="E6" s="6"/>
      <c r="F6" s="6"/>
      <c r="G6" s="6" t="s">
        <v>74</v>
      </c>
      <c r="H6" s="6" t="s">
        <v>71</v>
      </c>
      <c r="I6" s="6"/>
      <c r="J6" s="6"/>
      <c r="K6" s="6"/>
      <c r="L6" s="6"/>
      <c r="M6" s="6"/>
      <c r="N6" s="6" t="s">
        <v>59</v>
      </c>
    </row>
    <row r="7" spans="1:14">
      <c r="A7" s="6" t="s">
        <v>103</v>
      </c>
      <c r="B7" s="6"/>
      <c r="C7" s="6"/>
      <c r="D7" s="6"/>
      <c r="E7" s="6"/>
      <c r="F7" s="6"/>
      <c r="G7" s="6" t="s">
        <v>71</v>
      </c>
      <c r="H7" s="6"/>
      <c r="I7" s="6"/>
      <c r="J7" s="6"/>
      <c r="K7" s="6"/>
      <c r="L7" s="6"/>
      <c r="M7" s="6" t="s">
        <v>105</v>
      </c>
      <c r="N7" s="6" t="s">
        <v>106</v>
      </c>
    </row>
    <row r="8" spans="1:14" s="53" customFormat="1">
      <c r="A8" s="64" t="s">
        <v>118</v>
      </c>
      <c r="B8" s="64"/>
      <c r="C8" s="64"/>
      <c r="D8" s="64"/>
      <c r="E8" s="64"/>
      <c r="F8" s="64"/>
      <c r="G8" s="64" t="s">
        <v>120</v>
      </c>
      <c r="H8" s="64"/>
      <c r="I8" s="64"/>
      <c r="J8" s="64"/>
      <c r="K8" s="64"/>
      <c r="L8" s="64"/>
      <c r="M8" s="64"/>
      <c r="N8" s="64" t="s">
        <v>71</v>
      </c>
    </row>
    <row r="9" spans="1:14">
      <c r="A9" s="6" t="s">
        <v>123</v>
      </c>
      <c r="B9" s="6"/>
      <c r="C9" s="6"/>
      <c r="D9" s="6"/>
      <c r="E9" s="6"/>
      <c r="F9" s="6"/>
      <c r="G9" s="6" t="s">
        <v>71</v>
      </c>
      <c r="H9" s="6"/>
      <c r="I9" s="6"/>
      <c r="J9" s="6"/>
      <c r="K9" s="6"/>
      <c r="L9" s="6"/>
      <c r="M9" s="6" t="s">
        <v>74</v>
      </c>
      <c r="N9" s="6" t="s">
        <v>106</v>
      </c>
    </row>
    <row r="10" spans="1:14">
      <c r="A10" s="6" t="s">
        <v>130</v>
      </c>
      <c r="B10" s="6"/>
      <c r="C10" s="6"/>
      <c r="D10" s="6"/>
      <c r="E10" s="6"/>
      <c r="F10" s="6"/>
      <c r="G10" s="6" t="s">
        <v>81</v>
      </c>
      <c r="H10" s="6" t="s">
        <v>59</v>
      </c>
      <c r="I10" s="6" t="s">
        <v>58</v>
      </c>
      <c r="J10" s="6" t="s">
        <v>132</v>
      </c>
      <c r="K10" s="6"/>
      <c r="L10" s="6"/>
      <c r="M10" s="6" t="s">
        <v>133</v>
      </c>
      <c r="N10" s="6" t="s">
        <v>82</v>
      </c>
    </row>
    <row r="11" spans="1:14">
      <c r="A11" s="6" t="s">
        <v>138</v>
      </c>
      <c r="B11" s="6"/>
      <c r="C11" s="6"/>
      <c r="D11" s="6"/>
      <c r="E11" s="6"/>
      <c r="F11" s="6"/>
      <c r="G11" s="6" t="s">
        <v>71</v>
      </c>
      <c r="H11" s="6" t="s">
        <v>106</v>
      </c>
      <c r="I11" s="6" t="s">
        <v>74</v>
      </c>
      <c r="J11" s="6"/>
      <c r="K11" s="6"/>
      <c r="L11" s="6"/>
      <c r="M11" s="6"/>
      <c r="N11" s="6" t="s">
        <v>140</v>
      </c>
    </row>
    <row r="12" spans="1:14">
      <c r="A12" s="6" t="s">
        <v>141</v>
      </c>
      <c r="B12" s="6"/>
      <c r="C12" s="6"/>
      <c r="D12" s="6"/>
      <c r="E12" s="6"/>
      <c r="F12" s="6"/>
      <c r="G12" s="6" t="s">
        <v>71</v>
      </c>
      <c r="H12" s="6"/>
      <c r="I12" s="6"/>
      <c r="J12" s="6"/>
      <c r="K12" s="6"/>
      <c r="L12" s="6"/>
      <c r="M12" s="6"/>
      <c r="N12" s="6" t="s">
        <v>59</v>
      </c>
    </row>
    <row r="13" spans="1:14">
      <c r="A13" s="6" t="s">
        <v>147</v>
      </c>
      <c r="B13" s="6"/>
      <c r="C13" s="6"/>
      <c r="D13" s="6"/>
      <c r="E13" s="6"/>
      <c r="F13" s="6"/>
      <c r="G13" s="6" t="s">
        <v>59</v>
      </c>
      <c r="H13" s="6" t="s">
        <v>58</v>
      </c>
      <c r="I13" s="6"/>
      <c r="J13" s="6"/>
      <c r="K13" s="6"/>
      <c r="L13" s="6"/>
      <c r="M13" s="6"/>
      <c r="N13" s="6" t="s">
        <v>81</v>
      </c>
    </row>
    <row r="14" spans="1:14">
      <c r="A14" s="6" t="s">
        <v>155</v>
      </c>
      <c r="B14" s="6"/>
      <c r="C14" s="6"/>
      <c r="D14" s="6"/>
      <c r="E14" s="6"/>
      <c r="F14" s="6"/>
      <c r="G14" s="67" t="s">
        <v>81</v>
      </c>
      <c r="H14" s="6" t="s">
        <v>59</v>
      </c>
      <c r="I14" s="6" t="s">
        <v>71</v>
      </c>
      <c r="J14" s="6"/>
      <c r="K14" s="6"/>
      <c r="L14" s="6"/>
      <c r="M14" s="6"/>
      <c r="N14" s="6" t="s">
        <v>58</v>
      </c>
    </row>
    <row r="15" spans="1:14">
      <c r="A15" s="6" t="s">
        <v>167</v>
      </c>
      <c r="B15" s="6"/>
      <c r="C15" s="6"/>
      <c r="D15" s="6"/>
      <c r="E15" s="6"/>
      <c r="F15" s="6"/>
      <c r="G15" s="6" t="s">
        <v>58</v>
      </c>
      <c r="H15" s="6" t="s">
        <v>82</v>
      </c>
      <c r="I15" s="6"/>
      <c r="J15" s="6"/>
      <c r="K15" s="6"/>
      <c r="L15" s="6"/>
      <c r="M15" s="6" t="s">
        <v>81</v>
      </c>
      <c r="N15" s="6" t="s">
        <v>59</v>
      </c>
    </row>
    <row r="16" spans="1:14">
      <c r="A16" s="6" t="s">
        <v>169</v>
      </c>
      <c r="B16" s="6"/>
      <c r="C16" s="6"/>
      <c r="D16" s="6"/>
      <c r="E16" s="6"/>
      <c r="F16" s="6"/>
      <c r="G16" s="6" t="s">
        <v>58</v>
      </c>
      <c r="H16" s="6"/>
      <c r="I16" s="6"/>
      <c r="J16" s="6"/>
      <c r="K16" s="6"/>
      <c r="L16" s="6"/>
      <c r="M16" s="6"/>
      <c r="N16" s="6" t="s">
        <v>59</v>
      </c>
    </row>
    <row r="17" spans="1:14">
      <c r="A17" s="6" t="s">
        <v>176</v>
      </c>
      <c r="B17" s="6"/>
      <c r="C17" s="6"/>
      <c r="D17" s="6"/>
      <c r="E17" s="6"/>
      <c r="F17" s="6"/>
      <c r="G17" s="6" t="s">
        <v>82</v>
      </c>
      <c r="H17" s="6" t="s">
        <v>179</v>
      </c>
      <c r="I17" s="6"/>
      <c r="J17" s="6"/>
      <c r="K17" s="6"/>
      <c r="L17" s="6"/>
      <c r="M17" s="6"/>
      <c r="N17" s="6" t="s">
        <v>81</v>
      </c>
    </row>
    <row r="18" spans="1:14">
      <c r="A18" s="6" t="s">
        <v>183</v>
      </c>
      <c r="B18" s="6"/>
      <c r="C18" s="6"/>
      <c r="D18" s="6"/>
      <c r="E18" s="6"/>
      <c r="F18" s="6"/>
      <c r="G18" s="6" t="s">
        <v>59</v>
      </c>
      <c r="H18" s="6"/>
      <c r="I18" s="6"/>
      <c r="J18" s="6"/>
      <c r="K18" s="6"/>
      <c r="L18" s="6"/>
      <c r="M18" s="6"/>
      <c r="N18" s="6" t="s">
        <v>58</v>
      </c>
    </row>
    <row r="19" spans="1:14" s="53" customFormat="1">
      <c r="A19" s="64" t="s">
        <v>185</v>
      </c>
      <c r="B19" s="64"/>
      <c r="C19" s="64"/>
      <c r="D19" s="64"/>
      <c r="E19" s="64"/>
      <c r="F19" s="64"/>
      <c r="G19" s="64" t="s">
        <v>187</v>
      </c>
      <c r="H19" s="64" t="s">
        <v>188</v>
      </c>
      <c r="I19" s="64" t="s">
        <v>87</v>
      </c>
      <c r="J19" s="64" t="s">
        <v>189</v>
      </c>
      <c r="K19" s="64"/>
      <c r="L19" s="64"/>
      <c r="M19" s="64"/>
      <c r="N19" s="64" t="s">
        <v>74</v>
      </c>
    </row>
    <row r="20" spans="1:14">
      <c r="A20" s="6" t="s">
        <v>190</v>
      </c>
      <c r="B20" s="6"/>
      <c r="C20" s="6"/>
      <c r="D20" s="6"/>
      <c r="E20" s="6"/>
      <c r="F20" s="6"/>
      <c r="G20" s="6" t="s">
        <v>81</v>
      </c>
      <c r="H20" s="6"/>
      <c r="I20" s="6"/>
      <c r="J20" s="6"/>
      <c r="K20" s="6"/>
      <c r="L20" s="6"/>
      <c r="M20" s="6"/>
      <c r="N20" s="6" t="s">
        <v>58</v>
      </c>
    </row>
    <row r="21" spans="1:14">
      <c r="A21" s="6" t="s">
        <v>193</v>
      </c>
      <c r="B21" s="6"/>
      <c r="C21" s="6"/>
      <c r="D21" s="6"/>
      <c r="E21" s="6"/>
      <c r="F21" s="6"/>
      <c r="G21" s="6" t="s">
        <v>58</v>
      </c>
      <c r="H21" s="6" t="s">
        <v>71</v>
      </c>
      <c r="I21" s="6"/>
      <c r="J21" s="6"/>
      <c r="K21" s="6"/>
      <c r="L21" s="6"/>
      <c r="M21" s="6"/>
      <c r="N21" s="6" t="s">
        <v>59</v>
      </c>
    </row>
    <row r="22" spans="1:14">
      <c r="A22" s="6" t="s">
        <v>196</v>
      </c>
      <c r="B22" s="6"/>
      <c r="C22" s="6"/>
      <c r="D22" s="6"/>
      <c r="E22" s="6"/>
      <c r="F22" s="6"/>
      <c r="G22" s="6" t="s">
        <v>58</v>
      </c>
      <c r="H22" s="6" t="s">
        <v>59</v>
      </c>
      <c r="I22" s="6"/>
      <c r="J22" s="6"/>
      <c r="K22" s="6"/>
      <c r="L22" s="6"/>
      <c r="M22" s="6"/>
      <c r="N22" s="6" t="s">
        <v>81</v>
      </c>
    </row>
    <row r="23" spans="1:14">
      <c r="A23" s="6" t="s">
        <v>198</v>
      </c>
      <c r="B23" s="6"/>
      <c r="C23" s="6"/>
      <c r="D23" s="6"/>
      <c r="E23" s="6"/>
      <c r="F23" s="6"/>
      <c r="G23" s="6" t="s">
        <v>81</v>
      </c>
      <c r="H23" s="6"/>
      <c r="I23" s="6"/>
      <c r="J23" s="6"/>
      <c r="K23" s="6"/>
      <c r="L23" s="6"/>
      <c r="M23" s="6" t="s">
        <v>59</v>
      </c>
      <c r="N23" s="6" t="s">
        <v>58</v>
      </c>
    </row>
    <row r="24" spans="1:14">
      <c r="A24" s="6" t="s">
        <v>199</v>
      </c>
      <c r="B24" s="6"/>
      <c r="C24" s="6"/>
      <c r="D24" s="6"/>
      <c r="E24" s="6"/>
      <c r="F24" s="6"/>
      <c r="G24" s="6" t="s">
        <v>59</v>
      </c>
      <c r="H24" s="6" t="s">
        <v>82</v>
      </c>
      <c r="I24" s="6" t="s">
        <v>179</v>
      </c>
      <c r="J24" s="6"/>
      <c r="K24" s="6"/>
      <c r="L24" s="6"/>
      <c r="M24" s="6"/>
      <c r="N24" s="6" t="s">
        <v>58</v>
      </c>
    </row>
    <row r="25" spans="1:14">
      <c r="A25" s="6" t="s">
        <v>207</v>
      </c>
      <c r="B25" s="6"/>
      <c r="C25" s="6"/>
      <c r="D25" s="6"/>
      <c r="E25" s="6"/>
      <c r="F25" s="6"/>
      <c r="G25" s="6" t="s">
        <v>59</v>
      </c>
      <c r="H25" s="6"/>
      <c r="I25" s="6"/>
      <c r="J25" s="6"/>
      <c r="K25" s="6"/>
      <c r="L25" s="6"/>
      <c r="M25" s="6"/>
      <c r="N25" s="6" t="s">
        <v>58</v>
      </c>
    </row>
    <row r="26" spans="1:14">
      <c r="A26" s="6" t="s">
        <v>209</v>
      </c>
      <c r="B26" s="6"/>
      <c r="C26" s="6"/>
      <c r="D26" s="6"/>
      <c r="E26" s="6"/>
      <c r="F26" s="6"/>
      <c r="G26" s="6" t="s">
        <v>59</v>
      </c>
      <c r="H26" s="6"/>
      <c r="I26" s="6"/>
      <c r="J26" s="6"/>
      <c r="K26" s="6"/>
      <c r="L26" s="6"/>
      <c r="M26" s="6"/>
      <c r="N26" s="6" t="s">
        <v>71</v>
      </c>
    </row>
    <row r="27" spans="1:14" s="53" customFormat="1">
      <c r="A27" s="64" t="s">
        <v>211</v>
      </c>
      <c r="B27" s="64"/>
      <c r="C27" s="64"/>
      <c r="D27" s="64"/>
      <c r="E27" s="64"/>
      <c r="F27" s="64"/>
      <c r="G27" s="64" t="s">
        <v>120</v>
      </c>
      <c r="H27" s="64"/>
      <c r="I27" s="64"/>
      <c r="J27" s="64"/>
      <c r="K27" s="64"/>
      <c r="L27" s="64"/>
      <c r="M27" s="64"/>
      <c r="N27" s="64" t="s">
        <v>213</v>
      </c>
    </row>
    <row r="28" spans="1:14">
      <c r="A28" s="6" t="s">
        <v>224</v>
      </c>
      <c r="B28" s="6"/>
      <c r="C28" s="6"/>
      <c r="D28" s="6"/>
      <c r="E28" s="6"/>
      <c r="F28" s="6"/>
      <c r="G28" s="6" t="s">
        <v>71</v>
      </c>
      <c r="H28" s="6" t="s">
        <v>106</v>
      </c>
      <c r="I28" s="6" t="s">
        <v>82</v>
      </c>
      <c r="J28" s="6" t="s">
        <v>179</v>
      </c>
      <c r="K28" s="6" t="s">
        <v>226</v>
      </c>
      <c r="L28" s="6"/>
      <c r="M28" s="6" t="s">
        <v>227</v>
      </c>
      <c r="N28" s="6" t="s">
        <v>74</v>
      </c>
    </row>
    <row r="29" spans="1:14">
      <c r="A29" s="6" t="s">
        <v>236</v>
      </c>
      <c r="B29" s="6"/>
      <c r="C29" s="6"/>
      <c r="D29" s="6"/>
      <c r="E29" s="6"/>
      <c r="F29" s="6"/>
      <c r="G29" s="6" t="s">
        <v>59</v>
      </c>
      <c r="H29" s="6" t="s">
        <v>179</v>
      </c>
      <c r="I29" s="6" t="s">
        <v>82</v>
      </c>
      <c r="J29" s="6"/>
      <c r="K29" s="6"/>
      <c r="L29" s="6"/>
      <c r="M29" s="6"/>
      <c r="N29" s="6" t="s">
        <v>81</v>
      </c>
    </row>
    <row r="30" spans="1:14">
      <c r="A30" s="6" t="s">
        <v>243</v>
      </c>
      <c r="B30" s="6"/>
      <c r="C30" s="6"/>
      <c r="D30" s="6"/>
      <c r="E30" s="6"/>
      <c r="F30" s="6"/>
      <c r="G30" s="6" t="s">
        <v>82</v>
      </c>
      <c r="H30" s="6" t="s">
        <v>179</v>
      </c>
      <c r="I30" s="6"/>
      <c r="J30" s="6"/>
      <c r="K30" s="6"/>
      <c r="L30" s="6"/>
      <c r="M30" s="6"/>
      <c r="N30" s="6" t="s">
        <v>81</v>
      </c>
    </row>
    <row r="31" spans="1:14">
      <c r="A31" s="6" t="s">
        <v>245</v>
      </c>
      <c r="B31" s="6"/>
      <c r="C31" s="6"/>
      <c r="D31" s="6"/>
      <c r="E31" s="6"/>
      <c r="F31" s="6"/>
      <c r="G31" s="6" t="s">
        <v>81</v>
      </c>
      <c r="H31" s="6" t="s">
        <v>132</v>
      </c>
      <c r="I31" s="6" t="s">
        <v>58</v>
      </c>
      <c r="J31" s="6"/>
      <c r="K31" s="6"/>
      <c r="L31" s="6"/>
      <c r="M31" s="6" t="s">
        <v>247</v>
      </c>
      <c r="N31" s="6" t="s">
        <v>82</v>
      </c>
    </row>
    <row r="32" spans="1:14">
      <c r="A32" s="6" t="s">
        <v>248</v>
      </c>
      <c r="B32" s="6"/>
      <c r="C32" s="6"/>
      <c r="D32" s="6"/>
      <c r="E32" s="6"/>
      <c r="F32" s="6"/>
      <c r="G32" s="6" t="s">
        <v>59</v>
      </c>
      <c r="H32" s="6"/>
      <c r="I32" s="6"/>
      <c r="J32" s="6"/>
      <c r="K32" s="6"/>
      <c r="L32" s="6"/>
      <c r="M32" s="6"/>
      <c r="N32" s="6" t="s">
        <v>58</v>
      </c>
    </row>
    <row r="33" spans="1:14">
      <c r="A33" s="6" t="s">
        <v>254</v>
      </c>
      <c r="B33" s="6"/>
      <c r="C33" s="6"/>
      <c r="D33" s="6"/>
      <c r="E33" s="6"/>
      <c r="F33" s="6"/>
      <c r="G33" s="6" t="s">
        <v>140</v>
      </c>
      <c r="H33" s="6" t="s">
        <v>257</v>
      </c>
      <c r="I33" s="6" t="s">
        <v>258</v>
      </c>
      <c r="J33" s="6" t="s">
        <v>87</v>
      </c>
      <c r="K33" s="6" t="s">
        <v>259</v>
      </c>
      <c r="L33" s="6"/>
      <c r="M33" s="6"/>
      <c r="N33" s="6" t="s">
        <v>106</v>
      </c>
    </row>
    <row r="34" spans="1:14">
      <c r="A34" s="6" t="s">
        <v>262</v>
      </c>
      <c r="B34" s="6"/>
      <c r="C34" s="6"/>
      <c r="D34" s="6"/>
      <c r="E34" s="6"/>
      <c r="F34" s="6"/>
      <c r="G34" s="6" t="s">
        <v>71</v>
      </c>
      <c r="H34" s="6"/>
      <c r="I34" s="6"/>
      <c r="J34" s="6"/>
      <c r="K34" s="6"/>
      <c r="L34" s="6"/>
      <c r="M34" s="6" t="s">
        <v>263</v>
      </c>
      <c r="N34" s="6" t="s">
        <v>59</v>
      </c>
    </row>
    <row r="35" spans="1:14" s="53" customFormat="1">
      <c r="A35" s="64" t="s">
        <v>264</v>
      </c>
      <c r="B35" s="64"/>
      <c r="C35" s="64"/>
      <c r="D35" s="64"/>
      <c r="E35" s="64"/>
      <c r="F35" s="64"/>
      <c r="G35" s="64" t="s">
        <v>120</v>
      </c>
      <c r="H35" s="64" t="s">
        <v>266</v>
      </c>
      <c r="I35" s="64"/>
      <c r="J35" s="64"/>
      <c r="K35" s="64"/>
      <c r="L35" s="64"/>
      <c r="M35" s="64" t="s">
        <v>267</v>
      </c>
      <c r="N35" s="64" t="s">
        <v>96</v>
      </c>
    </row>
    <row r="36" spans="1:14">
      <c r="A36" s="6" t="s">
        <v>271</v>
      </c>
      <c r="B36" s="6"/>
      <c r="C36" s="6"/>
      <c r="D36" s="6"/>
      <c r="E36" s="6"/>
      <c r="F36" s="6"/>
      <c r="G36" s="6" t="s">
        <v>59</v>
      </c>
      <c r="H36" s="6"/>
      <c r="I36" s="6"/>
      <c r="J36" s="6"/>
      <c r="K36" s="6"/>
      <c r="L36" s="6"/>
      <c r="M36" s="6"/>
      <c r="N36" s="6" t="s">
        <v>58</v>
      </c>
    </row>
    <row r="37" spans="1:14">
      <c r="A37" s="6" t="s">
        <v>273</v>
      </c>
      <c r="B37" s="6"/>
      <c r="C37" s="6"/>
      <c r="D37" s="6"/>
      <c r="E37" s="6"/>
      <c r="F37" s="6"/>
      <c r="G37" s="6" t="s">
        <v>58</v>
      </c>
      <c r="H37" s="6" t="s">
        <v>81</v>
      </c>
      <c r="I37" s="6"/>
      <c r="J37" s="6"/>
      <c r="K37" s="6"/>
      <c r="L37" s="6"/>
      <c r="M37" s="6"/>
      <c r="N37" s="6" t="s">
        <v>59</v>
      </c>
    </row>
  </sheetData>
  <conditionalFormatting sqref="A1">
    <cfRule type="duplicateValues" dxfId="28" priority="3"/>
  </conditionalFormatting>
  <conditionalFormatting sqref="A2:A30">
    <cfRule type="duplicateValues" dxfId="27" priority="38"/>
  </conditionalFormatting>
  <conditionalFormatting sqref="A31:A37">
    <cfRule type="duplicateValues" dxfId="26" priority="27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E9B1-4999-4B43-86A1-47073F40463A}">
  <sheetPr codeName="Sheet2"/>
  <dimension ref="A1:AS108"/>
  <sheetViews>
    <sheetView zoomScale="90" zoomScaleNormal="90" workbookViewId="0">
      <pane xSplit="3" ySplit="1" topLeftCell="F11" activePane="bottomRight" state="frozen"/>
      <selection pane="bottomRight" activeCell="F11" sqref="F11"/>
      <selection pane="bottomLeft"/>
      <selection pane="topRight"/>
    </sheetView>
  </sheetViews>
  <sheetFormatPr defaultColWidth="11" defaultRowHeight="15" customHeight="1"/>
  <cols>
    <col min="1" max="3" width="11" style="6"/>
    <col min="4" max="4" width="16.25" style="6" customWidth="1"/>
    <col min="5" max="5" width="17.25" style="6" bestFit="1" customWidth="1"/>
    <col min="6" max="6" width="13.375" style="6" customWidth="1"/>
    <col min="7" max="7" width="11" style="6"/>
    <col min="8" max="8" width="14.25" style="6" customWidth="1"/>
    <col min="9" max="9" width="16" style="6" bestFit="1" customWidth="1"/>
    <col min="10" max="10" width="14.5" style="6" customWidth="1"/>
    <col min="11" max="13" width="17.875" style="6" customWidth="1"/>
    <col min="14" max="14" width="37.125" style="6" bestFit="1" customWidth="1"/>
    <col min="15" max="15" width="10.125" style="6" customWidth="1"/>
    <col min="16" max="16" width="23.25" style="6" customWidth="1"/>
    <col min="17" max="17" width="11.75" style="6" customWidth="1"/>
    <col min="18" max="18" width="10.25" style="6" customWidth="1"/>
    <col min="19" max="19" width="10.375" style="6" customWidth="1"/>
    <col min="20" max="20" width="12.375" style="6" customWidth="1"/>
    <col min="21" max="21" width="9.5" style="6" customWidth="1"/>
    <col min="22" max="22" width="11.25" style="6" customWidth="1"/>
    <col min="23" max="23" width="12.375" style="6" customWidth="1"/>
    <col min="24" max="24" width="11.875" style="6" customWidth="1"/>
    <col min="25" max="25" width="11.25" style="6" customWidth="1"/>
    <col min="26" max="26" width="10.75" style="6" customWidth="1"/>
    <col min="27" max="27" width="14.25" style="6" customWidth="1"/>
    <col min="28" max="28" width="12.375" style="6" customWidth="1"/>
    <col min="29" max="29" width="15.875" style="6" customWidth="1"/>
    <col min="30" max="30" width="16.125" style="6" customWidth="1"/>
    <col min="31" max="31" width="20.375" style="6" customWidth="1"/>
    <col min="32" max="32" width="10.125" style="6" customWidth="1"/>
    <col min="33" max="33" width="20.375" style="6" bestFit="1" customWidth="1"/>
    <col min="34" max="34" width="17.875" style="6" customWidth="1"/>
    <col min="35" max="35" width="22.75" style="6" bestFit="1" customWidth="1"/>
    <col min="36" max="36" width="54.75" style="6" bestFit="1" customWidth="1"/>
    <col min="37" max="40" width="9.625" style="6" customWidth="1"/>
    <col min="41" max="41" width="11" style="6"/>
    <col min="42" max="42" width="13" style="6" bestFit="1" customWidth="1"/>
    <col min="43" max="43" width="11" style="6"/>
    <col min="44" max="44" width="9.25" style="6" bestFit="1" customWidth="1"/>
    <col min="45" max="45" width="17.75" style="6" bestFit="1" customWidth="1"/>
    <col min="46" max="16384" width="11" style="6"/>
  </cols>
  <sheetData>
    <row r="1" spans="1:45" s="25" customFormat="1" ht="31.5" customHeight="1">
      <c r="A1" s="15" t="s">
        <v>9</v>
      </c>
      <c r="B1" s="15" t="s">
        <v>10</v>
      </c>
      <c r="C1" s="15" t="s">
        <v>277</v>
      </c>
      <c r="D1" s="16" t="s">
        <v>277</v>
      </c>
      <c r="E1" s="16" t="s">
        <v>13</v>
      </c>
      <c r="F1" s="16" t="s">
        <v>14</v>
      </c>
      <c r="G1" s="22" t="s">
        <v>15</v>
      </c>
      <c r="H1" s="17" t="s">
        <v>278</v>
      </c>
      <c r="I1" s="17" t="s">
        <v>279</v>
      </c>
      <c r="J1" s="17" t="s">
        <v>280</v>
      </c>
      <c r="K1" s="18" t="s">
        <v>19</v>
      </c>
      <c r="L1" s="18" t="s">
        <v>20</v>
      </c>
      <c r="M1" s="18" t="s">
        <v>21</v>
      </c>
      <c r="N1" s="23" t="s">
        <v>22</v>
      </c>
      <c r="O1" s="24" t="s">
        <v>23</v>
      </c>
      <c r="P1" s="24" t="s">
        <v>24</v>
      </c>
      <c r="Q1" s="24" t="s">
        <v>25</v>
      </c>
      <c r="R1" s="24" t="s">
        <v>26</v>
      </c>
      <c r="S1" s="24" t="s">
        <v>27</v>
      </c>
      <c r="T1" s="24" t="s">
        <v>28</v>
      </c>
      <c r="U1" s="24" t="s">
        <v>29</v>
      </c>
      <c r="V1" s="24" t="s">
        <v>30</v>
      </c>
      <c r="W1" s="24" t="s">
        <v>31</v>
      </c>
      <c r="X1" s="24" t="s">
        <v>32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281</v>
      </c>
      <c r="AE1" s="24" t="s">
        <v>277</v>
      </c>
      <c r="AF1" s="19" t="s">
        <v>282</v>
      </c>
      <c r="AG1" s="19" t="s">
        <v>283</v>
      </c>
      <c r="AH1" s="19" t="s">
        <v>41</v>
      </c>
      <c r="AI1" s="19" t="s">
        <v>277</v>
      </c>
      <c r="AJ1" s="20" t="s">
        <v>284</v>
      </c>
      <c r="AK1" s="20" t="s">
        <v>284</v>
      </c>
      <c r="AL1" s="20" t="s">
        <v>63</v>
      </c>
      <c r="AM1" s="20" t="s">
        <v>63</v>
      </c>
      <c r="AN1" s="20" t="s">
        <v>35</v>
      </c>
      <c r="AO1" s="20" t="s">
        <v>49</v>
      </c>
      <c r="AP1" s="20" t="s">
        <v>50</v>
      </c>
      <c r="AQ1" s="20" t="s">
        <v>277</v>
      </c>
      <c r="AR1" s="21" t="s">
        <v>285</v>
      </c>
      <c r="AS1" s="21" t="s">
        <v>286</v>
      </c>
    </row>
    <row r="2" spans="1:45" ht="15" customHeight="1">
      <c r="A2" s="7"/>
      <c r="B2" s="7"/>
      <c r="C2" s="7"/>
      <c r="D2" s="7"/>
      <c r="E2" s="8"/>
      <c r="F2" s="7"/>
      <c r="N2" s="26"/>
      <c r="O2" s="32"/>
    </row>
    <row r="3" spans="1:45" ht="15" customHeight="1">
      <c r="A3" s="7"/>
      <c r="B3" s="7"/>
      <c r="C3" s="7"/>
      <c r="D3" s="7"/>
      <c r="E3" s="8"/>
      <c r="F3" s="7"/>
      <c r="N3" s="26"/>
      <c r="O3" s="32"/>
    </row>
    <row r="4" spans="1:45" ht="15" customHeight="1">
      <c r="A4" s="7"/>
      <c r="B4" s="7"/>
      <c r="C4" s="7"/>
      <c r="D4" s="7"/>
      <c r="E4" s="8"/>
      <c r="F4" s="7"/>
      <c r="N4" s="26"/>
      <c r="O4" s="32"/>
    </row>
    <row r="5" spans="1:45" ht="15" customHeight="1">
      <c r="A5" s="7"/>
      <c r="B5" s="7"/>
      <c r="C5" s="7"/>
      <c r="D5" s="7"/>
      <c r="E5" s="8"/>
      <c r="F5" s="7"/>
      <c r="N5" s="26"/>
      <c r="O5" s="32"/>
    </row>
    <row r="6" spans="1:45" ht="15" customHeight="1">
      <c r="A6" s="7"/>
      <c r="B6" s="7"/>
      <c r="C6" s="7"/>
      <c r="D6" s="7"/>
      <c r="E6" s="8"/>
      <c r="F6" s="7"/>
      <c r="O6" s="32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45" ht="15" customHeight="1">
      <c r="A7" s="7"/>
      <c r="B7" s="7"/>
      <c r="C7" s="7"/>
      <c r="D7" s="7"/>
      <c r="E7" s="8"/>
      <c r="F7" s="7"/>
      <c r="O7" s="32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45" ht="15" customHeight="1">
      <c r="A8" s="7"/>
      <c r="B8" s="7"/>
      <c r="C8" s="7"/>
      <c r="D8" s="7"/>
      <c r="E8" s="8"/>
      <c r="F8" s="7"/>
      <c r="O8" s="32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M8"/>
    </row>
    <row r="9" spans="1:45" ht="15" customHeight="1">
      <c r="A9" s="7"/>
      <c r="B9" s="7"/>
      <c r="C9" s="7"/>
      <c r="D9" s="7"/>
      <c r="E9" s="8"/>
      <c r="F9" s="7"/>
      <c r="O9" s="32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M9"/>
    </row>
    <row r="10" spans="1:45" ht="15" customHeight="1">
      <c r="A10" s="7"/>
      <c r="B10" s="7"/>
      <c r="C10" s="7"/>
      <c r="D10" s="7"/>
      <c r="E10" s="8"/>
      <c r="F10" s="7"/>
      <c r="O10" s="32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M10"/>
    </row>
    <row r="11" spans="1:45" ht="15" customHeight="1">
      <c r="A11" s="7"/>
      <c r="B11" s="7"/>
      <c r="C11" s="7"/>
      <c r="D11" s="7"/>
      <c r="E11" s="8"/>
      <c r="F11" s="7"/>
      <c r="O11" s="3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45" ht="15" customHeight="1">
      <c r="A12" s="7"/>
      <c r="B12" s="7"/>
      <c r="C12" s="7"/>
      <c r="D12" s="7"/>
      <c r="E12" s="8"/>
      <c r="F12" s="7"/>
      <c r="O12" s="32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45" ht="15" customHeight="1">
      <c r="A13" s="7"/>
      <c r="B13" s="7"/>
      <c r="C13" s="7"/>
      <c r="D13" s="7"/>
      <c r="E13" s="8"/>
      <c r="F13" s="7"/>
      <c r="O13" s="32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45" ht="15" customHeight="1">
      <c r="A14" s="7"/>
      <c r="B14" s="7"/>
      <c r="C14" s="7"/>
      <c r="D14" s="7"/>
      <c r="E14" s="8"/>
      <c r="F14" s="7"/>
      <c r="O14" s="32"/>
      <c r="P14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45" ht="15" customHeight="1">
      <c r="A15" s="7"/>
      <c r="B15" s="7"/>
      <c r="C15" s="7"/>
      <c r="D15" s="7"/>
      <c r="E15" s="8"/>
      <c r="F15" s="7"/>
      <c r="O15" s="32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45" ht="15" customHeight="1">
      <c r="A16" s="7"/>
      <c r="B16" s="7"/>
      <c r="C16" s="7"/>
      <c r="D16" s="7"/>
      <c r="E16" s="8"/>
      <c r="F16" s="7"/>
      <c r="O16" s="32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5" customHeight="1">
      <c r="A17" s="7"/>
      <c r="B17" s="7"/>
      <c r="C17" s="7"/>
      <c r="D17" s="7"/>
      <c r="E17" s="8"/>
      <c r="F17" s="7"/>
      <c r="N17" s="33"/>
      <c r="O17" s="32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5" customHeight="1">
      <c r="A18" s="7"/>
      <c r="B18" s="7"/>
      <c r="E18" s="8"/>
      <c r="N18" s="27"/>
      <c r="O18" s="32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5" customHeight="1">
      <c r="A19" s="7"/>
      <c r="B19" s="7"/>
      <c r="E19" s="8"/>
      <c r="O19" s="32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5" customHeight="1">
      <c r="A20" s="7"/>
      <c r="B20" s="7"/>
      <c r="E20" s="8"/>
      <c r="N20" s="33"/>
      <c r="O20" s="32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5" customHeight="1">
      <c r="A21" s="7"/>
      <c r="B21" s="7"/>
      <c r="E21" s="8"/>
      <c r="N21" s="33"/>
      <c r="O21" s="32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5" customHeight="1">
      <c r="A22" s="7"/>
      <c r="B22" s="7"/>
      <c r="E22" s="8"/>
      <c r="O22" s="32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5" customHeight="1">
      <c r="A23" s="7"/>
      <c r="B23" s="7"/>
      <c r="E23" s="8"/>
      <c r="O23" s="32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5" customHeight="1">
      <c r="A24" s="7"/>
      <c r="B24" s="7"/>
      <c r="E24" s="8"/>
      <c r="O24" s="32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ht="15" customHeight="1">
      <c r="A25" s="7"/>
      <c r="B25" s="7"/>
      <c r="E25" s="8"/>
      <c r="O25" s="32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5" customHeight="1">
      <c r="A26" s="7"/>
      <c r="B26" s="7"/>
      <c r="E26" s="8"/>
      <c r="N26" s="26"/>
      <c r="O26" s="32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5" customHeight="1">
      <c r="A27" s="7"/>
      <c r="B27" s="7"/>
      <c r="E27" s="8"/>
      <c r="O27" s="32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5" customHeight="1">
      <c r="A28" s="7"/>
      <c r="B28" s="7"/>
      <c r="E28" s="8"/>
      <c r="O28" s="32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5" customHeight="1">
      <c r="A29" s="7"/>
      <c r="B29" s="7"/>
      <c r="E29" s="8"/>
      <c r="O29" s="32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5" customHeight="1">
      <c r="A30" s="7"/>
      <c r="B30" s="7"/>
      <c r="E30" s="8"/>
      <c r="O30" s="32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ht="15" customHeight="1">
      <c r="A31" s="7"/>
      <c r="B31" s="7"/>
      <c r="E31" s="8"/>
      <c r="O31" s="32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5" customHeight="1">
      <c r="A32" s="7"/>
      <c r="B32" s="7"/>
      <c r="E32" s="8"/>
      <c r="O32" s="32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45" ht="15" customHeight="1">
      <c r="A33" s="7"/>
      <c r="B33" s="7"/>
      <c r="E33" s="8"/>
      <c r="O33" s="32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45" ht="15" customHeight="1">
      <c r="A34" s="7"/>
      <c r="B34" s="7"/>
      <c r="E34" s="8"/>
      <c r="O34" s="32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45" ht="15" customHeight="1">
      <c r="A35" s="7"/>
      <c r="B35" s="7"/>
      <c r="E35" s="8"/>
      <c r="O35" s="32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45" ht="15" customHeight="1">
      <c r="A36" s="7"/>
      <c r="B36" s="7"/>
      <c r="E36" s="8"/>
      <c r="O36" s="32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45" ht="15" customHeight="1">
      <c r="A37" s="7"/>
      <c r="B37" s="7"/>
      <c r="E37" s="8"/>
      <c r="H37" s="28"/>
      <c r="I37" s="28"/>
      <c r="L37" s="28"/>
      <c r="M37" s="28"/>
      <c r="O37" s="29"/>
      <c r="P37" s="28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27"/>
      <c r="AC37" s="30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</row>
    <row r="38" spans="1:45" ht="15" customHeight="1">
      <c r="A38" s="7"/>
      <c r="B38" s="7"/>
      <c r="E38" s="8"/>
      <c r="H38" s="28"/>
      <c r="I38" s="28"/>
      <c r="L38" s="28"/>
      <c r="M38" s="28"/>
      <c r="N38" s="27"/>
      <c r="O38" s="29"/>
      <c r="P38" s="28"/>
      <c r="Q38" s="30"/>
      <c r="R38" s="30"/>
      <c r="S38" s="30"/>
      <c r="T38" s="30"/>
      <c r="U38" s="30"/>
      <c r="V38" s="27"/>
      <c r="W38" s="30"/>
      <c r="X38" s="30"/>
      <c r="Y38" s="30"/>
      <c r="Z38" s="30"/>
      <c r="AA38" s="30"/>
      <c r="AB38" s="27"/>
      <c r="AC38" s="27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</row>
    <row r="39" spans="1:45" ht="15" customHeight="1">
      <c r="A39" s="7"/>
      <c r="B39" s="7"/>
      <c r="E39" s="8"/>
      <c r="H39" s="28"/>
      <c r="I39" s="28"/>
      <c r="L39" s="28"/>
      <c r="M39" s="28"/>
      <c r="O39" s="29"/>
      <c r="P39" s="28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27"/>
      <c r="AC39" s="30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</row>
    <row r="40" spans="1:45" ht="15" customHeight="1">
      <c r="A40" s="7"/>
      <c r="B40" s="7"/>
      <c r="E40" s="8"/>
      <c r="H40" s="28"/>
      <c r="J40" s="28"/>
      <c r="L40" s="28"/>
      <c r="M40" s="28"/>
      <c r="O40" s="29"/>
      <c r="P40" s="28"/>
      <c r="Q40" s="30"/>
      <c r="R40" s="30"/>
      <c r="S40" s="30"/>
      <c r="T40" s="30"/>
      <c r="U40" s="30"/>
      <c r="V40" s="27"/>
      <c r="W40" s="27"/>
      <c r="X40" s="27"/>
      <c r="Y40" s="27"/>
      <c r="Z40" s="27"/>
      <c r="AA40" s="30"/>
      <c r="AB40" s="27"/>
      <c r="AC40" s="27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</row>
    <row r="41" spans="1:45" ht="15" customHeight="1">
      <c r="A41" s="7"/>
      <c r="B41" s="7"/>
      <c r="E41" s="8"/>
      <c r="H41" s="28"/>
      <c r="I41" s="28"/>
      <c r="L41" s="28"/>
      <c r="M41" s="28"/>
      <c r="O41" s="29"/>
      <c r="P41" s="28"/>
      <c r="Q41" s="30"/>
      <c r="R41" s="30"/>
      <c r="S41" s="30"/>
      <c r="T41" s="30"/>
      <c r="U41" s="30"/>
      <c r="V41" s="27"/>
      <c r="W41" s="27"/>
      <c r="X41" s="27"/>
      <c r="Y41" s="27"/>
      <c r="Z41" s="27"/>
      <c r="AA41" s="27"/>
      <c r="AB41" s="27"/>
      <c r="AC41" s="27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</row>
    <row r="42" spans="1:45" ht="15" customHeight="1">
      <c r="A42" s="7"/>
      <c r="B42" s="7"/>
      <c r="E42" s="8"/>
      <c r="H42" s="28"/>
      <c r="I42" s="28"/>
      <c r="L42" s="28"/>
      <c r="M42" s="28"/>
      <c r="O42" s="29"/>
      <c r="P42" s="28"/>
      <c r="Q42" s="30"/>
      <c r="R42" s="30"/>
      <c r="S42" s="30"/>
      <c r="T42" s="30"/>
      <c r="U42" s="30"/>
      <c r="V42" s="27"/>
      <c r="W42" s="27"/>
      <c r="X42" s="27"/>
      <c r="Y42" s="27"/>
      <c r="Z42" s="27"/>
      <c r="AA42" s="27"/>
      <c r="AB42" s="27"/>
      <c r="AC42" s="27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</row>
    <row r="43" spans="1:45" ht="15" customHeight="1">
      <c r="A43" s="7"/>
      <c r="B43" s="7"/>
      <c r="E43" s="8"/>
      <c r="H43" s="28"/>
      <c r="I43" s="28"/>
      <c r="L43" s="28"/>
      <c r="M43" s="28"/>
      <c r="O43" s="29"/>
      <c r="P43" s="28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27"/>
      <c r="AC43" s="30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 spans="1:45" ht="15" customHeight="1">
      <c r="A44" s="7"/>
      <c r="B44" s="7"/>
      <c r="E44" s="8"/>
      <c r="H44" s="28"/>
      <c r="J44" s="28"/>
      <c r="L44" s="28"/>
      <c r="M44" s="28"/>
      <c r="O44" s="29"/>
      <c r="P44" s="28"/>
      <c r="Q44" s="30"/>
      <c r="R44" s="30"/>
      <c r="S44" s="30"/>
      <c r="T44" s="30"/>
      <c r="U44" s="30"/>
      <c r="V44" s="27"/>
      <c r="W44" s="27"/>
      <c r="X44" s="27"/>
      <c r="Y44" s="27"/>
      <c r="Z44" s="27"/>
      <c r="AA44" s="27"/>
      <c r="AB44" s="27"/>
      <c r="AC44" s="27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 spans="1:45" ht="15" customHeight="1">
      <c r="A45" s="7"/>
      <c r="B45" s="7"/>
      <c r="E45" s="8"/>
      <c r="H45" s="28"/>
      <c r="J45" s="28"/>
      <c r="L45" s="28"/>
      <c r="M45" s="28"/>
      <c r="O45" s="29"/>
      <c r="P45" s="28"/>
      <c r="Q45" s="30"/>
      <c r="R45" s="30"/>
      <c r="S45" s="30"/>
      <c r="T45" s="30"/>
      <c r="U45" s="30"/>
      <c r="V45" s="27"/>
      <c r="W45" s="27"/>
      <c r="X45" s="27"/>
      <c r="Y45" s="27"/>
      <c r="Z45" s="27"/>
      <c r="AA45" s="27"/>
      <c r="AB45" s="27"/>
      <c r="AC45" s="27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 spans="1:45" ht="15" customHeight="1">
      <c r="A46" s="7"/>
      <c r="B46" s="7"/>
      <c r="E46" s="8"/>
      <c r="H46" s="28"/>
      <c r="J46" s="28"/>
      <c r="K46" s="28"/>
      <c r="L46" s="28"/>
      <c r="M46" s="28"/>
      <c r="N46" s="28"/>
      <c r="O46" s="29"/>
      <c r="Q46" s="30"/>
      <c r="R46" s="30"/>
      <c r="S46" s="30"/>
      <c r="T46" s="30"/>
      <c r="U46" s="30"/>
      <c r="V46" s="27"/>
      <c r="W46" s="27"/>
      <c r="X46" s="27"/>
      <c r="Y46" s="27"/>
      <c r="Z46" s="27"/>
      <c r="AA46" s="27"/>
      <c r="AB46" s="27"/>
      <c r="AC46" s="27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</row>
    <row r="47" spans="1:45" ht="15" customHeight="1">
      <c r="A47" s="7"/>
      <c r="B47" s="7"/>
      <c r="E47" s="8"/>
      <c r="H47" s="28"/>
      <c r="I47" s="28"/>
      <c r="K47" s="28"/>
      <c r="L47" s="28"/>
      <c r="M47" s="28"/>
      <c r="N47" s="28"/>
      <c r="O47" s="29"/>
      <c r="Q47" s="30"/>
      <c r="R47" s="30"/>
      <c r="S47" s="30"/>
      <c r="T47" s="30"/>
      <c r="U47" s="30"/>
      <c r="V47" s="27"/>
      <c r="W47" s="27"/>
      <c r="X47" s="27"/>
      <c r="Y47" s="27"/>
      <c r="Z47" s="27"/>
      <c r="AA47" s="27"/>
      <c r="AB47" s="27"/>
      <c r="AC47" s="27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</row>
    <row r="48" spans="1:45" ht="15" customHeight="1">
      <c r="A48" s="7"/>
      <c r="B48" s="7"/>
      <c r="E48" s="8"/>
      <c r="H48" s="28"/>
      <c r="J48" s="28"/>
      <c r="L48" s="28"/>
      <c r="M48" s="28"/>
      <c r="O48" s="29"/>
      <c r="P48" s="28"/>
      <c r="Q48" s="30"/>
      <c r="R48" s="30"/>
      <c r="S48" s="30"/>
      <c r="T48" s="30"/>
      <c r="U48" s="30"/>
      <c r="V48" s="27"/>
      <c r="W48" s="27"/>
      <c r="X48" s="27"/>
      <c r="Y48" s="27"/>
      <c r="Z48" s="27"/>
      <c r="AA48" s="27"/>
      <c r="AB48" s="27"/>
      <c r="AC48" s="27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 spans="1:45" ht="15" customHeight="1">
      <c r="A49" s="7"/>
      <c r="B49" s="7"/>
      <c r="E49" s="8"/>
      <c r="H49" s="28"/>
      <c r="I49" s="28"/>
      <c r="L49" s="28"/>
      <c r="M49" s="28"/>
      <c r="N49" s="28"/>
      <c r="O49" s="29"/>
      <c r="Q49" s="30"/>
      <c r="R49" s="30"/>
      <c r="S49" s="30"/>
      <c r="T49" s="30"/>
      <c r="U49" s="30"/>
      <c r="V49" s="27"/>
      <c r="W49" s="27"/>
      <c r="X49" s="27"/>
      <c r="Y49" s="27"/>
      <c r="Z49" s="27"/>
      <c r="AA49" s="27"/>
      <c r="AB49" s="27"/>
      <c r="AC49" s="27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</row>
    <row r="50" spans="1:45" ht="15" customHeight="1">
      <c r="A50" s="7"/>
      <c r="B50" s="7"/>
      <c r="E50" s="8"/>
      <c r="H50" s="28"/>
      <c r="I50" s="28"/>
      <c r="L50" s="28"/>
      <c r="M50" s="28"/>
      <c r="O50" s="29"/>
      <c r="P50" s="28"/>
      <c r="Q50" s="30"/>
      <c r="R50" s="30"/>
      <c r="S50" s="30"/>
      <c r="T50" s="30"/>
      <c r="U50" s="30"/>
      <c r="V50" s="27"/>
      <c r="W50" s="27"/>
      <c r="X50" s="27"/>
      <c r="Y50" s="27"/>
      <c r="Z50" s="27"/>
      <c r="AA50" s="27"/>
      <c r="AB50" s="27"/>
      <c r="AC50" s="27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 spans="1:45" ht="15" customHeight="1">
      <c r="A51" s="7"/>
      <c r="B51" s="7"/>
      <c r="E51" s="8"/>
      <c r="H51" s="28"/>
      <c r="I51" s="28"/>
      <c r="L51" s="28"/>
      <c r="M51" s="28"/>
      <c r="O51" s="29"/>
      <c r="P51" s="28"/>
      <c r="Q51" s="30"/>
      <c r="R51" s="30"/>
      <c r="S51" s="30"/>
      <c r="T51" s="30"/>
      <c r="U51" s="30"/>
      <c r="V51" s="27"/>
      <c r="W51" s="27"/>
      <c r="X51" s="27"/>
      <c r="Y51" s="27"/>
      <c r="Z51" s="27"/>
      <c r="AA51" s="27"/>
      <c r="AB51" s="27"/>
      <c r="AC51" s="27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</row>
    <row r="52" spans="1:45" ht="15" customHeight="1">
      <c r="A52" s="7"/>
      <c r="B52" s="7"/>
      <c r="E52" s="8"/>
      <c r="H52" s="28"/>
      <c r="I52" s="28"/>
      <c r="L52" s="28"/>
      <c r="M52" s="28"/>
      <c r="O52" s="29"/>
      <c r="P52" s="28"/>
      <c r="Q52" s="30"/>
      <c r="R52" s="30"/>
      <c r="S52" s="30"/>
      <c r="T52" s="30"/>
      <c r="U52" s="30"/>
      <c r="V52" s="27"/>
      <c r="W52" s="27"/>
      <c r="X52" s="27"/>
      <c r="Y52" s="27"/>
      <c r="Z52" s="27"/>
      <c r="AA52" s="27"/>
      <c r="AB52" s="27"/>
      <c r="AC52" s="27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</row>
    <row r="53" spans="1:45" ht="15" customHeight="1">
      <c r="A53" s="7"/>
      <c r="B53" s="7"/>
      <c r="E53" s="8"/>
      <c r="H53" s="28"/>
      <c r="I53" s="28"/>
      <c r="L53" s="28"/>
      <c r="M53" s="28"/>
      <c r="O53" s="29"/>
      <c r="P53" s="28"/>
      <c r="Q53" s="30"/>
      <c r="R53" s="30"/>
      <c r="S53" s="30"/>
      <c r="T53" s="30"/>
      <c r="U53" s="30"/>
      <c r="V53" s="27"/>
      <c r="W53" s="27"/>
      <c r="X53" s="27"/>
      <c r="Y53" s="27"/>
      <c r="Z53" s="27"/>
      <c r="AA53" s="27"/>
      <c r="AB53" s="27"/>
      <c r="AC53" s="27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 spans="1:45" ht="15" customHeight="1">
      <c r="A54" s="7"/>
      <c r="B54" s="7"/>
      <c r="E54" s="8"/>
      <c r="H54" s="28"/>
      <c r="I54" s="28"/>
      <c r="L54" s="28"/>
      <c r="M54" s="28"/>
      <c r="O54" s="29"/>
      <c r="P54" s="28"/>
      <c r="Q54" s="30"/>
      <c r="R54" s="30"/>
      <c r="S54" s="30"/>
      <c r="T54" s="30"/>
      <c r="U54" s="30"/>
      <c r="V54" s="27"/>
      <c r="W54" s="27"/>
      <c r="X54" s="27"/>
      <c r="Y54" s="27"/>
      <c r="Z54" s="27"/>
      <c r="AA54" s="27"/>
      <c r="AB54" s="27"/>
      <c r="AC54" s="27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 spans="1:45" ht="15" customHeight="1">
      <c r="A55" s="7"/>
      <c r="B55" s="7"/>
      <c r="E55" s="8"/>
      <c r="H55" s="28"/>
      <c r="I55" s="28"/>
      <c r="K55" s="28"/>
      <c r="L55" s="28"/>
      <c r="M55" s="28"/>
      <c r="O55" s="29"/>
      <c r="P55" s="28"/>
      <c r="Q55" s="30"/>
      <c r="R55" s="30"/>
      <c r="S55" s="30"/>
      <c r="T55" s="30"/>
      <c r="U55" s="30"/>
      <c r="V55" s="27"/>
      <c r="W55" s="27"/>
      <c r="X55" s="27"/>
      <c r="Y55" s="27"/>
      <c r="Z55" s="27"/>
      <c r="AA55" s="27"/>
      <c r="AB55" s="27"/>
      <c r="AC55" s="30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 spans="1:45" ht="15" customHeight="1">
      <c r="A56" s="7"/>
      <c r="B56" s="7"/>
      <c r="E56" s="8"/>
      <c r="H56" s="28"/>
      <c r="I56" s="28"/>
      <c r="K56" s="28"/>
      <c r="L56" s="28"/>
      <c r="M56" s="28"/>
      <c r="O56" s="29"/>
      <c r="P56" s="28"/>
      <c r="Q56" s="30"/>
      <c r="R56" s="30"/>
      <c r="S56" s="30"/>
      <c r="T56" s="30"/>
      <c r="U56" s="30"/>
      <c r="V56" s="27"/>
      <c r="W56" s="27"/>
      <c r="X56" s="27"/>
      <c r="Y56" s="27"/>
      <c r="Z56" s="27"/>
      <c r="AA56" s="27"/>
      <c r="AB56" s="27"/>
      <c r="AC56" s="27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 spans="1:45" ht="15" customHeight="1">
      <c r="A57" s="7"/>
      <c r="B57" s="7"/>
      <c r="E57" s="8"/>
      <c r="H57" s="28"/>
      <c r="J57" s="28"/>
      <c r="K57" s="28"/>
      <c r="L57" s="28"/>
      <c r="M57" s="28"/>
      <c r="O57" s="29"/>
      <c r="P57" s="28"/>
      <c r="Q57" s="30"/>
      <c r="R57" s="30"/>
      <c r="S57" s="30"/>
      <c r="T57" s="30"/>
      <c r="U57" s="30"/>
      <c r="V57" s="27"/>
      <c r="W57" s="27"/>
      <c r="X57" s="27"/>
      <c r="Y57" s="27"/>
      <c r="Z57" s="27"/>
      <c r="AA57" s="27"/>
      <c r="AB57" s="27"/>
      <c r="AC57" s="27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 spans="1:45" ht="15" customHeight="1">
      <c r="A58" s="7"/>
      <c r="B58" s="7"/>
      <c r="E58" s="8"/>
      <c r="H58" s="28"/>
      <c r="I58" s="28"/>
      <c r="K58" s="28"/>
      <c r="L58" s="28"/>
      <c r="M58" s="28"/>
      <c r="O58" s="29"/>
      <c r="P58" s="28"/>
      <c r="Q58" s="30"/>
      <c r="R58" s="30"/>
      <c r="S58" s="30"/>
      <c r="T58" s="30"/>
      <c r="U58" s="30"/>
      <c r="V58" s="27"/>
      <c r="W58" s="27"/>
      <c r="X58" s="27"/>
      <c r="Y58" s="27"/>
      <c r="Z58" s="27"/>
      <c r="AA58" s="27"/>
      <c r="AB58" s="27"/>
      <c r="AC58" s="27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 spans="1:45" ht="15" customHeight="1">
      <c r="A59" s="7"/>
      <c r="B59" s="7"/>
      <c r="E59" s="8"/>
      <c r="H59" s="28"/>
      <c r="I59" s="28"/>
      <c r="K59" s="28"/>
      <c r="L59" s="28"/>
      <c r="M59" s="28"/>
      <c r="O59" s="29"/>
      <c r="P59" s="28"/>
      <c r="Q59" s="30"/>
      <c r="R59" s="30"/>
      <c r="S59" s="30"/>
      <c r="T59" s="30"/>
      <c r="U59" s="30"/>
      <c r="V59" s="27"/>
      <c r="W59" s="27"/>
      <c r="X59" s="27"/>
      <c r="Y59" s="27"/>
      <c r="Z59" s="27"/>
      <c r="AA59" s="27"/>
      <c r="AB59" s="27"/>
      <c r="AC59" s="27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 spans="1:45" ht="15" customHeight="1">
      <c r="A60" s="7"/>
      <c r="B60" s="7"/>
      <c r="E60" s="8"/>
      <c r="H60" s="28"/>
      <c r="I60" s="28"/>
      <c r="K60" s="28"/>
      <c r="L60" s="28"/>
      <c r="M60" s="28"/>
      <c r="O60" s="29"/>
      <c r="P60" s="28"/>
      <c r="Q60" s="30"/>
      <c r="R60" s="30"/>
      <c r="S60" s="30"/>
      <c r="T60" s="30"/>
      <c r="U60" s="30"/>
      <c r="V60" s="27"/>
      <c r="W60" s="27"/>
      <c r="X60" s="27"/>
      <c r="Y60" s="27"/>
      <c r="Z60" s="27"/>
      <c r="AA60" s="27"/>
      <c r="AB60" s="27"/>
      <c r="AC60" s="27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 spans="1:45" ht="15" customHeight="1">
      <c r="A61" s="7"/>
      <c r="B61" s="7"/>
      <c r="E61" s="8"/>
      <c r="G61" s="28"/>
      <c r="H61" s="28"/>
      <c r="I61" s="28"/>
      <c r="K61" s="28"/>
      <c r="L61" s="28"/>
      <c r="M61" s="28"/>
      <c r="O61" s="29"/>
      <c r="P61" s="28"/>
      <c r="Q61" s="30"/>
      <c r="R61" s="30"/>
      <c r="S61" s="30"/>
      <c r="T61" s="30"/>
      <c r="U61" s="30"/>
      <c r="V61" s="27"/>
      <c r="W61" s="27"/>
      <c r="X61" s="27"/>
      <c r="Y61" s="27"/>
      <c r="Z61" s="27"/>
      <c r="AA61" s="27"/>
      <c r="AB61" s="27"/>
      <c r="AC61" s="27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</row>
    <row r="62" spans="1:45" ht="15" customHeight="1">
      <c r="A62" s="7"/>
      <c r="B62" s="7"/>
      <c r="E62" s="8"/>
      <c r="G62" s="28"/>
      <c r="I62" s="28"/>
      <c r="J62" s="28"/>
      <c r="K62" s="28"/>
      <c r="L62" s="28"/>
      <c r="M62" s="28"/>
      <c r="O62" s="29"/>
      <c r="P62" s="28"/>
      <c r="Q62" s="30"/>
      <c r="R62" s="30"/>
      <c r="S62" s="30"/>
      <c r="T62" s="30"/>
      <c r="U62" s="30"/>
      <c r="V62" s="27"/>
      <c r="W62" s="27"/>
      <c r="X62" s="27"/>
      <c r="Y62" s="27"/>
      <c r="Z62" s="27"/>
      <c r="AA62" s="27"/>
      <c r="AB62" s="27"/>
      <c r="AC62" s="27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</row>
    <row r="63" spans="1:45" ht="15" customHeight="1">
      <c r="A63" s="7"/>
      <c r="B63" s="7"/>
      <c r="E63" s="8"/>
      <c r="G63" s="28"/>
      <c r="H63" s="28"/>
      <c r="J63" s="28"/>
      <c r="K63" s="28"/>
      <c r="L63" s="28"/>
      <c r="M63" s="28"/>
      <c r="O63" s="29"/>
      <c r="P63" s="28"/>
      <c r="Q63" s="30"/>
      <c r="R63" s="30"/>
      <c r="S63" s="30"/>
      <c r="U63" s="30"/>
      <c r="V63" s="27"/>
      <c r="W63" s="27"/>
      <c r="X63" s="27"/>
      <c r="Y63" s="27"/>
      <c r="Z63" s="27"/>
      <c r="AA63" s="27"/>
      <c r="AB63" s="27"/>
      <c r="AC63" s="27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</row>
    <row r="64" spans="1:45" ht="15" customHeight="1">
      <c r="A64" s="7"/>
      <c r="B64" s="7"/>
      <c r="E64" s="8"/>
      <c r="G64" s="28"/>
      <c r="H64" s="28"/>
      <c r="J64" s="28"/>
      <c r="K64" s="28"/>
      <c r="L64" s="28"/>
      <c r="M64" s="28"/>
      <c r="O64" s="29"/>
      <c r="P64" s="28"/>
      <c r="Q64" s="30"/>
      <c r="R64" s="30"/>
      <c r="S64" s="30"/>
      <c r="T64" s="30"/>
      <c r="U64" s="30"/>
      <c r="V64" s="27"/>
      <c r="W64" s="27"/>
      <c r="X64" s="27"/>
      <c r="Y64" s="27"/>
      <c r="Z64" s="27"/>
      <c r="AA64" s="27"/>
      <c r="AB64" s="27"/>
      <c r="AC64" s="27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</row>
    <row r="65" spans="1:45" ht="15" customHeight="1">
      <c r="A65" s="7"/>
      <c r="B65" s="7"/>
      <c r="E65" s="8"/>
      <c r="G65" s="28"/>
      <c r="H65" s="28"/>
      <c r="I65" s="28"/>
      <c r="K65" s="28"/>
      <c r="L65" s="28"/>
      <c r="M65" s="28"/>
      <c r="O65" s="29"/>
      <c r="P65" s="28"/>
      <c r="Q65" s="30"/>
      <c r="R65" s="30"/>
      <c r="S65" s="30"/>
      <c r="T65" s="30"/>
      <c r="U65" s="30"/>
      <c r="V65" s="27"/>
      <c r="W65" s="27"/>
      <c r="X65" s="27"/>
      <c r="Y65" s="27"/>
      <c r="Z65" s="27"/>
      <c r="AA65" s="27"/>
      <c r="AB65" s="27"/>
      <c r="AC65" s="27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</row>
    <row r="66" spans="1:45" ht="15" customHeight="1">
      <c r="A66" s="7"/>
      <c r="B66" s="7"/>
      <c r="E66" s="8"/>
      <c r="G66" s="28"/>
      <c r="H66" s="28"/>
      <c r="J66" s="28"/>
      <c r="K66" s="28"/>
      <c r="L66" s="28"/>
      <c r="M66" s="28"/>
      <c r="O66" s="29"/>
      <c r="P66" s="28"/>
      <c r="Q66" s="30"/>
      <c r="R66" s="30"/>
      <c r="S66" s="30"/>
      <c r="T66" s="30"/>
      <c r="U66" s="30"/>
      <c r="V66" s="27"/>
      <c r="W66" s="27"/>
      <c r="X66" s="27"/>
      <c r="Y66" s="27"/>
      <c r="Z66" s="27"/>
      <c r="AA66" s="27"/>
      <c r="AB66" s="27"/>
      <c r="AC66" s="27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</row>
    <row r="67" spans="1:45" ht="15" customHeight="1">
      <c r="A67" s="7"/>
      <c r="B67" s="7"/>
      <c r="E67" s="8"/>
      <c r="G67" s="28"/>
      <c r="H67" s="28"/>
      <c r="I67" s="28"/>
      <c r="K67" s="28"/>
      <c r="L67" s="28"/>
      <c r="M67" s="28"/>
      <c r="O67" s="29"/>
      <c r="P67" s="28"/>
      <c r="Q67" s="30"/>
      <c r="R67" s="30"/>
      <c r="S67" s="30"/>
      <c r="T67" s="30"/>
      <c r="U67" s="30"/>
      <c r="V67" s="27"/>
      <c r="W67" s="27"/>
      <c r="X67" s="27"/>
      <c r="Y67" s="27"/>
      <c r="Z67" s="27"/>
      <c r="AA67" s="27"/>
      <c r="AB67" s="27"/>
      <c r="AC67" s="27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</row>
    <row r="68" spans="1:45" ht="15" customHeight="1">
      <c r="A68" s="7"/>
      <c r="B68" s="7"/>
      <c r="E68" s="8"/>
      <c r="G68" s="28"/>
      <c r="H68" s="28"/>
      <c r="J68" s="28"/>
      <c r="K68" s="28"/>
      <c r="L68" s="28"/>
      <c r="M68" s="28"/>
      <c r="O68" s="29"/>
      <c r="P68" s="28"/>
      <c r="Q68" s="30"/>
      <c r="R68" s="30"/>
      <c r="S68" s="30"/>
      <c r="T68" s="30"/>
      <c r="U68" s="30"/>
      <c r="V68" s="27"/>
      <c r="W68" s="27"/>
      <c r="X68" s="27"/>
      <c r="Y68" s="27"/>
      <c r="Z68" s="30"/>
      <c r="AA68" s="27"/>
      <c r="AB68" s="27"/>
      <c r="AC68" s="27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 spans="1:45" ht="15" customHeight="1">
      <c r="A69" s="7"/>
      <c r="B69" s="7"/>
      <c r="E69" s="8"/>
      <c r="G69" s="28"/>
      <c r="H69" s="28"/>
      <c r="J69" s="28"/>
      <c r="K69" s="28"/>
      <c r="L69" s="28"/>
      <c r="M69" s="28"/>
      <c r="O69" s="29"/>
      <c r="P69" s="28"/>
      <c r="Q69" s="30"/>
      <c r="R69" s="30"/>
      <c r="S69" s="30"/>
      <c r="T69" s="30"/>
      <c r="U69" s="30"/>
      <c r="V69" s="27"/>
      <c r="W69" s="27"/>
      <c r="X69" s="27"/>
      <c r="Y69" s="27"/>
      <c r="Z69" s="27"/>
      <c r="AA69" s="27"/>
      <c r="AB69" s="27"/>
      <c r="AC69" s="27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</row>
    <row r="70" spans="1:45" ht="15" customHeight="1">
      <c r="A70" s="7"/>
      <c r="B70" s="7"/>
      <c r="E70" s="8"/>
      <c r="G70" s="28"/>
      <c r="H70" s="28"/>
      <c r="J70" s="28"/>
      <c r="K70" s="28"/>
      <c r="L70" s="28"/>
      <c r="M70" s="28"/>
      <c r="O70" s="29"/>
      <c r="P70" s="28"/>
      <c r="Q70" s="30"/>
      <c r="R70" s="30"/>
      <c r="S70" s="30"/>
      <c r="T70" s="30"/>
      <c r="U70" s="30"/>
      <c r="V70" s="27"/>
      <c r="W70" s="27"/>
      <c r="X70" s="27"/>
      <c r="Y70" s="27"/>
      <c r="Z70" s="27"/>
      <c r="AA70" s="27"/>
      <c r="AB70" s="27"/>
      <c r="AC70" s="27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</row>
    <row r="71" spans="1:45" ht="15" customHeight="1">
      <c r="A71" s="7"/>
      <c r="B71" s="7"/>
      <c r="E71" s="8"/>
      <c r="G71" s="28"/>
      <c r="H71" s="28"/>
      <c r="I71" s="28"/>
      <c r="K71" s="28"/>
      <c r="L71" s="28"/>
      <c r="M71" s="28"/>
      <c r="O71" s="29"/>
      <c r="P71" s="28"/>
      <c r="Q71" s="30"/>
      <c r="R71" s="30"/>
      <c r="S71" s="30"/>
      <c r="T71" s="30"/>
      <c r="U71" s="30"/>
      <c r="V71" s="27"/>
      <c r="W71" s="27"/>
      <c r="X71" s="27"/>
      <c r="Y71" s="27"/>
      <c r="Z71" s="27"/>
      <c r="AA71" s="27"/>
      <c r="AB71" s="27"/>
      <c r="AC71" s="27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</row>
    <row r="72" spans="1:45" ht="15" customHeight="1">
      <c r="A72" s="7"/>
      <c r="B72" s="7"/>
      <c r="E72" s="8"/>
      <c r="G72" s="28"/>
      <c r="H72" s="28"/>
      <c r="J72" s="28"/>
      <c r="K72" s="28"/>
      <c r="L72" s="28"/>
      <c r="M72" s="28"/>
      <c r="O72" s="29"/>
      <c r="P72" s="28"/>
      <c r="Q72" s="30"/>
      <c r="R72" s="30"/>
      <c r="S72" s="30"/>
      <c r="T72" s="30"/>
      <c r="U72" s="30"/>
      <c r="V72" s="27"/>
      <c r="W72" s="27"/>
      <c r="X72" s="27"/>
      <c r="Y72" s="27"/>
      <c r="Z72" s="27"/>
      <c r="AA72" s="27"/>
      <c r="AB72" s="27"/>
      <c r="AC72" s="27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</row>
    <row r="73" spans="1:45" ht="15" customHeight="1">
      <c r="A73" s="7"/>
      <c r="B73" s="7"/>
      <c r="E73" s="8"/>
      <c r="G73" s="28"/>
      <c r="H73" s="28"/>
      <c r="I73" s="28"/>
      <c r="K73" s="28"/>
      <c r="L73" s="28"/>
      <c r="M73" s="28"/>
      <c r="O73" s="29"/>
      <c r="P73" s="28"/>
      <c r="Q73" s="30"/>
      <c r="R73" s="30"/>
      <c r="S73" s="30"/>
      <c r="T73" s="30"/>
      <c r="U73" s="30"/>
      <c r="V73" s="27"/>
      <c r="W73" s="27"/>
      <c r="X73" s="27"/>
      <c r="Y73" s="27"/>
      <c r="Z73" s="27"/>
      <c r="AA73" s="27"/>
      <c r="AB73" s="27"/>
      <c r="AC73" s="27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 spans="1:45" ht="15" customHeight="1">
      <c r="A74"/>
      <c r="B74" s="26"/>
      <c r="C74"/>
      <c r="D74"/>
      <c r="E74"/>
      <c r="F74"/>
      <c r="G74"/>
      <c r="H74"/>
      <c r="I74"/>
      <c r="J74"/>
      <c r="K74"/>
      <c r="L74"/>
      <c r="M74"/>
      <c r="N74" s="26"/>
      <c r="O74" s="31"/>
      <c r="P74"/>
      <c r="Q74"/>
      <c r="R74"/>
      <c r="S74"/>
      <c r="T74"/>
      <c r="U74"/>
      <c r="V74"/>
      <c r="W74"/>
      <c r="X74"/>
      <c r="Y74"/>
      <c r="Z74"/>
      <c r="AA74"/>
      <c r="AB74"/>
      <c r="AC74" s="2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1:45" ht="15" customHeight="1">
      <c r="A75" s="7"/>
      <c r="B75" s="7"/>
      <c r="C75" s="7"/>
      <c r="D75" s="7"/>
      <c r="E75" s="8"/>
      <c r="F75" s="7"/>
    </row>
    <row r="76" spans="1:45" ht="15" customHeight="1">
      <c r="A76" s="7"/>
      <c r="B76" s="7"/>
      <c r="C76" s="7"/>
      <c r="D76" s="7"/>
      <c r="E76" s="8"/>
      <c r="F76" s="7"/>
    </row>
    <row r="77" spans="1:45" ht="15" customHeight="1">
      <c r="A77" s="7"/>
      <c r="B77" s="7"/>
      <c r="C77" s="7"/>
      <c r="D77" s="7"/>
      <c r="E77" s="8"/>
      <c r="F77" s="7"/>
    </row>
    <row r="78" spans="1:45" ht="15" customHeight="1">
      <c r="A78" s="7"/>
      <c r="B78" s="7"/>
      <c r="C78" s="7"/>
      <c r="D78" s="7"/>
      <c r="E78" s="8"/>
      <c r="F78" s="7"/>
    </row>
    <row r="79" spans="1:45" ht="15" customHeight="1">
      <c r="A79" s="7"/>
      <c r="B79" s="7"/>
      <c r="C79" s="7"/>
      <c r="D79" s="7"/>
      <c r="E79" s="8"/>
      <c r="F79" s="7"/>
    </row>
    <row r="80" spans="1:45" ht="15" customHeight="1">
      <c r="A80" s="7"/>
      <c r="B80" s="7"/>
      <c r="C80" s="7"/>
      <c r="D80" s="7"/>
      <c r="E80" s="8"/>
      <c r="F80" s="7"/>
    </row>
    <row r="81" spans="1:6" ht="15" customHeight="1">
      <c r="A81" s="7"/>
      <c r="B81" s="7"/>
      <c r="C81" s="7"/>
      <c r="D81" s="7"/>
      <c r="E81" s="8"/>
      <c r="F81" s="7"/>
    </row>
    <row r="82" spans="1:6" ht="15" customHeight="1">
      <c r="A82" s="7"/>
      <c r="B82" s="7"/>
      <c r="C82" s="7"/>
      <c r="D82" s="7"/>
      <c r="E82" s="8"/>
      <c r="F82" s="7"/>
    </row>
    <row r="83" spans="1:6" ht="15" customHeight="1">
      <c r="A83" s="7"/>
      <c r="B83" s="7"/>
      <c r="C83" s="7"/>
      <c r="D83" s="7"/>
      <c r="E83" s="8"/>
      <c r="F83" s="7"/>
    </row>
    <row r="84" spans="1:6" ht="15" customHeight="1">
      <c r="A84" s="7"/>
      <c r="B84" s="7"/>
      <c r="C84" s="7"/>
      <c r="D84" s="7"/>
      <c r="E84" s="8"/>
      <c r="F84" s="7"/>
    </row>
    <row r="85" spans="1:6" ht="15" customHeight="1">
      <c r="A85" s="7"/>
      <c r="B85" s="7"/>
      <c r="C85" s="7"/>
      <c r="D85" s="7"/>
      <c r="E85" s="8"/>
      <c r="F85" s="7"/>
    </row>
    <row r="86" spans="1:6" ht="15" customHeight="1">
      <c r="A86" s="7"/>
      <c r="B86" s="7"/>
      <c r="C86" s="7"/>
      <c r="D86" s="7"/>
      <c r="E86" s="8"/>
      <c r="F86" s="7"/>
    </row>
    <row r="87" spans="1:6" ht="15" customHeight="1">
      <c r="A87" s="7"/>
      <c r="B87" s="7"/>
      <c r="C87" s="7"/>
      <c r="D87" s="7"/>
      <c r="E87" s="8"/>
      <c r="F87" s="7"/>
    </row>
    <row r="88" spans="1:6" ht="15" customHeight="1">
      <c r="A88" s="7"/>
      <c r="B88" s="7"/>
      <c r="C88" s="7"/>
      <c r="D88" s="7"/>
      <c r="E88" s="8"/>
      <c r="F88" s="7"/>
    </row>
    <row r="89" spans="1:6" ht="15" customHeight="1">
      <c r="A89" s="7"/>
      <c r="B89" s="7"/>
      <c r="C89" s="7"/>
      <c r="D89" s="7"/>
      <c r="E89" s="8"/>
      <c r="F89" s="7"/>
    </row>
    <row r="90" spans="1:6" ht="15" customHeight="1">
      <c r="E90" s="9"/>
    </row>
    <row r="91" spans="1:6" ht="15" customHeight="1">
      <c r="E91" s="9"/>
    </row>
    <row r="92" spans="1:6" ht="15" customHeight="1">
      <c r="E92" s="9"/>
    </row>
    <row r="93" spans="1:6" ht="15" customHeight="1">
      <c r="E93" s="9"/>
    </row>
    <row r="94" spans="1:6" ht="15" customHeight="1">
      <c r="E94" s="9"/>
    </row>
    <row r="95" spans="1:6" ht="15" customHeight="1">
      <c r="E95" s="9"/>
    </row>
    <row r="96" spans="1:6" ht="15" customHeight="1">
      <c r="E96" s="9"/>
    </row>
    <row r="97" spans="5:5" ht="15" customHeight="1">
      <c r="E97" s="9"/>
    </row>
    <row r="98" spans="5:5" ht="15" customHeight="1">
      <c r="E98" s="9"/>
    </row>
    <row r="99" spans="5:5" ht="15" customHeight="1">
      <c r="E99" s="9"/>
    </row>
    <row r="100" spans="5:5" ht="15" customHeight="1">
      <c r="E100" s="9"/>
    </row>
    <row r="101" spans="5:5" ht="15" customHeight="1">
      <c r="E101" s="9"/>
    </row>
    <row r="102" spans="5:5" ht="15" customHeight="1">
      <c r="E102" s="9"/>
    </row>
    <row r="103" spans="5:5" ht="15" customHeight="1">
      <c r="E103" s="9"/>
    </row>
    <row r="104" spans="5:5" ht="15" customHeight="1">
      <c r="E104" s="9"/>
    </row>
    <row r="105" spans="5:5" ht="15" customHeight="1">
      <c r="E105" s="9"/>
    </row>
    <row r="106" spans="5:5" ht="15" customHeight="1">
      <c r="E106" s="9"/>
    </row>
    <row r="107" spans="5:5" ht="15" customHeight="1">
      <c r="E107" s="9"/>
    </row>
    <row r="108" spans="5:5" ht="15" customHeight="1">
      <c r="E108" s="9"/>
    </row>
  </sheetData>
  <conditionalFormatting sqref="A2:A73">
    <cfRule type="duplicateValues" dxfId="7" priority="1"/>
  </conditionalFormatting>
  <conditionalFormatting sqref="A1:B1 A75:B1048576">
    <cfRule type="duplicateValues" dxfId="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S41"/>
  <sheetViews>
    <sheetView topLeftCell="K1" workbookViewId="0">
      <selection activeCell="S33" sqref="S33"/>
    </sheetView>
  </sheetViews>
  <sheetFormatPr defaultRowHeight="15.95"/>
  <cols>
    <col min="1" max="1" width="21" customWidth="1"/>
    <col min="2" max="2" width="11.875" customWidth="1"/>
    <col min="3" max="3" width="9.75" bestFit="1" customWidth="1"/>
    <col min="7" max="7" width="13.375" customWidth="1"/>
    <col min="10" max="10" width="9.75" bestFit="1" customWidth="1"/>
    <col min="11" max="11" width="86.5" bestFit="1" customWidth="1"/>
    <col min="15" max="15" width="13.375" bestFit="1" customWidth="1"/>
    <col min="16" max="16" width="10.75" bestFit="1" customWidth="1"/>
  </cols>
  <sheetData>
    <row r="1" spans="1:19">
      <c r="A1" s="58" t="s">
        <v>287</v>
      </c>
      <c r="G1" s="58" t="s">
        <v>288</v>
      </c>
      <c r="O1" s="58" t="s">
        <v>289</v>
      </c>
    </row>
    <row r="3" spans="1:19">
      <c r="B3" s="1"/>
      <c r="C3" s="1"/>
      <c r="D3" s="86" t="s">
        <v>290</v>
      </c>
      <c r="E3" s="86"/>
      <c r="H3" s="1"/>
      <c r="J3" s="1"/>
      <c r="K3" s="1"/>
      <c r="L3" s="2" t="s">
        <v>290</v>
      </c>
      <c r="M3" s="2"/>
      <c r="P3" s="1"/>
      <c r="Q3" s="1"/>
      <c r="R3" s="86" t="s">
        <v>290</v>
      </c>
      <c r="S3" s="86"/>
    </row>
    <row r="4" spans="1:19" ht="31.7">
      <c r="A4" s="11" t="s">
        <v>9</v>
      </c>
      <c r="B4" s="1" t="s">
        <v>291</v>
      </c>
      <c r="C4" s="1" t="s">
        <v>292</v>
      </c>
      <c r="D4" s="2" t="s">
        <v>293</v>
      </c>
      <c r="E4" s="2" t="s">
        <v>294</v>
      </c>
      <c r="G4" s="11" t="s">
        <v>9</v>
      </c>
      <c r="H4" s="59" t="s">
        <v>291</v>
      </c>
      <c r="I4" s="59" t="s">
        <v>295</v>
      </c>
      <c r="J4" s="59" t="s">
        <v>292</v>
      </c>
      <c r="K4" s="59" t="s">
        <v>296</v>
      </c>
      <c r="L4" s="2" t="s">
        <v>293</v>
      </c>
      <c r="M4" s="2" t="s">
        <v>294</v>
      </c>
      <c r="O4" s="11" t="s">
        <v>9</v>
      </c>
      <c r="P4" s="1" t="s">
        <v>291</v>
      </c>
      <c r="Q4" s="1" t="s">
        <v>292</v>
      </c>
      <c r="R4" s="2" t="s">
        <v>293</v>
      </c>
      <c r="S4" s="2" t="s">
        <v>294</v>
      </c>
    </row>
    <row r="5" spans="1:19">
      <c r="A5" s="14" t="s">
        <v>68</v>
      </c>
      <c r="B5" s="14" t="s">
        <v>71</v>
      </c>
      <c r="C5" t="s">
        <v>297</v>
      </c>
      <c r="D5" t="s">
        <v>298</v>
      </c>
      <c r="E5" t="s">
        <v>299</v>
      </c>
      <c r="G5" s="60" t="s">
        <v>68</v>
      </c>
      <c r="H5" t="s">
        <v>71</v>
      </c>
      <c r="I5" t="s">
        <v>300</v>
      </c>
      <c r="J5" t="s">
        <v>297</v>
      </c>
      <c r="K5" t="s">
        <v>301</v>
      </c>
      <c r="L5" t="s">
        <v>299</v>
      </c>
      <c r="M5" t="s">
        <v>302</v>
      </c>
      <c r="O5" t="s">
        <v>72</v>
      </c>
      <c r="P5" t="s">
        <v>71</v>
      </c>
      <c r="Q5" t="s">
        <v>297</v>
      </c>
      <c r="R5" t="s">
        <v>298</v>
      </c>
      <c r="S5" t="s">
        <v>303</v>
      </c>
    </row>
    <row r="6" spans="1:19">
      <c r="A6" s="14" t="s">
        <v>130</v>
      </c>
      <c r="B6" s="14" t="s">
        <v>81</v>
      </c>
      <c r="C6" t="s">
        <v>297</v>
      </c>
      <c r="D6" t="s">
        <v>298</v>
      </c>
      <c r="E6" t="s">
        <v>299</v>
      </c>
      <c r="G6" s="60" t="s">
        <v>130</v>
      </c>
      <c r="H6" t="s">
        <v>59</v>
      </c>
      <c r="I6" t="s">
        <v>300</v>
      </c>
      <c r="J6" t="s">
        <v>297</v>
      </c>
      <c r="K6" t="s">
        <v>304</v>
      </c>
      <c r="L6" t="s">
        <v>299</v>
      </c>
      <c r="M6" t="s">
        <v>302</v>
      </c>
      <c r="O6" t="s">
        <v>72</v>
      </c>
      <c r="P6" t="s">
        <v>74</v>
      </c>
      <c r="Q6" t="s">
        <v>297</v>
      </c>
      <c r="R6" t="s">
        <v>298</v>
      </c>
      <c r="S6" t="s">
        <v>303</v>
      </c>
    </row>
    <row r="7" spans="1:19">
      <c r="A7" s="14" t="s">
        <v>130</v>
      </c>
      <c r="B7" s="14" t="s">
        <v>59</v>
      </c>
      <c r="C7" t="s">
        <v>297</v>
      </c>
      <c r="D7" t="s">
        <v>298</v>
      </c>
      <c r="E7" t="s">
        <v>299</v>
      </c>
      <c r="G7" s="60" t="s">
        <v>138</v>
      </c>
      <c r="H7" t="s">
        <v>71</v>
      </c>
      <c r="I7" t="s">
        <v>300</v>
      </c>
      <c r="J7" t="s">
        <v>297</v>
      </c>
      <c r="K7" t="s">
        <v>305</v>
      </c>
      <c r="L7" t="s">
        <v>299</v>
      </c>
      <c r="M7" t="s">
        <v>302</v>
      </c>
      <c r="O7" t="s">
        <v>77</v>
      </c>
      <c r="P7" t="s">
        <v>58</v>
      </c>
      <c r="Q7" t="s">
        <v>297</v>
      </c>
      <c r="R7" t="s">
        <v>298</v>
      </c>
      <c r="S7" t="s">
        <v>303</v>
      </c>
    </row>
    <row r="8" spans="1:19">
      <c r="A8" s="14" t="s">
        <v>138</v>
      </c>
      <c r="B8" s="14" t="s">
        <v>71</v>
      </c>
      <c r="C8" t="s">
        <v>297</v>
      </c>
      <c r="D8" t="s">
        <v>298</v>
      </c>
      <c r="E8" t="s">
        <v>299</v>
      </c>
      <c r="G8" s="60" t="s">
        <v>147</v>
      </c>
      <c r="H8" t="s">
        <v>59</v>
      </c>
      <c r="I8" t="s">
        <v>300</v>
      </c>
      <c r="J8" t="s">
        <v>297</v>
      </c>
      <c r="K8" t="s">
        <v>306</v>
      </c>
      <c r="L8" t="s">
        <v>299</v>
      </c>
      <c r="M8" t="s">
        <v>302</v>
      </c>
      <c r="O8" t="s">
        <v>77</v>
      </c>
      <c r="P8" t="s">
        <v>81</v>
      </c>
      <c r="Q8" t="s">
        <v>297</v>
      </c>
      <c r="R8" t="s">
        <v>298</v>
      </c>
      <c r="S8" t="s">
        <v>303</v>
      </c>
    </row>
    <row r="9" spans="1:19">
      <c r="A9" s="14" t="s">
        <v>138</v>
      </c>
      <c r="B9" s="14" t="s">
        <v>106</v>
      </c>
      <c r="C9" t="s">
        <v>297</v>
      </c>
      <c r="D9" t="s">
        <v>298</v>
      </c>
      <c r="E9" t="s">
        <v>299</v>
      </c>
      <c r="G9" s="60" t="s">
        <v>167</v>
      </c>
      <c r="H9" t="s">
        <v>82</v>
      </c>
      <c r="I9" t="s">
        <v>300</v>
      </c>
      <c r="J9" t="s">
        <v>297</v>
      </c>
      <c r="K9" t="s">
        <v>307</v>
      </c>
      <c r="L9" t="s">
        <v>299</v>
      </c>
      <c r="M9" t="s">
        <v>302</v>
      </c>
      <c r="O9" t="s">
        <v>83</v>
      </c>
      <c r="P9" t="s">
        <v>59</v>
      </c>
      <c r="Q9" t="s">
        <v>297</v>
      </c>
      <c r="R9" t="s">
        <v>298</v>
      </c>
      <c r="S9" t="s">
        <v>303</v>
      </c>
    </row>
    <row r="10" spans="1:19">
      <c r="A10" s="14" t="s">
        <v>147</v>
      </c>
      <c r="B10" s="14" t="s">
        <v>59</v>
      </c>
      <c r="C10" t="s">
        <v>297</v>
      </c>
      <c r="D10" t="s">
        <v>298</v>
      </c>
      <c r="E10" t="s">
        <v>299</v>
      </c>
      <c r="G10" s="60" t="s">
        <v>169</v>
      </c>
      <c r="H10" t="s">
        <v>58</v>
      </c>
      <c r="I10" t="s">
        <v>300</v>
      </c>
      <c r="J10" t="s">
        <v>297</v>
      </c>
      <c r="K10" t="s">
        <v>308</v>
      </c>
      <c r="L10" t="s">
        <v>299</v>
      </c>
      <c r="M10" t="s">
        <v>302</v>
      </c>
      <c r="O10" t="s">
        <v>83</v>
      </c>
      <c r="P10" t="s">
        <v>86</v>
      </c>
      <c r="Q10" t="s">
        <v>297</v>
      </c>
      <c r="R10" t="s">
        <v>298</v>
      </c>
      <c r="S10" t="s">
        <v>303</v>
      </c>
    </row>
    <row r="11" spans="1:19">
      <c r="A11" s="14" t="s">
        <v>147</v>
      </c>
      <c r="B11" s="14" t="s">
        <v>58</v>
      </c>
      <c r="C11" t="s">
        <v>297</v>
      </c>
      <c r="D11" t="s">
        <v>298</v>
      </c>
      <c r="E11" t="s">
        <v>299</v>
      </c>
      <c r="G11" s="60" t="s">
        <v>176</v>
      </c>
      <c r="H11" t="s">
        <v>179</v>
      </c>
      <c r="I11" t="s">
        <v>300</v>
      </c>
      <c r="J11" t="s">
        <v>297</v>
      </c>
      <c r="K11" t="s">
        <v>309</v>
      </c>
      <c r="L11" t="s">
        <v>299</v>
      </c>
      <c r="M11" t="s">
        <v>302</v>
      </c>
      <c r="O11" t="s">
        <v>92</v>
      </c>
      <c r="P11" t="s">
        <v>74</v>
      </c>
      <c r="Q11" t="s">
        <v>297</v>
      </c>
      <c r="R11" t="s">
        <v>298</v>
      </c>
      <c r="S11" t="s">
        <v>303</v>
      </c>
    </row>
    <row r="12" spans="1:19">
      <c r="A12" s="14" t="s">
        <v>167</v>
      </c>
      <c r="B12" s="14" t="s">
        <v>58</v>
      </c>
      <c r="C12" t="s">
        <v>297</v>
      </c>
      <c r="D12" t="s">
        <v>298</v>
      </c>
      <c r="E12" t="s">
        <v>299</v>
      </c>
      <c r="G12" s="60" t="s">
        <v>183</v>
      </c>
      <c r="H12" t="s">
        <v>59</v>
      </c>
      <c r="I12" t="s">
        <v>300</v>
      </c>
      <c r="J12" t="s">
        <v>297</v>
      </c>
      <c r="K12" t="s">
        <v>310</v>
      </c>
      <c r="L12" t="s">
        <v>299</v>
      </c>
      <c r="M12" t="s">
        <v>302</v>
      </c>
      <c r="O12" t="s">
        <v>92</v>
      </c>
      <c r="P12" t="s">
        <v>71</v>
      </c>
      <c r="Q12" t="s">
        <v>297</v>
      </c>
      <c r="R12" t="s">
        <v>298</v>
      </c>
      <c r="S12" t="s">
        <v>303</v>
      </c>
    </row>
    <row r="13" spans="1:19">
      <c r="A13" s="14" t="s">
        <v>167</v>
      </c>
      <c r="B13" s="14" t="s">
        <v>82</v>
      </c>
      <c r="C13" t="s">
        <v>297</v>
      </c>
      <c r="D13" t="s">
        <v>298</v>
      </c>
      <c r="E13" t="s">
        <v>299</v>
      </c>
      <c r="G13" s="60" t="s">
        <v>185</v>
      </c>
      <c r="H13" t="s">
        <v>87</v>
      </c>
      <c r="I13" t="s">
        <v>300</v>
      </c>
      <c r="J13" t="s">
        <v>297</v>
      </c>
      <c r="K13" t="s">
        <v>311</v>
      </c>
      <c r="L13" t="s">
        <v>299</v>
      </c>
      <c r="M13" t="s">
        <v>302</v>
      </c>
      <c r="O13" t="s">
        <v>103</v>
      </c>
      <c r="P13" t="s">
        <v>71</v>
      </c>
      <c r="Q13" t="s">
        <v>297</v>
      </c>
      <c r="R13" t="s">
        <v>298</v>
      </c>
      <c r="S13" t="s">
        <v>303</v>
      </c>
    </row>
    <row r="14" spans="1:19">
      <c r="A14" t="s">
        <v>169</v>
      </c>
      <c r="B14" s="14" t="s">
        <v>58</v>
      </c>
      <c r="C14" t="s">
        <v>297</v>
      </c>
      <c r="D14" t="s">
        <v>298</v>
      </c>
      <c r="E14" t="s">
        <v>299</v>
      </c>
      <c r="G14" s="60" t="s">
        <v>193</v>
      </c>
      <c r="H14" t="s">
        <v>58</v>
      </c>
      <c r="I14" t="s">
        <v>300</v>
      </c>
      <c r="J14" t="s">
        <v>297</v>
      </c>
      <c r="K14" t="s">
        <v>312</v>
      </c>
      <c r="L14" t="s">
        <v>299</v>
      </c>
      <c r="M14" t="s">
        <v>302</v>
      </c>
      <c r="O14" t="s">
        <v>123</v>
      </c>
      <c r="P14" t="s">
        <v>71</v>
      </c>
      <c r="Q14" t="s">
        <v>297</v>
      </c>
      <c r="R14" t="s">
        <v>298</v>
      </c>
      <c r="S14" t="s">
        <v>303</v>
      </c>
    </row>
    <row r="15" spans="1:19">
      <c r="A15" t="s">
        <v>176</v>
      </c>
      <c r="B15" t="s">
        <v>82</v>
      </c>
      <c r="C15" t="s">
        <v>297</v>
      </c>
      <c r="D15" t="s">
        <v>298</v>
      </c>
      <c r="E15" t="s">
        <v>299</v>
      </c>
      <c r="G15" s="60" t="s">
        <v>196</v>
      </c>
      <c r="H15" t="s">
        <v>58</v>
      </c>
      <c r="I15" t="s">
        <v>300</v>
      </c>
      <c r="J15" t="s">
        <v>297</v>
      </c>
      <c r="K15" t="s">
        <v>313</v>
      </c>
      <c r="L15" t="s">
        <v>299</v>
      </c>
      <c r="M15" t="s">
        <v>302</v>
      </c>
      <c r="O15" t="s">
        <v>155</v>
      </c>
      <c r="P15" t="s">
        <v>59</v>
      </c>
      <c r="Q15" t="s">
        <v>297</v>
      </c>
      <c r="R15" t="s">
        <v>298</v>
      </c>
      <c r="S15" t="s">
        <v>303</v>
      </c>
    </row>
    <row r="16" spans="1:19">
      <c r="A16" t="s">
        <v>176</v>
      </c>
      <c r="B16" t="s">
        <v>179</v>
      </c>
      <c r="C16" t="s">
        <v>297</v>
      </c>
      <c r="D16" t="s">
        <v>298</v>
      </c>
      <c r="E16" t="s">
        <v>299</v>
      </c>
      <c r="G16" s="60" t="s">
        <v>199</v>
      </c>
      <c r="H16" t="s">
        <v>82</v>
      </c>
      <c r="I16" t="s">
        <v>300</v>
      </c>
      <c r="J16" t="s">
        <v>297</v>
      </c>
      <c r="K16" t="s">
        <v>314</v>
      </c>
      <c r="L16" t="s">
        <v>299</v>
      </c>
      <c r="M16" t="s">
        <v>302</v>
      </c>
      <c r="O16" t="s">
        <v>155</v>
      </c>
      <c r="P16" t="s">
        <v>71</v>
      </c>
      <c r="Q16" t="s">
        <v>297</v>
      </c>
      <c r="R16" t="s">
        <v>298</v>
      </c>
      <c r="S16" t="s">
        <v>303</v>
      </c>
    </row>
    <row r="17" spans="1:19">
      <c r="A17" t="s">
        <v>183</v>
      </c>
      <c r="B17" t="s">
        <v>59</v>
      </c>
      <c r="C17" t="s">
        <v>297</v>
      </c>
      <c r="D17" t="s">
        <v>298</v>
      </c>
      <c r="E17" t="s">
        <v>299</v>
      </c>
      <c r="G17" s="60" t="s">
        <v>224</v>
      </c>
      <c r="H17" t="s">
        <v>82</v>
      </c>
      <c r="I17" t="s">
        <v>300</v>
      </c>
      <c r="J17" t="s">
        <v>297</v>
      </c>
      <c r="K17" t="s">
        <v>315</v>
      </c>
      <c r="L17" t="s">
        <v>299</v>
      </c>
      <c r="M17" t="s">
        <v>302</v>
      </c>
      <c r="O17" t="s">
        <v>190</v>
      </c>
      <c r="P17" t="s">
        <v>81</v>
      </c>
      <c r="Q17" t="s">
        <v>297</v>
      </c>
      <c r="R17" t="s">
        <v>298</v>
      </c>
      <c r="S17" t="s">
        <v>303</v>
      </c>
    </row>
    <row r="18" spans="1:19">
      <c r="A18" t="s">
        <v>185</v>
      </c>
      <c r="B18" t="s">
        <v>188</v>
      </c>
      <c r="C18" t="s">
        <v>297</v>
      </c>
      <c r="D18" t="s">
        <v>298</v>
      </c>
      <c r="E18" t="s">
        <v>299</v>
      </c>
      <c r="G18" s="60" t="s">
        <v>243</v>
      </c>
      <c r="H18" t="s">
        <v>179</v>
      </c>
      <c r="I18" t="s">
        <v>300</v>
      </c>
      <c r="J18" t="s">
        <v>297</v>
      </c>
      <c r="K18" t="s">
        <v>316</v>
      </c>
      <c r="L18" t="s">
        <v>299</v>
      </c>
      <c r="M18" t="s">
        <v>302</v>
      </c>
      <c r="O18" t="s">
        <v>198</v>
      </c>
      <c r="P18" t="s">
        <v>81</v>
      </c>
      <c r="Q18" t="s">
        <v>297</v>
      </c>
      <c r="R18" t="s">
        <v>298</v>
      </c>
      <c r="S18" t="s">
        <v>303</v>
      </c>
    </row>
    <row r="19" spans="1:19">
      <c r="A19" t="s">
        <v>185</v>
      </c>
      <c r="B19" t="s">
        <v>87</v>
      </c>
      <c r="C19" t="s">
        <v>297</v>
      </c>
      <c r="D19" t="s">
        <v>298</v>
      </c>
      <c r="E19" t="s">
        <v>299</v>
      </c>
      <c r="G19" s="60" t="s">
        <v>245</v>
      </c>
      <c r="H19" t="s">
        <v>132</v>
      </c>
      <c r="I19" t="s">
        <v>300</v>
      </c>
      <c r="J19" t="s">
        <v>297</v>
      </c>
      <c r="K19" t="s">
        <v>317</v>
      </c>
      <c r="L19" t="s">
        <v>299</v>
      </c>
      <c r="M19" t="s">
        <v>302</v>
      </c>
      <c r="O19" t="s">
        <v>207</v>
      </c>
      <c r="P19" t="s">
        <v>59</v>
      </c>
      <c r="Q19" t="s">
        <v>297</v>
      </c>
      <c r="R19" t="s">
        <v>298</v>
      </c>
      <c r="S19" t="s">
        <v>303</v>
      </c>
    </row>
    <row r="20" spans="1:19">
      <c r="A20" t="s">
        <v>193</v>
      </c>
      <c r="B20" t="s">
        <v>58</v>
      </c>
      <c r="C20" t="s">
        <v>297</v>
      </c>
      <c r="D20" t="s">
        <v>298</v>
      </c>
      <c r="E20" t="s">
        <v>299</v>
      </c>
      <c r="O20" t="s">
        <v>209</v>
      </c>
      <c r="P20" t="s">
        <v>59</v>
      </c>
      <c r="Q20" t="s">
        <v>297</v>
      </c>
      <c r="R20" t="s">
        <v>298</v>
      </c>
      <c r="S20" t="s">
        <v>303</v>
      </c>
    </row>
    <row r="21" spans="1:19">
      <c r="A21" t="s">
        <v>196</v>
      </c>
      <c r="B21" t="s">
        <v>58</v>
      </c>
      <c r="C21" t="s">
        <v>297</v>
      </c>
      <c r="D21" t="s">
        <v>298</v>
      </c>
      <c r="E21" t="s">
        <v>299</v>
      </c>
      <c r="G21" s="3" t="s">
        <v>318</v>
      </c>
      <c r="I21" s="4">
        <f>COUNTA(_xlfn.UNIQUE(G5:G19))</f>
        <v>15</v>
      </c>
      <c r="O21" t="s">
        <v>211</v>
      </c>
      <c r="P21" t="s">
        <v>120</v>
      </c>
      <c r="Q21" t="s">
        <v>297</v>
      </c>
      <c r="R21" t="s">
        <v>298</v>
      </c>
      <c r="S21" t="s">
        <v>303</v>
      </c>
    </row>
    <row r="22" spans="1:19">
      <c r="A22" t="s">
        <v>196</v>
      </c>
      <c r="B22" t="s">
        <v>59</v>
      </c>
      <c r="C22" t="s">
        <v>297</v>
      </c>
      <c r="D22" t="s">
        <v>298</v>
      </c>
      <c r="E22" t="s">
        <v>299</v>
      </c>
      <c r="O22" t="s">
        <v>236</v>
      </c>
      <c r="P22" t="s">
        <v>59</v>
      </c>
      <c r="Q22" t="s">
        <v>297</v>
      </c>
      <c r="R22" t="s">
        <v>298</v>
      </c>
      <c r="S22" t="s">
        <v>303</v>
      </c>
    </row>
    <row r="23" spans="1:19">
      <c r="A23" t="s">
        <v>199</v>
      </c>
      <c r="B23" t="s">
        <v>59</v>
      </c>
      <c r="C23" t="s">
        <v>297</v>
      </c>
      <c r="D23" t="s">
        <v>298</v>
      </c>
      <c r="E23" t="s">
        <v>299</v>
      </c>
      <c r="G23" s="3" t="s">
        <v>319</v>
      </c>
      <c r="I23" s="4">
        <f>COUNTIF(J5:J19, "Primary")</f>
        <v>0</v>
      </c>
      <c r="O23" t="s">
        <v>236</v>
      </c>
      <c r="P23" t="s">
        <v>179</v>
      </c>
      <c r="Q23" t="s">
        <v>297</v>
      </c>
      <c r="R23" t="s">
        <v>298</v>
      </c>
      <c r="S23" t="s">
        <v>303</v>
      </c>
    </row>
    <row r="24" spans="1:19">
      <c r="A24" t="s">
        <v>199</v>
      </c>
      <c r="B24" t="s">
        <v>82</v>
      </c>
      <c r="C24" t="s">
        <v>297</v>
      </c>
      <c r="D24" t="s">
        <v>298</v>
      </c>
      <c r="E24" t="s">
        <v>299</v>
      </c>
      <c r="G24" s="3" t="s">
        <v>320</v>
      </c>
      <c r="I24" s="4">
        <f>COUNTIF(J5:J19, "Metastatic")*4</f>
        <v>60</v>
      </c>
      <c r="O24" t="s">
        <v>250</v>
      </c>
      <c r="P24" t="s">
        <v>59</v>
      </c>
      <c r="Q24" t="s">
        <v>297</v>
      </c>
      <c r="R24" t="s">
        <v>298</v>
      </c>
      <c r="S24" t="s">
        <v>303</v>
      </c>
    </row>
    <row r="25" spans="1:19">
      <c r="A25" t="s">
        <v>224</v>
      </c>
      <c r="B25" t="s">
        <v>106</v>
      </c>
      <c r="C25" t="s">
        <v>297</v>
      </c>
      <c r="D25" t="s">
        <v>298</v>
      </c>
      <c r="E25" t="s">
        <v>299</v>
      </c>
      <c r="G25" s="3" t="s">
        <v>321</v>
      </c>
      <c r="I25" s="4">
        <f>COUNTIF(J5:J19, "Normal")</f>
        <v>0</v>
      </c>
      <c r="O25" t="s">
        <v>254</v>
      </c>
      <c r="P25" t="s">
        <v>140</v>
      </c>
      <c r="Q25" t="s">
        <v>297</v>
      </c>
      <c r="R25" t="s">
        <v>298</v>
      </c>
      <c r="S25" t="s">
        <v>303</v>
      </c>
    </row>
    <row r="26" spans="1:19">
      <c r="A26" t="s">
        <v>224</v>
      </c>
      <c r="B26" t="s">
        <v>82</v>
      </c>
      <c r="C26" t="s">
        <v>297</v>
      </c>
      <c r="D26" t="s">
        <v>298</v>
      </c>
      <c r="E26" t="s">
        <v>299</v>
      </c>
      <c r="G26" s="5"/>
      <c r="I26" s="12"/>
      <c r="O26" t="s">
        <v>254</v>
      </c>
      <c r="P26" t="s">
        <v>257</v>
      </c>
      <c r="Q26" t="s">
        <v>297</v>
      </c>
      <c r="R26" t="s">
        <v>298</v>
      </c>
      <c r="S26" t="s">
        <v>303</v>
      </c>
    </row>
    <row r="27" spans="1:19">
      <c r="A27" t="s">
        <v>243</v>
      </c>
      <c r="B27" t="s">
        <v>82</v>
      </c>
      <c r="C27" t="s">
        <v>297</v>
      </c>
      <c r="D27" t="s">
        <v>298</v>
      </c>
      <c r="E27" t="s">
        <v>299</v>
      </c>
      <c r="G27" s="3" t="s">
        <v>322</v>
      </c>
      <c r="I27" s="13">
        <f>SUM(I23:I25)</f>
        <v>60</v>
      </c>
      <c r="O27" t="s">
        <v>262</v>
      </c>
      <c r="P27" t="s">
        <v>71</v>
      </c>
      <c r="Q27" t="s">
        <v>297</v>
      </c>
      <c r="R27" t="s">
        <v>298</v>
      </c>
      <c r="S27" t="s">
        <v>303</v>
      </c>
    </row>
    <row r="28" spans="1:19">
      <c r="A28" t="s">
        <v>243</v>
      </c>
      <c r="B28" t="s">
        <v>179</v>
      </c>
      <c r="C28" t="s">
        <v>297</v>
      </c>
      <c r="D28" t="s">
        <v>298</v>
      </c>
      <c r="E28" t="s">
        <v>299</v>
      </c>
      <c r="O28" t="s">
        <v>264</v>
      </c>
      <c r="P28" t="s">
        <v>120</v>
      </c>
      <c r="Q28" t="s">
        <v>297</v>
      </c>
      <c r="R28" t="s">
        <v>298</v>
      </c>
      <c r="S28" t="s">
        <v>303</v>
      </c>
    </row>
    <row r="29" spans="1:19">
      <c r="A29" t="s">
        <v>245</v>
      </c>
      <c r="B29" t="s">
        <v>81</v>
      </c>
      <c r="C29" t="s">
        <v>297</v>
      </c>
      <c r="D29" t="s">
        <v>298</v>
      </c>
      <c r="E29" t="s">
        <v>299</v>
      </c>
      <c r="O29" t="s">
        <v>264</v>
      </c>
      <c r="P29" t="s">
        <v>266</v>
      </c>
      <c r="Q29" t="s">
        <v>297</v>
      </c>
      <c r="R29" t="s">
        <v>298</v>
      </c>
      <c r="S29" t="s">
        <v>303</v>
      </c>
    </row>
    <row r="30" spans="1:19">
      <c r="A30" t="s">
        <v>245</v>
      </c>
      <c r="B30" t="s">
        <v>132</v>
      </c>
      <c r="C30" t="s">
        <v>297</v>
      </c>
      <c r="D30" t="s">
        <v>298</v>
      </c>
      <c r="E30" t="s">
        <v>299</v>
      </c>
      <c r="O30" t="s">
        <v>271</v>
      </c>
      <c r="P30" t="s">
        <v>59</v>
      </c>
      <c r="Q30" t="s">
        <v>297</v>
      </c>
      <c r="R30" t="s">
        <v>298</v>
      </c>
      <c r="S30" t="s">
        <v>303</v>
      </c>
    </row>
    <row r="31" spans="1:19">
      <c r="O31" t="s">
        <v>273</v>
      </c>
      <c r="P31" t="s">
        <v>58</v>
      </c>
      <c r="Q31" t="s">
        <v>297</v>
      </c>
      <c r="R31" t="s">
        <v>298</v>
      </c>
      <c r="S31" t="s">
        <v>303</v>
      </c>
    </row>
    <row r="32" spans="1:19">
      <c r="A32" s="3" t="s">
        <v>318</v>
      </c>
      <c r="C32" s="4">
        <f>COUNTA(_xlfn.UNIQUE(A5:A30))</f>
        <v>15</v>
      </c>
      <c r="O32" t="s">
        <v>273</v>
      </c>
      <c r="P32" t="s">
        <v>81</v>
      </c>
      <c r="Q32" t="s">
        <v>297</v>
      </c>
      <c r="R32" t="s">
        <v>298</v>
      </c>
      <c r="S32" t="s">
        <v>303</v>
      </c>
    </row>
    <row r="34" spans="1:17">
      <c r="A34" s="3" t="s">
        <v>323</v>
      </c>
      <c r="C34" s="4">
        <f>COUNTIF(C5:C30, "Primary")</f>
        <v>0</v>
      </c>
      <c r="O34" s="3" t="s">
        <v>318</v>
      </c>
      <c r="Q34" s="4">
        <f>COUNTA(_xlfn.UNIQUE(O5:O32))</f>
        <v>19</v>
      </c>
    </row>
    <row r="35" spans="1:17">
      <c r="A35" s="3" t="s">
        <v>324</v>
      </c>
      <c r="C35" s="4">
        <f>COUNTIF(C5:C30, "Metastatic")</f>
        <v>26</v>
      </c>
    </row>
    <row r="36" spans="1:17">
      <c r="A36" s="3" t="s">
        <v>325</v>
      </c>
      <c r="C36" s="4">
        <f>COUNTIF(C5:C30, "Normal")</f>
        <v>0</v>
      </c>
      <c r="O36" s="3" t="s">
        <v>319</v>
      </c>
      <c r="Q36" s="4">
        <f>COUNTIF(Q5:Q32, "Primary")</f>
        <v>0</v>
      </c>
    </row>
    <row r="37" spans="1:17">
      <c r="A37" s="5"/>
      <c r="C37" s="12"/>
      <c r="O37" s="3" t="s">
        <v>320</v>
      </c>
      <c r="Q37" s="4">
        <f>COUNTIF(Q5:Q32, "Metastatic")</f>
        <v>28</v>
      </c>
    </row>
    <row r="38" spans="1:17" ht="16.350000000000001" thickBot="1">
      <c r="A38" s="3" t="s">
        <v>326</v>
      </c>
      <c r="C38" s="13">
        <f>SUM(C34:C36)</f>
        <v>26</v>
      </c>
      <c r="O38" s="3" t="s">
        <v>321</v>
      </c>
      <c r="Q38" s="4">
        <f>COUNTIF(Q5:Q32, "Normal")</f>
        <v>0</v>
      </c>
    </row>
    <row r="39" spans="1:17" ht="16.350000000000001" thickTop="1">
      <c r="O39" s="5"/>
      <c r="Q39" s="12"/>
    </row>
    <row r="40" spans="1:17" ht="16.350000000000001" thickBot="1">
      <c r="O40" s="3" t="s">
        <v>322</v>
      </c>
      <c r="Q40" s="13">
        <f>SUM(Q36:Q38)</f>
        <v>28</v>
      </c>
    </row>
    <row r="41" spans="1:17" ht="16.350000000000001" thickTop="1"/>
  </sheetData>
  <mergeCells count="2">
    <mergeCell ref="D3:E3"/>
    <mergeCell ref="R3:S3"/>
  </mergeCells>
  <conditionalFormatting sqref="A4">
    <cfRule type="duplicateValues" dxfId="5" priority="9"/>
  </conditionalFormatting>
  <conditionalFormatting sqref="A32 C32">
    <cfRule type="duplicateValues" dxfId="4" priority="10"/>
  </conditionalFormatting>
  <conditionalFormatting sqref="G4">
    <cfRule type="duplicateValues" dxfId="3" priority="4"/>
  </conditionalFormatting>
  <conditionalFormatting sqref="G21 I21">
    <cfRule type="duplicateValues" dxfId="2" priority="3"/>
  </conditionalFormatting>
  <conditionalFormatting sqref="O4">
    <cfRule type="duplicateValues" dxfId="1" priority="2"/>
  </conditionalFormatting>
  <conditionalFormatting sqref="O34 Q34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9926-5CC2-41A7-A269-CF9ADBFAE9C1}">
  <sheetPr codeName="Sheet4"/>
  <dimension ref="A1:A8"/>
  <sheetViews>
    <sheetView workbookViewId="0">
      <selection activeCell="F21" sqref="F21"/>
    </sheetView>
  </sheetViews>
  <sheetFormatPr defaultRowHeight="15.95"/>
  <sheetData>
    <row r="1" spans="1:1">
      <c r="A1" t="s">
        <v>327</v>
      </c>
    </row>
    <row r="2" spans="1:1">
      <c r="A2" s="53" t="s">
        <v>328</v>
      </c>
    </row>
    <row r="3" spans="1:1">
      <c r="A3" s="53" t="s">
        <v>329</v>
      </c>
    </row>
    <row r="4" spans="1:1">
      <c r="A4" s="53" t="s">
        <v>330</v>
      </c>
    </row>
    <row r="6" spans="1:1">
      <c r="A6" t="s">
        <v>331</v>
      </c>
    </row>
    <row r="7" spans="1:1">
      <c r="A7" t="s">
        <v>332</v>
      </c>
    </row>
    <row r="8" spans="1:1">
      <c r="A8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0203-4E36-42D5-9BBE-19F2173DECDE}">
  <dimension ref="A1:A17"/>
  <sheetViews>
    <sheetView workbookViewId="0">
      <selection activeCell="H35" sqref="H35"/>
    </sheetView>
  </sheetViews>
  <sheetFormatPr defaultRowHeight="15.95"/>
  <sheetData>
    <row r="1" spans="1:1">
      <c r="A1" s="48" t="s">
        <v>334</v>
      </c>
    </row>
    <row r="2" spans="1:1">
      <c r="A2" t="s">
        <v>78</v>
      </c>
    </row>
    <row r="3" spans="1:1">
      <c r="A3" t="s">
        <v>53</v>
      </c>
    </row>
    <row r="4" spans="1:1">
      <c r="A4" t="s">
        <v>98</v>
      </c>
    </row>
    <row r="5" spans="1:1">
      <c r="A5" t="s">
        <v>335</v>
      </c>
    </row>
    <row r="6" spans="1:1">
      <c r="A6" t="s">
        <v>336</v>
      </c>
    </row>
    <row r="7" spans="1:1">
      <c r="A7" t="s">
        <v>337</v>
      </c>
    </row>
    <row r="8" spans="1:1">
      <c r="A8" t="s">
        <v>142</v>
      </c>
    </row>
    <row r="9" spans="1:1">
      <c r="A9" t="s">
        <v>338</v>
      </c>
    </row>
    <row r="10" spans="1:1">
      <c r="A10" t="s">
        <v>89</v>
      </c>
    </row>
    <row r="11" spans="1:1">
      <c r="A11" t="s">
        <v>135</v>
      </c>
    </row>
    <row r="12" spans="1:1">
      <c r="A12" t="s">
        <v>152</v>
      </c>
    </row>
    <row r="13" spans="1:1">
      <c r="A13" t="s">
        <v>65</v>
      </c>
    </row>
    <row r="14" spans="1:1">
      <c r="A14" t="s">
        <v>339</v>
      </c>
    </row>
    <row r="15" spans="1:1">
      <c r="A15" t="s">
        <v>340</v>
      </c>
    </row>
    <row r="16" spans="1:1">
      <c r="A16" t="s">
        <v>108</v>
      </c>
    </row>
    <row r="17" spans="1:1">
      <c r="A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BENNETT, Nicholas (LEEDS TEACHING HOSPITALS NHS TRUST)</cp:lastModifiedBy>
  <cp:revision/>
  <dcterms:created xsi:type="dcterms:W3CDTF">2022-06-16T21:28:15Z</dcterms:created>
  <dcterms:modified xsi:type="dcterms:W3CDTF">2026-10-16T06:57:44Z</dcterms:modified>
  <cp:category/>
  <cp:contentStatus/>
</cp:coreProperties>
</file>