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Bone 1/"/>
    </mc:Choice>
  </mc:AlternateContent>
  <xr:revisionPtr revIDLastSave="4084" documentId="8_{3140DFD2-7C3F-451A-B46B-7BECFA569EE1}" xr6:coauthVersionLast="47" xr6:coauthVersionMax="47" xr10:uidLastSave="{BD4D1541-EDBB-470F-8A82-7C211F6F5188}"/>
  <bookViews>
    <workbookView xWindow="-110" yWindow="-110" windowWidth="38620" windowHeight="21820" firstSheet="1" activeTab="1" xr2:uid="{00000000-000D-0000-FFFF-FFFF00000000}"/>
  </bookViews>
  <sheets>
    <sheet name="Bone 1 (S2) Follow up" sheetId="1" r:id="rId1"/>
    <sheet name="Bone 1 (S2) Supplementary" sheetId="4" r:id="rId2"/>
    <sheet name="Mets" sheetId="5" r:id="rId3"/>
    <sheet name="Calculations &amp; Lists" sheetId="2" r:id="rId4"/>
    <sheet name="TTE Error Log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4" l="1"/>
  <c r="Z11" i="4"/>
  <c r="Z10" i="4"/>
  <c r="R12" i="4"/>
  <c r="S12" i="4"/>
  <c r="T12" i="4"/>
  <c r="U12" i="4"/>
  <c r="R11" i="4"/>
  <c r="S11" i="4"/>
  <c r="T11" i="4"/>
  <c r="U11" i="4"/>
  <c r="GX5" i="1"/>
  <c r="R10" i="4"/>
  <c r="S10" i="4"/>
  <c r="T10" i="4"/>
  <c r="U10" i="4"/>
  <c r="AT6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H4" i="1" s="1"/>
  <c r="HC4" i="1"/>
  <c r="HD4" i="1"/>
  <c r="HE4" i="1"/>
  <c r="HF4" i="1" s="1"/>
  <c r="HI4" i="1"/>
  <c r="HJ4" i="1"/>
  <c r="GM5" i="1"/>
  <c r="GN5" i="1"/>
  <c r="GO5" i="1"/>
  <c r="GP5" i="1"/>
  <c r="GQ5" i="1"/>
  <c r="GR5" i="1"/>
  <c r="GS5" i="1"/>
  <c r="GT5" i="1"/>
  <c r="GU5" i="1"/>
  <c r="GV5" i="1"/>
  <c r="GW5" i="1"/>
  <c r="GY5" i="1"/>
  <c r="HB5" i="1" s="1"/>
  <c r="GZ5" i="1"/>
  <c r="HA5" i="1"/>
  <c r="HC5" i="1"/>
  <c r="HJ5" i="1" s="1"/>
  <c r="HD5" i="1"/>
  <c r="HE5" i="1"/>
  <c r="HI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HB6" i="1" s="1"/>
  <c r="GZ6" i="1"/>
  <c r="HA6" i="1"/>
  <c r="HC6" i="1"/>
  <c r="HD6" i="1"/>
  <c r="HE6" i="1"/>
  <c r="HI6" i="1"/>
  <c r="HJ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HB7" i="1" s="1"/>
  <c r="GZ7" i="1"/>
  <c r="HA7" i="1"/>
  <c r="HC7" i="1"/>
  <c r="HD7" i="1"/>
  <c r="HE7" i="1"/>
  <c r="HI7" i="1"/>
  <c r="HJ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J8" i="1" s="1"/>
  <c r="HD8" i="1"/>
  <c r="HE8" i="1"/>
  <c r="HH8" i="1"/>
  <c r="HI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HB9" i="1" s="1"/>
  <c r="GZ9" i="1"/>
  <c r="HA9" i="1"/>
  <c r="HC9" i="1"/>
  <c r="HD9" i="1"/>
  <c r="HE9" i="1"/>
  <c r="HF9" i="1" s="1"/>
  <c r="HI9" i="1"/>
  <c r="HJ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HB10" i="1" s="1"/>
  <c r="GZ10" i="1"/>
  <c r="HA10" i="1"/>
  <c r="HC10" i="1"/>
  <c r="HJ10" i="1" s="1"/>
  <c r="HD10" i="1"/>
  <c r="HE10" i="1"/>
  <c r="HI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J11" i="1" s="1"/>
  <c r="HD11" i="1"/>
  <c r="HE11" i="1"/>
  <c r="HG11" i="1" a="1"/>
  <c r="HH11" i="1"/>
  <c r="HI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HB12" i="1" s="1"/>
  <c r="GZ12" i="1"/>
  <c r="HA12" i="1"/>
  <c r="HC12" i="1"/>
  <c r="HD12" i="1"/>
  <c r="HE12" i="1"/>
  <c r="HF12" i="1" s="1"/>
  <c r="HI12" i="1"/>
  <c r="HJ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HB13" i="1" s="1"/>
  <c r="GZ13" i="1"/>
  <c r="HA13" i="1"/>
  <c r="HC13" i="1"/>
  <c r="HD13" i="1"/>
  <c r="HE13" i="1"/>
  <c r="HI13" i="1"/>
  <c r="HJ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HB14" i="1" s="1"/>
  <c r="GZ14" i="1"/>
  <c r="HA14" i="1"/>
  <c r="HC14" i="1"/>
  <c r="HJ14" i="1" s="1"/>
  <c r="HD14" i="1"/>
  <c r="HE14" i="1"/>
  <c r="HI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HB15" i="1" s="1"/>
  <c r="GZ15" i="1"/>
  <c r="HA15" i="1"/>
  <c r="HC15" i="1"/>
  <c r="HD15" i="1"/>
  <c r="HE15" i="1"/>
  <c r="HF15" i="1" s="1"/>
  <c r="HI15" i="1"/>
  <c r="HJ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HB16" i="1" s="1"/>
  <c r="GZ16" i="1"/>
  <c r="HA16" i="1"/>
  <c r="HC16" i="1"/>
  <c r="HD16" i="1"/>
  <c r="HE16" i="1"/>
  <c r="HI16" i="1"/>
  <c r="HJ16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HB17" i="1" s="1"/>
  <c r="GZ17" i="1"/>
  <c r="HA17" i="1"/>
  <c r="HC17" i="1"/>
  <c r="HJ17" i="1" s="1"/>
  <c r="HD17" i="1"/>
  <c r="HE17" i="1"/>
  <c r="HI17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HB18" i="1" s="1"/>
  <c r="GZ18" i="1"/>
  <c r="HA18" i="1"/>
  <c r="HC18" i="1"/>
  <c r="HD18" i="1"/>
  <c r="HE18" i="1"/>
  <c r="HF18" i="1" s="1"/>
  <c r="HI18" i="1"/>
  <c r="HJ18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HB19" i="1" s="1"/>
  <c r="GZ19" i="1"/>
  <c r="HA19" i="1"/>
  <c r="HC19" i="1"/>
  <c r="HJ19" i="1" s="1"/>
  <c r="HD19" i="1"/>
  <c r="HE19" i="1"/>
  <c r="HI19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J20" i="1" s="1"/>
  <c r="HD20" i="1"/>
  <c r="HE20" i="1"/>
  <c r="HG20" i="1" a="1"/>
  <c r="HH20" i="1"/>
  <c r="HI20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HB21" i="1" s="1"/>
  <c r="GZ21" i="1"/>
  <c r="HA21" i="1"/>
  <c r="HC21" i="1"/>
  <c r="HJ21" i="1" s="1"/>
  <c r="HD21" i="1"/>
  <c r="HE21" i="1"/>
  <c r="HI21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HB22" i="1" s="1"/>
  <c r="GZ22" i="1"/>
  <c r="HA22" i="1"/>
  <c r="HC22" i="1"/>
  <c r="HJ22" i="1" s="1"/>
  <c r="HD22" i="1"/>
  <c r="HE22" i="1"/>
  <c r="HI22" i="1"/>
  <c r="AT4" i="1"/>
  <c r="AT5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HF6" i="1" l="1"/>
  <c r="HK8" i="1"/>
  <c r="HK4" i="1"/>
  <c r="HF7" i="1"/>
  <c r="HF13" i="1"/>
  <c r="HK11" i="1"/>
  <c r="HF16" i="1"/>
  <c r="HK20" i="1"/>
  <c r="HF21" i="1"/>
  <c r="HF10" i="1"/>
  <c r="HH14" i="1"/>
  <c r="HK14" i="1" s="1"/>
  <c r="HG14" i="1" a="1"/>
  <c r="HH17" i="1"/>
  <c r="HK17" i="1" s="1"/>
  <c r="HG17" i="1" a="1"/>
  <c r="HG6" i="1" a="1"/>
  <c r="HH6" i="1"/>
  <c r="HK6" i="1" s="1"/>
  <c r="HH5" i="1"/>
  <c r="HK5" i="1" s="1"/>
  <c r="HG5" i="1" a="1"/>
  <c r="HG22" i="1" a="1"/>
  <c r="HH22" i="1"/>
  <c r="HK22" i="1" s="1"/>
  <c r="HG15" i="1" a="1"/>
  <c r="HH15" i="1"/>
  <c r="HK15" i="1" s="1"/>
  <c r="HG13" i="1" a="1"/>
  <c r="HH13" i="1"/>
  <c r="HK13" i="1" s="1"/>
  <c r="HG19" i="1" a="1"/>
  <c r="HH19" i="1"/>
  <c r="HK19" i="1" s="1"/>
  <c r="HG12" i="1" a="1"/>
  <c r="HH12" i="1"/>
  <c r="HK12" i="1" s="1"/>
  <c r="HG10" i="1" a="1"/>
  <c r="HH10" i="1"/>
  <c r="HK10" i="1" s="1"/>
  <c r="HG21" i="1" a="1"/>
  <c r="HH21" i="1"/>
  <c r="HK21" i="1" s="1"/>
  <c r="HG7" i="1" a="1"/>
  <c r="HH7" i="1"/>
  <c r="HK7" i="1" s="1"/>
  <c r="HG18" i="1" a="1"/>
  <c r="HH18" i="1"/>
  <c r="HK18" i="1" s="1"/>
  <c r="HG16" i="1" a="1"/>
  <c r="HH16" i="1"/>
  <c r="HK16" i="1" s="1"/>
  <c r="HG9" i="1" a="1"/>
  <c r="HH9" i="1"/>
  <c r="HK9" i="1" s="1"/>
  <c r="HF20" i="1"/>
  <c r="HF17" i="1"/>
  <c r="HF14" i="1"/>
  <c r="HF11" i="1"/>
  <c r="HF8" i="1"/>
  <c r="HF5" i="1"/>
  <c r="HG4" i="1" a="1"/>
  <c r="HG8" i="1" a="1"/>
  <c r="HF22" i="1"/>
  <c r="HF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tc={5DC954CC-BB80-4506-9C92-2C92436CEF1C}</author>
    <author>tc={AE8793D1-57F2-404A-B26E-D15BB9DC6120}</author>
  </authors>
  <commentList>
    <comment ref="AS4" authorId="0" shapeId="0" xr:uid="{5DC954CC-BB80-4506-9C92-2C92436CEF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of exact date</t>
      </text>
    </comment>
    <comment ref="BJ8" authorId="1" shapeId="0" xr:uid="{AE8793D1-57F2-404A-B26E-D15BB9DC612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<sst xmlns="http://schemas.openxmlformats.org/spreadsheetml/2006/main" count="4941" uniqueCount="1240">
  <si>
    <t>PLEASE BE AWARE COLUMNS MAY BE 'HIDDEN' OR 'COLLAPSED'</t>
  </si>
  <si>
    <t>NHS number</t>
  </si>
  <si>
    <t xml:space="preserve">Any Immunotherapy </t>
  </si>
  <si>
    <t>Specimen treatment subgrouping</t>
  </si>
  <si>
    <t xml:space="preserve">Specimen is a recurrence 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</si>
  <si>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</si>
  <si>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</si>
  <si>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</si>
  <si>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</si>
  <si>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</si>
  <si>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</si>
  <si>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 xml:space="preserve">Primary Surgery date </t>
  </si>
  <si>
    <t>Primary tumour site</t>
  </si>
  <si>
    <t>Anonymized ID Matched met 1</t>
  </si>
  <si>
    <t>Matched met 1 Block Number</t>
  </si>
  <si>
    <t>Matched met 1 Site</t>
  </si>
  <si>
    <t xml:space="preserve">Matched met 1 Surgery Date </t>
  </si>
  <si>
    <t>Matched met 1 treatment subgrouping</t>
  </si>
  <si>
    <t>Anonymized ID Matched met 2</t>
  </si>
  <si>
    <t>Matched met 2 Block Number</t>
  </si>
  <si>
    <t>Matched met 2 Site</t>
  </si>
  <si>
    <t xml:space="preserve">Matched met 2 Surgery Date </t>
  </si>
  <si>
    <t>Matched met 2 treatment subgrouping</t>
  </si>
  <si>
    <t>Anonymized ID Matched met 3</t>
  </si>
  <si>
    <t>Matched met 3 Block Number</t>
  </si>
  <si>
    <t>Matched met 3 Site</t>
  </si>
  <si>
    <t xml:space="preserve">Matched met 3 Surgery Date </t>
  </si>
  <si>
    <t>Matched met 3 treatment subgrouping</t>
  </si>
  <si>
    <t>Anonymized ID Matched met 4</t>
  </si>
  <si>
    <t>Matched met 4 Block Number</t>
  </si>
  <si>
    <t>Matched met 4 Site</t>
  </si>
  <si>
    <t xml:space="preserve">Matched met 4 Surgery Date </t>
  </si>
  <si>
    <t>Matched met 4 treatment subgrouping</t>
  </si>
  <si>
    <t>Anonymized ID Matched met 5</t>
  </si>
  <si>
    <t>Matched met 5 Block Number</t>
  </si>
  <si>
    <t>Matched met 5 Site</t>
  </si>
  <si>
    <t xml:space="preserve">Matched met 5 Surgery Date </t>
  </si>
  <si>
    <t>Matched met 5 treatment subgrouping</t>
  </si>
  <si>
    <t>Anonymized ID Normal tissue</t>
  </si>
  <si>
    <t>Matched Normal tissue Block Number</t>
  </si>
  <si>
    <t>Matched Normal tissue Site</t>
  </si>
  <si>
    <t xml:space="preserve">Matched Normal tissue Surgery Date </t>
  </si>
  <si>
    <t>Matched Normal treatment subgrouping</t>
  </si>
  <si>
    <t>Gender</t>
  </si>
  <si>
    <t xml:space="preserve">DOB </t>
  </si>
  <si>
    <t>Date of DX</t>
  </si>
  <si>
    <t xml:space="preserve">Age at Diagnosis </t>
  </si>
  <si>
    <t>Specimen Histological Diagnosis</t>
  </si>
  <si>
    <t>Staging/grading info provided for:</t>
  </si>
  <si>
    <t xml:space="preserve">Resection margins clear 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</si>
  <si>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</si>
  <si>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</si>
  <si>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</si>
  <si>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</si>
  <si>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</si>
  <si>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</si>
  <si>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</si>
  <si>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</si>
  <si>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</si>
  <si>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</si>
  <si>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</si>
  <si>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</si>
  <si>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</si>
  <si>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</si>
  <si>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</si>
  <si>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</si>
  <si>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</si>
  <si>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</si>
  <si>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</si>
  <si>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</si>
  <si>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</si>
  <si>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</si>
  <si>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</si>
  <si>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</si>
  <si>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</si>
  <si>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</si>
  <si>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</si>
  <si>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</si>
  <si>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</si>
  <si>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</si>
  <si>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</si>
  <si>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</si>
  <si>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</si>
  <si>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</si>
  <si>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</si>
  <si>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</si>
  <si>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</si>
  <si>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</si>
  <si>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</si>
  <si>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</si>
  <si>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</si>
  <si>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</si>
  <si>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</si>
  <si>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</si>
  <si>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</si>
  <si>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</si>
  <si>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</si>
  <si>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</si>
  <si>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</si>
  <si>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</si>
  <si>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</si>
  <si>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</si>
  <si>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</si>
  <si>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</si>
  <si>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</si>
  <si>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</si>
  <si>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</si>
  <si>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</si>
  <si>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</si>
  <si>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</si>
  <si>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</si>
  <si>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</si>
  <si>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</si>
  <si>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</si>
  <si>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</si>
  <si>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</si>
  <si>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</si>
  <si>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</si>
  <si>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</si>
  <si>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</si>
  <si>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</si>
  <si>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</si>
  <si>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</si>
  <si>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</si>
  <si>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</si>
  <si>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</si>
  <si>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</si>
  <si>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</si>
  <si>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</si>
  <si>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</si>
  <si>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</si>
  <si>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</si>
  <si>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</si>
  <si>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</si>
  <si>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</si>
  <si>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</si>
  <si>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</si>
  <si>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</si>
  <si>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</si>
  <si>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</si>
  <si>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</si>
  <si>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</si>
  <si>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</si>
  <si>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</si>
  <si>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</si>
  <si>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</si>
  <si>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</si>
  <si>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</si>
  <si>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</si>
  <si>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</si>
  <si>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</si>
  <si>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</si>
  <si>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</si>
  <si>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</si>
  <si>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</si>
  <si>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</si>
  <si>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</si>
  <si>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</si>
  <si>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</si>
  <si>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</si>
  <si>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</si>
  <si>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</si>
  <si>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</si>
  <si>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</si>
  <si>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</si>
  <si>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</si>
  <si>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</si>
  <si>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</si>
  <si>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</si>
  <si>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</si>
  <si>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</si>
  <si>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</si>
  <si>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</si>
  <si>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</si>
  <si>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</si>
  <si>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</si>
  <si>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</si>
  <si>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</si>
  <si>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</si>
  <si>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</si>
  <si>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</si>
  <si>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</si>
  <si>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</si>
  <si>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</si>
  <si>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</si>
  <si>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</si>
  <si>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</si>
  <si>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</si>
  <si>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</si>
  <si>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</si>
  <si>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</si>
  <si>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</si>
  <si>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</si>
  <si>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</si>
  <si>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</si>
  <si>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</si>
  <si>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</si>
  <si>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</si>
  <si>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 xml:space="preserve">TTE Primary Surgery date </t>
  </si>
  <si>
    <t xml:space="preserve">TTE Matched met 1 Surgery Date </t>
  </si>
  <si>
    <t xml:space="preserve">TTE Matched met 2 Surgery Date </t>
  </si>
  <si>
    <t xml:space="preserve">TTE Matched met 3 Surgery Date </t>
  </si>
  <si>
    <t xml:space="preserve">TTE Matched met 4 Surgery Date </t>
  </si>
  <si>
    <t xml:space="preserve">TTE Matched met 5 Surgery Date </t>
  </si>
  <si>
    <t xml:space="preserve">TTE Matched Normal tissue Surgery Date 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</si>
  <si>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</si>
  <si>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</si>
  <si>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</si>
  <si>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</si>
  <si>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</si>
  <si>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</si>
  <si>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</si>
  <si>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</si>
  <si>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</si>
  <si>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</si>
  <si>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</si>
  <si>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</si>
  <si>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</si>
  <si>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</si>
  <si>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</si>
  <si>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</si>
  <si>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N/A</t>
  </si>
  <si>
    <t>Yes</t>
  </si>
  <si>
    <t>C5-T6 posterior instrumented fusion and decompression T3</t>
  </si>
  <si>
    <t>Right breast</t>
  </si>
  <si>
    <t>LH21-04365</t>
  </si>
  <si>
    <t>B1</t>
  </si>
  <si>
    <t>Bone: T1, T2 vertebrae</t>
  </si>
  <si>
    <t>Immunotherapy naïve</t>
  </si>
  <si>
    <t>B2</t>
  </si>
  <si>
    <t>F</t>
  </si>
  <si>
    <t>Metastatic breast carcinoma (primary was invasive ductal carcinoma)</t>
  </si>
  <si>
    <t>Primary tumour</t>
  </si>
  <si>
    <t>NR</t>
  </si>
  <si>
    <t>2a</t>
  </si>
  <si>
    <t>T2aN2aM0</t>
  </si>
  <si>
    <t>AJCC 8</t>
  </si>
  <si>
    <t>IIIA</t>
  </si>
  <si>
    <t>Chemotherapy</t>
  </si>
  <si>
    <t>Epirubicin, cyclophosphamide (3 cycles)</t>
  </si>
  <si>
    <t>Docetaxel (3 cycles)</t>
  </si>
  <si>
    <t>Radiotherapy</t>
  </si>
  <si>
    <t>40Gy in 15# (right chest wall, supraclavicular fossa)</t>
  </si>
  <si>
    <t>Hormone therapy</t>
  </si>
  <si>
    <t xml:space="preserve">Goserelin and tamoxifen </t>
  </si>
  <si>
    <t>Other</t>
  </si>
  <si>
    <t>Zolendronic acid (7 x 6 monthly cycles)</t>
  </si>
  <si>
    <t>Spine (new mets)</t>
  </si>
  <si>
    <t>Goserelin and anastrazole</t>
  </si>
  <si>
    <t>Ribociclib (17 cycles), alongside endocrine therapy</t>
  </si>
  <si>
    <t>SD</t>
  </si>
  <si>
    <t>30Gy in 10# (cervical spine)</t>
  </si>
  <si>
    <t>6Gy in 1# (spine)</t>
  </si>
  <si>
    <t>Fulvestrant (3 cycles); goserelin previusly stopped as had ovaries removed</t>
  </si>
  <si>
    <t>Apelisib (3 cycles), added to fulvestrant</t>
  </si>
  <si>
    <t>PD</t>
  </si>
  <si>
    <t>Paclitaxel (4 cycles)</t>
  </si>
  <si>
    <t>Capecitabine (2 cycles)</t>
  </si>
  <si>
    <t>8Gy in 1# (spine)</t>
  </si>
  <si>
    <t>Deceased</t>
  </si>
  <si>
    <t>Specimen ERpos PRpos HER2neg</t>
  </si>
  <si>
    <t>Excision of lesion of intradural extramedullary spinal cord</t>
  </si>
  <si>
    <t>Spine: T6/T9 intradural tumour</t>
  </si>
  <si>
    <t>LH21-23540</t>
  </si>
  <si>
    <t>A2</t>
  </si>
  <si>
    <t>Spinal dura, S2</t>
  </si>
  <si>
    <t>A3</t>
  </si>
  <si>
    <t>Metastatic Ewing's sarcoma</t>
  </si>
  <si>
    <t>TXN0M0</t>
  </si>
  <si>
    <t>Localised</t>
  </si>
  <si>
    <t>VIDE: Vincristine, etoposide, doxorubicin, ifosomide (4 cycles)</t>
  </si>
  <si>
    <t>48Gy in 28# (dorsal spine)</t>
  </si>
  <si>
    <t>VAI: Vincristine, ifosamide, MESNA (8 cycles)</t>
  </si>
  <si>
    <t>S1 vertebra (intradural met)</t>
  </si>
  <si>
    <t>VCE/VC/IE: Vincristine, cyclophosphamide, doxorubicin, MESNA (2 cycles), Ifosamide, etoposide, MESNA (4 cycles), Vincristine, cyclophosphamide, MESNA (2 cycles)</t>
  </si>
  <si>
    <t>N/A (metastasis resected prior to therapy)</t>
  </si>
  <si>
    <t>Proton beam therapy; 54Gy in 30Gy (sacral spine)</t>
  </si>
  <si>
    <t>30Gy in 15# (spine)</t>
  </si>
  <si>
    <t>PR</t>
  </si>
  <si>
    <t>30Gy in 15# (cranial leptomeningeal disease)</t>
  </si>
  <si>
    <t>8Gy in 1# (vertebra)</t>
  </si>
  <si>
    <t>Craniotomy and excision of left frontal orbital tumour</t>
  </si>
  <si>
    <t>Prostate</t>
  </si>
  <si>
    <t>LH21-28013</t>
  </si>
  <si>
    <t>A1</t>
  </si>
  <si>
    <t>Left frontal orbital dura</t>
  </si>
  <si>
    <t>Treatment naïve</t>
  </si>
  <si>
    <t>E1</t>
  </si>
  <si>
    <t>M</t>
  </si>
  <si>
    <t>Metastatic adenocarcinoma from prostate</t>
  </si>
  <si>
    <t>Specimen</t>
  </si>
  <si>
    <t>1 (dura, bone)</t>
  </si>
  <si>
    <t>1 (bone)</t>
  </si>
  <si>
    <t>T3BN1M1B</t>
  </si>
  <si>
    <t>IVB</t>
  </si>
  <si>
    <t>Decapeptyl (1 month), then abiraterone added</t>
  </si>
  <si>
    <t>PSA &lt;0.05 ug/L (down from 144 ug/L)</t>
  </si>
  <si>
    <t>Decapeptyl alone - indefinite</t>
  </si>
  <si>
    <t>Slow rise in PSA after abiraterone stopped, from &lt;0.05 ug/L up tp 0.2 ug/L over 2 years</t>
  </si>
  <si>
    <t>Alive</t>
  </si>
  <si>
    <t>Primary cancer not resected</t>
  </si>
  <si>
    <t>Primary decompression of thoracic spinal cord and fusion of joint of thoracic spine</t>
  </si>
  <si>
    <t>Oesophagus</t>
  </si>
  <si>
    <t>LH21-40310</t>
  </si>
  <si>
    <t>Bone: T8 vertebra</t>
  </si>
  <si>
    <t>Metastatic poorly differentiated squamous cell carcinoma of the oesophagus</t>
  </si>
  <si>
    <t>1 (bone, liver)</t>
  </si>
  <si>
    <t>T2N1M1</t>
  </si>
  <si>
    <t>P</t>
  </si>
  <si>
    <t>Spine (T8, L5, L3 new/larger mets )</t>
  </si>
  <si>
    <t>8Gy in 1# (spine; 2 dose points)</t>
  </si>
  <si>
    <t>Posterior attachment of correctional instrument to spine</t>
  </si>
  <si>
    <t>LH22-04617</t>
  </si>
  <si>
    <t>Bone: T7-T8 vertebrae</t>
  </si>
  <si>
    <t>TXN0M1</t>
  </si>
  <si>
    <t>Degarelix then Prostap</t>
  </si>
  <si>
    <t>Enzalutamide added to Prostap (duration 2.5 years)</t>
  </si>
  <si>
    <t>PSA &lt;0.01 ug/L (down from 11 ug/L)</t>
  </si>
  <si>
    <t>Prostap - indefinite</t>
  </si>
  <si>
    <t>Primary total prosthetic replacement of hip joint</t>
  </si>
  <si>
    <t>Lung, left lower lobe</t>
  </si>
  <si>
    <t>LH22-13091</t>
  </si>
  <si>
    <t>Bone: proximal trochanter</t>
  </si>
  <si>
    <t>Poorly differentiated NSCLC showing focal squamous and focal neuroendocrine differentiation</t>
  </si>
  <si>
    <t>1C2 (contralateral lung, bone, adrenal, liver)</t>
  </si>
  <si>
    <t>TXNXM1C2</t>
  </si>
  <si>
    <t>Primary anterior corpectomy of cervical spine with reconstruction</t>
  </si>
  <si>
    <t>Left breast</t>
  </si>
  <si>
    <t>LH22-43131</t>
  </si>
  <si>
    <t>Bone: C4/C5 vertebrae</t>
  </si>
  <si>
    <t>1 (lung, bone)</t>
  </si>
  <si>
    <t>TXNXM1</t>
  </si>
  <si>
    <t>IV</t>
  </si>
  <si>
    <t>8Gy in 1# (lumbar spine)</t>
  </si>
  <si>
    <t>Mixed therapy</t>
  </si>
  <si>
    <t>Docetaxel, trastuzumab, pertuzumab (6 cycles), with denusumab</t>
  </si>
  <si>
    <t>Trastuzumab, pertuzumab (5 cycles) (with denusumab)</t>
  </si>
  <si>
    <t>Left breast (progression) Lungs (progression) Left adrenal (new met) Left axillary lymph nodes (progression)</t>
  </si>
  <si>
    <t>Capecitabine, trastuzumab (with denusomab)</t>
  </si>
  <si>
    <t>Right iliac bone biopsy</t>
  </si>
  <si>
    <t>Left breast (but lung primary not excluded)</t>
  </si>
  <si>
    <t>LH23-30042</t>
  </si>
  <si>
    <t>Bone: right iliac crest</t>
  </si>
  <si>
    <t>Metastatic carcinoma, immunoprofile marginally favouring breast carcinoma although NSCLC not excluded</t>
  </si>
  <si>
    <t>T2N0M0</t>
  </si>
  <si>
    <t>IIA</t>
  </si>
  <si>
    <t>Bilateral lung masses (new mets), bone (new met)</t>
  </si>
  <si>
    <t>1a) Myocardial infarction 2. chronic kidney disease, metastatic cancer, ischaemic heart disease, Covid 19</t>
  </si>
  <si>
    <t>Previous mastectomy for triple negative breast cancer. No adjuvant therapy due to comorbidities</t>
  </si>
  <si>
    <t xml:space="preserve"> Closed reduction of intracapsular fracture of left neck of femur and fixation using nail or screw</t>
  </si>
  <si>
    <t>LH23-44736</t>
  </si>
  <si>
    <t>Bone: left proximal femur</t>
  </si>
  <si>
    <t>3A</t>
  </si>
  <si>
    <t>T2N3AM0</t>
  </si>
  <si>
    <t>40Gy in 15# (left chest wall, lymph nodes)</t>
  </si>
  <si>
    <t>Anastrozole (until relapse)</t>
  </si>
  <si>
    <t>Ibandronic acid (4 months)</t>
  </si>
  <si>
    <t>Bone (new mets)</t>
  </si>
  <si>
    <t>Zolendronate, fulvestrant (1 cycle)</t>
  </si>
  <si>
    <t>8Gy in 1# (pelvic bone)</t>
  </si>
  <si>
    <t>Zolendronate, fulvestrant, ribociclib (10 cycles)</t>
  </si>
  <si>
    <t>Capecitabine, zolendronate (9 cycles)</t>
  </si>
  <si>
    <t>Right frontal biopsy of skull lesion</t>
  </si>
  <si>
    <t>Lung, right upper lobe</t>
  </si>
  <si>
    <t>LH24-09091</t>
  </si>
  <si>
    <t>Bone: right frontal skull</t>
  </si>
  <si>
    <t>Metastatic non small cell carcinoma of likely lung primary</t>
  </si>
  <si>
    <t>1C1 (skull, Cervical vertebrae)</t>
  </si>
  <si>
    <t>TXNXM1C1</t>
  </si>
  <si>
    <t>Intramedullary nailing of femur</t>
  </si>
  <si>
    <t>LH24-16167</t>
  </si>
  <si>
    <t>Bone: left femur</t>
  </si>
  <si>
    <t>1A</t>
  </si>
  <si>
    <t>T2N1AM0</t>
  </si>
  <si>
    <t>Paclitaxel (3 cycles)</t>
  </si>
  <si>
    <t>40Gy in 15# (left breast, lymph nodes)</t>
  </si>
  <si>
    <t>Tamoxifen (1 year 8 months)</t>
  </si>
  <si>
    <t>Bone (multiple new mets) Lungs (new mets), Liver (new mets)</t>
  </si>
  <si>
    <t>Goserelin, letrozole, ribociclib, zolendronate</t>
  </si>
  <si>
    <t>Goserelin, letrozole, palbociclib, zolendronate</t>
  </si>
  <si>
    <t>1a) Metastatic breast cancer</t>
  </si>
  <si>
    <t>Right hip hemiarthroplasty for hip fracture</t>
  </si>
  <si>
    <t>LH24-20988</t>
  </si>
  <si>
    <t>A1[L]</t>
  </si>
  <si>
    <t>Bone: right femoral head</t>
  </si>
  <si>
    <t>Metastatic adenocarcinoma of prostatic origin</t>
  </si>
  <si>
    <t>TXN1M1</t>
  </si>
  <si>
    <t>Degarelix</t>
  </si>
  <si>
    <t>PSA 9.1 ug/L down from 60 ug/L</t>
  </si>
  <si>
    <t>8Gy in 1# (femur)</t>
  </si>
  <si>
    <t>Biochemical progression: PSA 30 ug/L up from 15 ug/L in 4 months</t>
  </si>
  <si>
    <t>L1/2 laminectomy and resection of extradural tumour</t>
  </si>
  <si>
    <t>Parotid</t>
  </si>
  <si>
    <t>LH24-48936</t>
  </si>
  <si>
    <t>Spine: L1/L2 intradural tumour</t>
  </si>
  <si>
    <t>A5</t>
  </si>
  <si>
    <t>Metastatic myoepithelial carcinoma from the parotid</t>
  </si>
  <si>
    <t>4A</t>
  </si>
  <si>
    <t>T4AN1M0</t>
  </si>
  <si>
    <t>IVA</t>
  </si>
  <si>
    <t>66Gy in 33# (parotid)</t>
  </si>
  <si>
    <t>20Gy in 5# (spine)</t>
  </si>
  <si>
    <t>20Gy in 5# (pelvic bone)</t>
  </si>
  <si>
    <t>Primary anterior cervical spine corpectomy with reconstruction</t>
  </si>
  <si>
    <t>Rectum</t>
  </si>
  <si>
    <t>LH25-06914</t>
  </si>
  <si>
    <t>Bone: C5 vertebra</t>
  </si>
  <si>
    <t>Metastatic adenocarcinoma, morphologically in keeping with known rectal primary</t>
  </si>
  <si>
    <t>1 (lung)</t>
  </si>
  <si>
    <t>1B (lung, mediastinal lymph nodes)</t>
  </si>
  <si>
    <t>T4N2M1B</t>
  </si>
  <si>
    <t>25Gy in 5# (rectum)</t>
  </si>
  <si>
    <t>Irinotecan, capecitabine (6 x 2 week cycles)</t>
  </si>
  <si>
    <t>Primary tumour (progression), Lung (new and larger mets)</t>
  </si>
  <si>
    <t>Irinotecan, capecitabine (2 x 2 week cycles)</t>
  </si>
  <si>
    <t>Irinotecan, fluorouracil, folinate (5 cycles)</t>
  </si>
  <si>
    <t>8Gy in 1# (cervical spine)</t>
  </si>
  <si>
    <t>Primary tumour not resected</t>
  </si>
  <si>
    <t>LH25-17083</t>
  </si>
  <si>
    <t>B4</t>
  </si>
  <si>
    <t>Bone: left distal femur</t>
  </si>
  <si>
    <t>B6</t>
  </si>
  <si>
    <t>Metastatic squamous cell carcinoma</t>
  </si>
  <si>
    <t>1B (left femur)</t>
  </si>
  <si>
    <t>T3N1/2M1B</t>
  </si>
  <si>
    <t>On long term androgen deprivation therapy for previous prostate cancer; no relapses</t>
  </si>
  <si>
    <t>Long stem total hip replacement</t>
  </si>
  <si>
    <t>Right renal pelvis</t>
  </si>
  <si>
    <t>LH25-30968</t>
  </si>
  <si>
    <t>Bone: right proximal femur</t>
  </si>
  <si>
    <t>Metastatic urothelial carcinoma</t>
  </si>
  <si>
    <t>TXN2M1</t>
  </si>
  <si>
    <t>Gemcitabine, cisplatin (6 cycles)</t>
  </si>
  <si>
    <t>Right fermoral neck (new met)</t>
  </si>
  <si>
    <t>1a) Metastatic urothelial cancer</t>
  </si>
  <si>
    <t>Right proximal femur replacement for pathological fracture</t>
  </si>
  <si>
    <t>LH25-37846</t>
  </si>
  <si>
    <t>A3[L]</t>
  </si>
  <si>
    <t>Metastatic breast carcinoma (primary is invasive ductal carcinoma)</t>
  </si>
  <si>
    <t>Letrozole, denosumab</t>
  </si>
  <si>
    <t>Brain (new mets)</t>
  </si>
  <si>
    <t>Letrozole, trastuzumab (2 cycles), denosumab (4 cycles)</t>
  </si>
  <si>
    <t>Specimen is ERpos PRneg Her2pos</t>
  </si>
  <si>
    <t>Primary anterior excision of body of cervical vertebra with reconstruction</t>
  </si>
  <si>
    <t>Right kidney</t>
  </si>
  <si>
    <t>LH25-45533</t>
  </si>
  <si>
    <t>Bone: cervical spine</t>
  </si>
  <si>
    <t>Metastatic renal cell carcinoma</t>
  </si>
  <si>
    <t>8Gy in 1# (cervical spine), 8Gy in 1# (humerus)</t>
  </si>
  <si>
    <t>Right kidney (progression) Liver (new met), T9 vertebra (larger met)</t>
  </si>
  <si>
    <t>8Gy in 1# (thoracic spine)</t>
  </si>
  <si>
    <t>Nivolumab, cabozantinib (2 cycles)</t>
  </si>
  <si>
    <t>Patient still undergoing first line systemic therapy</t>
  </si>
  <si>
    <t>Posterior Cervicothoracic Instrumentation Fusion C4-T5 ,biopsy &amp; decompression</t>
  </si>
  <si>
    <t>LH25-45656</t>
  </si>
  <si>
    <t>Bone: T2 vertebra</t>
  </si>
  <si>
    <t>Metastatic carcinoma in keeping with breast primary (primary was invasive lobular carcinoma)</t>
  </si>
  <si>
    <t>x</t>
  </si>
  <si>
    <t>T2N1M0</t>
  </si>
  <si>
    <t>AJCC 6</t>
  </si>
  <si>
    <t>IIB</t>
  </si>
  <si>
    <t>Epirubicin, cyclophosphamide (6 cycles)</t>
  </si>
  <si>
    <t>Tamoxifen (1 year 6 months)</t>
  </si>
  <si>
    <t>Letrozole (3 years 6 months)</t>
  </si>
  <si>
    <t>T2 vertebra (new met)</t>
  </si>
  <si>
    <t>Anaztrazole, palbociclib, denosumab</t>
  </si>
  <si>
    <t>Specimen is ERpos PRpos Her2neg</t>
  </si>
  <si>
    <t>Donor ID</t>
  </si>
  <si>
    <t>Post treatment specimen 1 anonymised ID</t>
  </si>
  <si>
    <t>Last treatment prior to specimen 1 surgery</t>
  </si>
  <si>
    <t>Indication</t>
  </si>
  <si>
    <t>LDS0006138</t>
  </si>
  <si>
    <t>Sarcoma (bone)</t>
  </si>
  <si>
    <t>LDS0006140</t>
  </si>
  <si>
    <t>Oesophageal and GOJ Siewert I/II carcinoma</t>
  </si>
  <si>
    <t>LDS0006149</t>
  </si>
  <si>
    <t>Salivary gland carcinoma</t>
  </si>
  <si>
    <t>LDS0006152</t>
  </si>
  <si>
    <t>Urinary tract carcinoma (other)</t>
  </si>
  <si>
    <t>LDS0006154</t>
  </si>
  <si>
    <t>Renal cell carcinoma</t>
  </si>
  <si>
    <t>Details provided for:</t>
  </si>
  <si>
    <t xml:space="preserve">Gleason score </t>
  </si>
  <si>
    <t>PSA (ug/L)</t>
  </si>
  <si>
    <t>Androgen deprivation therapy (ADT)</t>
  </si>
  <si>
    <r>
      <t xml:space="preserve">Biochemical Relapse </t>
    </r>
    <r>
      <rPr>
        <i/>
        <sz val="10"/>
        <color rgb="FF000000"/>
        <rFont val="Calibri"/>
        <family val="2"/>
      </rPr>
      <t>during</t>
    </r>
    <r>
      <rPr>
        <sz val="10"/>
        <color rgb="FF000000"/>
        <rFont val="Calibri"/>
        <family val="2"/>
      </rPr>
      <t xml:space="preserve"> ADT</t>
    </r>
  </si>
  <si>
    <r>
      <t xml:space="preserve">Clinical relapse </t>
    </r>
    <r>
      <rPr>
        <i/>
        <sz val="10"/>
        <color rgb="FF000000"/>
        <rFont val="Calibri"/>
        <family val="2"/>
      </rPr>
      <t>during</t>
    </r>
    <r>
      <rPr>
        <sz val="10"/>
        <color rgb="FF000000"/>
        <rFont val="Calibri"/>
        <family val="2"/>
      </rPr>
      <t xml:space="preserve"> ADT </t>
    </r>
  </si>
  <si>
    <t>Castrate resistant prostate cancer (CRPC)</t>
  </si>
  <si>
    <t>PSA nadir (ug/L; detection limits vary)</t>
  </si>
  <si>
    <t>PSA when last followed up (ug/L; detection limits vary)</t>
  </si>
  <si>
    <t>Date diagnosis</t>
  </si>
  <si>
    <t>Date ADT therapy first initiated</t>
  </si>
  <si>
    <r>
      <t xml:space="preserve">Date biochemical recurrence/progression </t>
    </r>
    <r>
      <rPr>
        <i/>
        <sz val="10"/>
        <color rgb="FF000000"/>
        <rFont val="Calibri"/>
        <family val="2"/>
      </rPr>
      <t>during</t>
    </r>
    <r>
      <rPr>
        <sz val="10"/>
        <color rgb="FF000000"/>
        <rFont val="Calibri"/>
        <family val="2"/>
      </rPr>
      <t xml:space="preserve"> ADT</t>
    </r>
  </si>
  <si>
    <t xml:space="preserve">Details of biochemical recurrence </t>
  </si>
  <si>
    <r>
      <t xml:space="preserve">Date clinical recurrence/progression </t>
    </r>
    <r>
      <rPr>
        <i/>
        <sz val="10"/>
        <color rgb="FF000000"/>
        <rFont val="Calibri"/>
        <family val="2"/>
      </rPr>
      <t>during</t>
    </r>
    <r>
      <rPr>
        <sz val="10"/>
        <color rgb="FF000000"/>
        <rFont val="Calibri"/>
        <family val="2"/>
      </rPr>
      <t xml:space="preserve"> ADT</t>
    </r>
  </si>
  <si>
    <t>TTE CRPC (biochemical) (from ADT start date)</t>
  </si>
  <si>
    <t>TTE CRPC (clinical) (from ADT start date)</t>
  </si>
  <si>
    <t>TTE CRPC (biochemical) from date diagnosis</t>
  </si>
  <si>
    <t>TTE CRPC (clinical) from date diagnosis</t>
  </si>
  <si>
    <t>Castrate resistant disease at time of sample surgery</t>
  </si>
  <si>
    <t>Metastatic disease at diagnosis (distant mets/non-regional lymph nodes)</t>
  </si>
  <si>
    <t>Metastatic disease at time of sample surgery (distant mets/non-regional lymph nodes)</t>
  </si>
  <si>
    <t>Date progression to metastatic disease</t>
  </si>
  <si>
    <t>TTE progression to metastatic disease (from date of diagnosis)</t>
  </si>
  <si>
    <t>Disease status at sample surgery (metastatic/non-metastatic/castrate resistant/hormone sensitive)</t>
  </si>
  <si>
    <t>Notes</t>
  </si>
  <si>
    <t>LDS0006139</t>
  </si>
  <si>
    <t>&lt;0.05</t>
  </si>
  <si>
    <t>mHSPC</t>
  </si>
  <si>
    <t>Prostate carcinoma</t>
  </si>
  <si>
    <t>LDS0006141</t>
  </si>
  <si>
    <t>&lt;0.01</t>
  </si>
  <si>
    <t>LDS0006148</t>
  </si>
  <si>
    <t>PSA 30 ug/L up from 15 ug/L in 4 months</t>
  </si>
  <si>
    <t>Specimen used for testing (if different)</t>
  </si>
  <si>
    <t>Block used for testing</t>
  </si>
  <si>
    <t>Oestrogen Receptor Status</t>
  </si>
  <si>
    <t>Progesterone Receptor Status</t>
  </si>
  <si>
    <t>HER2 IHC Score</t>
  </si>
  <si>
    <t>HER2 FISH score</t>
  </si>
  <si>
    <t>Nottingham Prognostic Index</t>
  </si>
  <si>
    <t>Pathogenic germline gene variants identified</t>
  </si>
  <si>
    <t>Genes tested</t>
  </si>
  <si>
    <t>Oncotype DX score (done on resection)</t>
  </si>
  <si>
    <t>LDS0006137</t>
  </si>
  <si>
    <t>Positive (&gt; or = 1%)</t>
  </si>
  <si>
    <t>Negative (NOS)</t>
  </si>
  <si>
    <t>Breast carcinoma</t>
  </si>
  <si>
    <t>LDS0006143</t>
  </si>
  <si>
    <t>B015783/18</t>
  </si>
  <si>
    <t>Negative (&lt;1%)</t>
  </si>
  <si>
    <t>Borderline (2+)</t>
  </si>
  <si>
    <t>Positive (amplified)</t>
  </si>
  <si>
    <t>LDS0006144</t>
  </si>
  <si>
    <t>LH20-16337</t>
  </si>
  <si>
    <t>Negative (0)</t>
  </si>
  <si>
    <t>LDS0006145</t>
  </si>
  <si>
    <t>LH21-13325</t>
  </si>
  <si>
    <t>Negative (1+)</t>
  </si>
  <si>
    <t>LDS0006147</t>
  </si>
  <si>
    <t>LH19-44002</t>
  </si>
  <si>
    <t>LDS0006153</t>
  </si>
  <si>
    <t>LH25-35412</t>
  </si>
  <si>
    <t>Positive (3+)</t>
  </si>
  <si>
    <t>LDS0006155</t>
  </si>
  <si>
    <t>LH09-26732</t>
  </si>
  <si>
    <t>Specimen number used for testing if different</t>
  </si>
  <si>
    <t>KRAS mutation</t>
  </si>
  <si>
    <t>NRAS mutation</t>
  </si>
  <si>
    <t>BRAF mutation</t>
  </si>
  <si>
    <t>PD-L1</t>
  </si>
  <si>
    <t>% positive cells (PD-L1)</t>
  </si>
  <si>
    <t>EGFR mutation</t>
  </si>
  <si>
    <t>ALK rearrangement/fusion</t>
  </si>
  <si>
    <t>Any other variants detected</t>
  </si>
  <si>
    <t>LDS0006142</t>
  </si>
  <si>
    <t>Lung carcinoma (NSCLC)</t>
  </si>
  <si>
    <t>LDS0006146</t>
  </si>
  <si>
    <t>Not detected</t>
  </si>
  <si>
    <t>Negative</t>
  </si>
  <si>
    <t>&lt;1</t>
  </si>
  <si>
    <t>LDS0006151</t>
  </si>
  <si>
    <t>Positive</t>
  </si>
  <si>
    <t>Specimen number used for molecular testing (if different)</t>
  </si>
  <si>
    <t>Side L/R</t>
  </si>
  <si>
    <t>Block used for Lynch screening (MMR IHC)</t>
  </si>
  <si>
    <t>MMR result (normal/abnormal)</t>
  </si>
  <si>
    <t>MLH1 IHC (pos / neg / clonal neg)</t>
  </si>
  <si>
    <t>PMS2 IHC (pos/ neg / clonal neg</t>
  </si>
  <si>
    <t>MSH2 IHC (pos/ neg / clonal neg</t>
  </si>
  <si>
    <t>MSH6 IHC (pos/ neg/ clonal neg)</t>
  </si>
  <si>
    <t>MSI plus test</t>
  </si>
  <si>
    <t>LDS0006150</t>
  </si>
  <si>
    <t>LH23-30177</t>
  </si>
  <si>
    <t>L</t>
  </si>
  <si>
    <t>Detected c.35G&gt;A p.(Gly12Asp)</t>
  </si>
  <si>
    <t>Stable</t>
  </si>
  <si>
    <t>Colorectal carcinoma</t>
  </si>
  <si>
    <t>NHS Number</t>
  </si>
  <si>
    <t>Selected Specimen</t>
  </si>
  <si>
    <t>Additional Metastatic Specimen Number 1</t>
  </si>
  <si>
    <t>Site 1</t>
  </si>
  <si>
    <t>Additional Metastatic Specimen Number 2</t>
  </si>
  <si>
    <t>Site 2</t>
  </si>
  <si>
    <t>Additional Metastatic Specimen Number 3</t>
  </si>
  <si>
    <t>Site 3</t>
  </si>
  <si>
    <t>Additional Metastatic Specimen Number 4</t>
  </si>
  <si>
    <t>Site 4</t>
  </si>
  <si>
    <t>Additional Metastatic Specimen Number 5</t>
  </si>
  <si>
    <t>Site 5</t>
  </si>
  <si>
    <t>LH21-03704</t>
  </si>
  <si>
    <t>LH22-15778</t>
  </si>
  <si>
    <t>LH22-20320</t>
  </si>
  <si>
    <t>LH22-28326</t>
  </si>
  <si>
    <t>LH23-04961</t>
  </si>
  <si>
    <t>LH23-09726</t>
  </si>
  <si>
    <t>LH23-19815</t>
  </si>
  <si>
    <t>LH23-25106</t>
  </si>
  <si>
    <t>LH23-29005</t>
  </si>
  <si>
    <t>LH23-30362</t>
  </si>
  <si>
    <t>LH23-35183</t>
  </si>
  <si>
    <t>LH23-50042</t>
  </si>
  <si>
    <t>LH24-43742</t>
  </si>
  <si>
    <t>LH25-05142</t>
  </si>
  <si>
    <t>LH25-05660</t>
  </si>
  <si>
    <t>LH25-06337</t>
  </si>
  <si>
    <t>Therapy type</t>
  </si>
  <si>
    <t>Yes/No</t>
  </si>
  <si>
    <r>
      <rPr>
        <sz val="10"/>
        <color rgb="FFFF0000"/>
        <rFont val="Calibri Light"/>
        <scheme val="major"/>
      </rPr>
      <t>Red text</t>
    </r>
    <r>
      <rPr>
        <sz val="10"/>
        <color rgb="FF000000"/>
        <rFont val="Calibri Light"/>
        <scheme val="major"/>
      </rPr>
      <t xml:space="preserve"> = cells to select for formula</t>
    </r>
  </si>
  <si>
    <t>AJCC</t>
  </si>
  <si>
    <t>When copying and pasting formulas, you need to delete the ' before the =</t>
  </si>
  <si>
    <t>AJCC 5</t>
  </si>
  <si>
    <t>Header</t>
  </si>
  <si>
    <t>Column</t>
  </si>
  <si>
    <t>Immunotherapy</t>
  </si>
  <si>
    <t>Immunotherapy only</t>
  </si>
  <si>
    <t>Other specimen</t>
  </si>
  <si>
    <t>A</t>
  </si>
  <si>
    <t>Mixed treatment</t>
  </si>
  <si>
    <t>AJCC 7</t>
  </si>
  <si>
    <t>B</t>
  </si>
  <si>
    <t>Age at diagnosis</t>
  </si>
  <si>
    <t>=DATEDIF(DOB, DODx,"Y")</t>
  </si>
  <si>
    <t>C</t>
  </si>
  <si>
    <t>Quarter formula</t>
  </si>
  <si>
    <r>
      <rPr>
        <sz val="10"/>
        <color rgb="FF000000"/>
        <rFont val="Calibri Light"/>
        <scheme val="major"/>
      </rPr>
      <t>=IFERROR("Q" &amp;INT((MONTH(</t>
    </r>
    <r>
      <rPr>
        <sz val="10"/>
        <color rgb="FFFF0000"/>
        <rFont val="Calibri Light"/>
        <scheme val="major"/>
      </rPr>
      <t>cell with date</t>
    </r>
    <r>
      <rPr>
        <sz val="10"/>
        <color rgb="FF000000"/>
        <rFont val="Calibri Light"/>
        <scheme val="major"/>
      </rPr>
      <t>)+2)/3) &amp; "-" &amp; YEAR(</t>
    </r>
    <r>
      <rPr>
        <sz val="10"/>
        <color rgb="FFFF0000"/>
        <rFont val="Calibri Light"/>
        <scheme val="major"/>
      </rPr>
      <t>same cell with date</t>
    </r>
    <r>
      <rPr>
        <sz val="10"/>
        <color rgb="FF000000"/>
        <rFont val="Calibri Light"/>
        <scheme val="major"/>
      </rPr>
      <t>),"N/A")</t>
    </r>
  </si>
  <si>
    <t>Antibody-drug-conjugates</t>
  </si>
  <si>
    <t>Figo</t>
  </si>
  <si>
    <t>D</t>
  </si>
  <si>
    <t>The months between two dates in decimals</t>
  </si>
  <si>
    <r>
      <rPr>
        <sz val="10"/>
        <color rgb="FF000000"/>
        <rFont val="Calibri Light"/>
        <scheme val="major"/>
      </rPr>
      <t>=IFERROR(INT((</t>
    </r>
    <r>
      <rPr>
        <sz val="10"/>
        <color rgb="FFFF0000"/>
        <rFont val="Calibri Light"/>
        <scheme val="major"/>
      </rPr>
      <t>cell with event date</t>
    </r>
    <r>
      <rPr>
        <sz val="10"/>
        <color rgb="FF000000"/>
        <rFont val="Calibri Light"/>
        <scheme val="major"/>
      </rPr>
      <t xml:space="preserve"> - </t>
    </r>
    <r>
      <rPr>
        <sz val="10"/>
        <color rgb="FFFF0000"/>
        <rFont val="Calibri Light"/>
        <scheme val="major"/>
      </rPr>
      <t>DODx</t>
    </r>
    <r>
      <rPr>
        <sz val="10"/>
        <color rgb="FF000000"/>
        <rFont val="Calibri Light"/>
        <scheme val="major"/>
      </rPr>
      <t>)/30),"N/A")</t>
    </r>
  </si>
  <si>
    <t>E</t>
  </si>
  <si>
    <t>OS</t>
  </si>
  <si>
    <r>
      <t>=SUM(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,Time to event date last seen)</t>
    </r>
  </si>
  <si>
    <t>PFS</t>
  </si>
  <si>
    <r>
      <rPr>
        <sz val="10"/>
        <color rgb="FF000000"/>
        <rFont val="Calibri Light"/>
        <scheme val="major"/>
      </rPr>
      <t>=INDEX(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date last follow-up</t>
    </r>
    <r>
      <rPr>
        <sz val="10"/>
        <color rgb="FF000000"/>
        <rFont val="Calibri Light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</si>
  <si>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</si>
  <si>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</si>
  <si>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</si>
  <si>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scheme val="major"/>
      </rPr>
      <t>Death due to tumour/ assumed tumour related</t>
    </r>
    <r>
      <rPr>
        <sz val="10"/>
        <color rgb="FF000000"/>
        <rFont val="Calibri Light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</si>
  <si>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</si>
  <si>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</si>
  <si>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</si>
  <si>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scheme val="major"/>
      </rPr>
      <t>Event recurrence/progression</t>
    </r>
    <r>
      <rPr>
        <sz val="10"/>
        <color rgb="FF000000"/>
        <rFont val="Calibri Light"/>
        <scheme val="major"/>
      </rPr>
      <t>=1,</t>
    </r>
    <r>
      <rPr>
        <sz val="10"/>
        <color rgb="FFFF0000"/>
        <rFont val="Calibri Light"/>
        <scheme val="major"/>
      </rPr>
      <t>Event cancer death</t>
    </r>
    <r>
      <rPr>
        <sz val="10"/>
        <color rgb="FF000000"/>
        <rFont val="Calibri Light"/>
        <scheme val="major"/>
      </rPr>
      <t>=1),"1","0")</t>
    </r>
  </si>
  <si>
    <t>K</t>
  </si>
  <si>
    <t>Combine TNM</t>
  </si>
  <si>
    <r>
      <t>=CONCATENATE("T",</t>
    </r>
    <r>
      <rPr>
        <sz val="10"/>
        <color rgb="FFFF0000"/>
        <rFont val="Calibri Light"/>
        <scheme val="major"/>
      </rPr>
      <t>cell with pT,</t>
    </r>
    <r>
      <rPr>
        <sz val="10"/>
        <color rgb="FF000000"/>
        <rFont val="Calibri Light"/>
        <scheme val="major"/>
      </rPr>
      <t>"N",</t>
    </r>
    <r>
      <rPr>
        <sz val="10"/>
        <color rgb="FFFF0000"/>
        <rFont val="Calibri Light"/>
        <scheme val="major"/>
      </rPr>
      <t>cell with pN</t>
    </r>
    <r>
      <rPr>
        <sz val="10"/>
        <color rgb="FF000000"/>
        <rFont val="Calibri Light"/>
        <scheme val="major"/>
      </rPr>
      <t>,"M",</t>
    </r>
    <r>
      <rPr>
        <sz val="10"/>
        <color rgb="FFFF0000"/>
        <rFont val="Calibri Light"/>
        <scheme val="major"/>
      </rPr>
      <t>cell with cM</t>
    </r>
    <r>
      <rPr>
        <sz val="10"/>
        <color rgb="FF000000"/>
        <rFont val="Calibri Light"/>
        <scheme val="major"/>
      </rPr>
      <t>)</t>
    </r>
  </si>
  <si>
    <t>Combine text from 2 cells</t>
  </si>
  <si>
    <r>
      <t>=</t>
    </r>
    <r>
      <rPr>
        <sz val="10"/>
        <color rgb="FFFF0000"/>
        <rFont val="Calibri Light"/>
        <scheme val="major"/>
      </rPr>
      <t>cell number</t>
    </r>
    <r>
      <rPr>
        <sz val="10"/>
        <color rgb="FF000000"/>
        <rFont val="Calibri Light"/>
        <scheme val="major"/>
      </rPr>
      <t>&amp;" "&amp;</t>
    </r>
    <r>
      <rPr>
        <sz val="10"/>
        <color rgb="FFFF0000"/>
        <rFont val="Calibri Light"/>
        <scheme val="major"/>
      </rPr>
      <t>second cell</t>
    </r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</si>
  <si>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</si>
  <si>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</si>
  <si>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</si>
  <si>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</si>
  <si>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</si>
  <si>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</si>
  <si>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</si>
  <si>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</si>
  <si>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</si>
  <si>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</si>
  <si>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</si>
  <si>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</si>
  <si>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</si>
  <si>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</si>
  <si>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</si>
  <si>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</si>
  <si>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</si>
  <si>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</si>
  <si>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</si>
  <si>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</si>
  <si>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</si>
  <si>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</si>
  <si>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</si>
  <si>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</si>
  <si>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</si>
  <si>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</si>
  <si>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</si>
  <si>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</si>
  <si>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</si>
  <si>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</si>
  <si>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</si>
  <si>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</si>
  <si>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</si>
  <si>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</si>
  <si>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</si>
  <si>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</si>
  <si>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</si>
  <si>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</si>
  <si>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</si>
  <si>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</si>
  <si>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</si>
  <si>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</si>
  <si>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</si>
  <si>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</si>
  <si>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</si>
  <si>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</si>
  <si>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</si>
  <si>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</si>
  <si>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</si>
  <si>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</si>
  <si>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</si>
  <si>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</si>
  <si>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</si>
  <si>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</si>
  <si>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</si>
  <si>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</si>
  <si>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</si>
  <si>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</si>
  <si>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</si>
  <si>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</si>
  <si>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</si>
  <si>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</si>
  <si>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</si>
  <si>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</si>
  <si>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</si>
  <si>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</si>
  <si>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</si>
  <si>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</si>
  <si>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</si>
  <si>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</si>
  <si>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</si>
  <si>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</si>
  <si>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</si>
  <si>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</si>
  <si>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</si>
  <si>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</si>
  <si>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</si>
  <si>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</si>
  <si>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</si>
  <si>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</si>
  <si>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</si>
  <si>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</si>
  <si>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</si>
  <si>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</si>
  <si>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</si>
  <si>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</si>
  <si>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</si>
  <si>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</si>
  <si>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</si>
  <si>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</si>
  <si>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</si>
  <si>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</si>
  <si>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</si>
  <si>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CR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</si>
  <si>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</si>
  <si>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</si>
  <si>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</si>
  <si>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</si>
  <si>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</si>
  <si>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</si>
  <si>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</si>
  <si>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</si>
  <si>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</si>
  <si>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</si>
  <si>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</si>
  <si>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</si>
  <si>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</si>
  <si>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</si>
  <si>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</si>
  <si>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</si>
  <si>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</si>
  <si>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</si>
  <si>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</si>
  <si>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</si>
  <si>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</si>
  <si>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</si>
  <si>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</si>
  <si>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</si>
  <si>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</si>
  <si>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</si>
  <si>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</si>
  <si>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</si>
  <si>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</si>
  <si>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</si>
  <si>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</si>
  <si>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</si>
  <si>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</si>
  <si>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</si>
  <si>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</si>
  <si>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</si>
  <si>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</si>
  <si>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</si>
  <si>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</si>
  <si>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</si>
  <si>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</si>
  <si>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</si>
  <si>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</si>
  <si>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</si>
  <si>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</si>
  <si>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</si>
  <si>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</si>
  <si>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</si>
  <si>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</si>
  <si>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</si>
  <si>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</si>
  <si>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</si>
  <si>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</si>
  <si>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</si>
  <si>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</si>
  <si>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</si>
  <si>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</si>
  <si>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</si>
  <si>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</si>
  <si>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</si>
  <si>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</si>
  <si>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</si>
  <si>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</si>
  <si>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</si>
  <si>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</si>
  <si>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</si>
  <si>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</si>
  <si>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</si>
  <si>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</si>
  <si>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</si>
  <si>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</si>
  <si>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</si>
  <si>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</si>
  <si>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</si>
  <si>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</si>
  <si>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</si>
  <si>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</si>
  <si>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</si>
  <si>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</si>
  <si>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</si>
  <si>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</si>
  <si>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</si>
  <si>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</si>
  <si>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</si>
  <si>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</si>
  <si>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</si>
  <si>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</si>
  <si>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</si>
  <si>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</si>
  <si>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</si>
  <si>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</si>
  <si>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</si>
  <si>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</si>
  <si>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</si>
  <si>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</si>
  <si>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</si>
  <si>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</si>
  <si>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</si>
  <si>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</si>
  <si>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</si>
  <si>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</si>
  <si>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</si>
  <si>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</si>
  <si>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</si>
  <si>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</si>
  <si>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</si>
  <si>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</si>
  <si>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</si>
  <si>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</si>
  <si>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</si>
  <si>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</si>
  <si>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</si>
  <si>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</si>
  <si>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</si>
  <si>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</si>
  <si>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</si>
  <si>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</si>
  <si>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</si>
  <si>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</si>
  <si>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</si>
  <si>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</si>
  <si>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</si>
  <si>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</si>
  <si>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</si>
  <si>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</si>
  <si>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</si>
  <si>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</si>
  <si>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</si>
  <si>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</si>
  <si>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</si>
  <si>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</si>
  <si>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</si>
  <si>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</si>
  <si>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</si>
  <si>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</si>
  <si>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</si>
  <si>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</si>
  <si>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</si>
  <si>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</si>
  <si>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</si>
  <si>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</si>
  <si>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</si>
  <si>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</si>
  <si>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</si>
  <si>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</si>
  <si>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</si>
  <si>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</si>
  <si>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</si>
  <si>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</si>
  <si>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</si>
  <si>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</si>
  <si>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</si>
  <si>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</si>
  <si>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</si>
  <si>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</si>
  <si>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</si>
  <si>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</si>
  <si>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</si>
  <si>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</si>
  <si>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</si>
  <si>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</si>
  <si>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</si>
  <si>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</si>
  <si>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</si>
  <si>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</si>
  <si>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</si>
  <si>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</si>
  <si>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</si>
  <si>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</si>
  <si>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</si>
  <si>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</si>
  <si>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</si>
  <si>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</si>
  <si>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</si>
  <si>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</si>
  <si>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</si>
  <si>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</si>
  <si>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</si>
  <si>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</si>
  <si>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</si>
  <si>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</si>
  <si>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</si>
  <si>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</si>
  <si>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</si>
  <si>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</si>
  <si>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</si>
  <si>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</si>
  <si>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</si>
  <si>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</si>
  <si>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</si>
  <si>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</si>
  <si>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</si>
  <si>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</si>
  <si>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</si>
  <si>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</si>
  <si>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</si>
  <si>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</si>
  <si>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</si>
  <si>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</si>
  <si>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</si>
  <si>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</si>
  <si>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</si>
  <si>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</si>
  <si>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</si>
  <si>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</si>
  <si>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</si>
  <si>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</si>
  <si>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IA</t>
  </si>
  <si>
    <t>IB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</si>
  <si>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</si>
  <si>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</si>
  <si>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</si>
  <si>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</si>
  <si>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</si>
  <si>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</si>
  <si>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</si>
  <si>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</si>
  <si>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</si>
  <si>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</si>
  <si>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II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</si>
  <si>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</si>
  <si>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</si>
  <si>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</si>
  <si>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</si>
  <si>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</si>
  <si>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</si>
  <si>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</si>
  <si>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</si>
  <si>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</si>
  <si>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</si>
  <si>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</si>
  <si>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</si>
  <si>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</si>
  <si>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</si>
  <si>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</si>
  <si>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</si>
  <si>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</si>
  <si>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</si>
  <si>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</si>
  <si>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</si>
  <si>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</si>
  <si>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</si>
  <si>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</si>
  <si>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</si>
  <si>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</si>
  <si>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</si>
  <si>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</si>
  <si>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</si>
  <si>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</si>
  <si>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</si>
  <si>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</si>
  <si>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</si>
  <si>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</si>
  <si>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</si>
  <si>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</si>
  <si>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</si>
  <si>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</si>
  <si>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</si>
  <si>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</si>
  <si>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</si>
  <si>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</si>
  <si>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</si>
  <si>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</si>
  <si>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</si>
  <si>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</si>
  <si>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</si>
  <si>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</si>
  <si>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</si>
  <si>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</si>
  <si>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</si>
  <si>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</si>
  <si>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</si>
  <si>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</si>
  <si>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</si>
  <si>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</si>
  <si>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</si>
  <si>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</si>
  <si>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</si>
  <si>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</si>
  <si>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</si>
  <si>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</si>
  <si>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</si>
  <si>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</si>
  <si>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</si>
  <si>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</si>
  <si>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</si>
  <si>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</si>
  <si>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</si>
  <si>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</si>
  <si>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</si>
  <si>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</si>
  <si>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</si>
  <si>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</si>
  <si>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</si>
  <si>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</si>
  <si>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</si>
  <si>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</si>
  <si>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</si>
  <si>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</si>
  <si>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</si>
  <si>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</si>
  <si>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</si>
  <si>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</si>
  <si>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</si>
  <si>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</si>
  <si>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</si>
  <si>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</si>
  <si>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</si>
  <si>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</si>
  <si>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</si>
  <si>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</si>
  <si>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</si>
  <si>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</si>
  <si>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</si>
  <si>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</si>
  <si>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</si>
  <si>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</si>
  <si>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</si>
  <si>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</si>
  <si>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</si>
  <si>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</si>
  <si>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</si>
  <si>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</si>
  <si>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</si>
  <si>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</si>
  <si>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</si>
  <si>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</si>
  <si>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</si>
  <si>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</si>
  <si>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</si>
  <si>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</si>
  <si>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</si>
  <si>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</si>
  <si>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</si>
  <si>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</si>
  <si>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</si>
  <si>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</si>
  <si>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</si>
  <si>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</si>
  <si>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</si>
  <si>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</si>
  <si>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</si>
  <si>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</si>
  <si>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</si>
  <si>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</si>
  <si>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</si>
  <si>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</si>
  <si>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</si>
  <si>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</si>
  <si>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</si>
  <si>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</si>
  <si>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</si>
  <si>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</si>
  <si>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</si>
  <si>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</si>
  <si>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</si>
  <si>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</si>
  <si>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</si>
  <si>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</si>
  <si>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</si>
  <si>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</si>
  <si>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</si>
  <si>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</si>
  <si>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</si>
  <si>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</si>
  <si>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</si>
  <si>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</si>
  <si>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</si>
  <si>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</si>
  <si>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</si>
  <si>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</si>
  <si>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</si>
  <si>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</si>
  <si>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</si>
  <si>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</si>
  <si>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</si>
  <si>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</si>
  <si>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</si>
  <si>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</si>
  <si>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</si>
  <si>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</si>
  <si>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</si>
  <si>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</si>
  <si>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</si>
  <si>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</si>
  <si>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</si>
  <si>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</si>
  <si>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</si>
  <si>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</si>
  <si>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</si>
  <si>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</si>
  <si>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</si>
  <si>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</si>
  <si>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</si>
  <si>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</si>
  <si>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</si>
  <si>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MR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</si>
  <si>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</si>
  <si>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</si>
  <si>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</si>
  <si>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</si>
  <si>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</si>
  <si>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</si>
  <si>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</si>
  <si>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</si>
  <si>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</si>
  <si>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</si>
  <si>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</si>
  <si>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</si>
  <si>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</si>
  <si>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</si>
  <si>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</si>
  <si>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</si>
  <si>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</si>
  <si>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</si>
  <si>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</si>
  <si>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</si>
  <si>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</si>
  <si>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</si>
  <si>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</si>
  <si>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</si>
  <si>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</si>
  <si>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</si>
  <si>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</si>
  <si>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</si>
  <si>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</si>
  <si>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</si>
  <si>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</si>
  <si>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</si>
  <si>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</si>
  <si>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</si>
  <si>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</si>
  <si>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</si>
  <si>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</si>
  <si>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</si>
  <si>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</si>
  <si>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</si>
  <si>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</si>
  <si>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</si>
  <si>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</si>
  <si>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</si>
  <si>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</si>
  <si>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</si>
  <si>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</si>
  <si>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</si>
  <si>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</si>
  <si>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</si>
  <si>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</si>
  <si>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</si>
  <si>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</si>
  <si>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</si>
  <si>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</si>
  <si>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</si>
  <si>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</si>
  <si>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</si>
  <si>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</si>
  <si>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</si>
  <si>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</si>
  <si>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</si>
  <si>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</si>
  <si>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</si>
  <si>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</si>
  <si>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</si>
  <si>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</si>
  <si>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</si>
  <si>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</si>
  <si>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</si>
  <si>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</si>
  <si>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</si>
  <si>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</si>
  <si>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</si>
  <si>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</si>
  <si>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</si>
  <si>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</si>
  <si>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</si>
  <si>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</si>
  <si>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</si>
  <si>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</si>
  <si>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</si>
  <si>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</si>
  <si>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</si>
  <si>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</si>
  <si>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</si>
  <si>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</si>
  <si>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</si>
  <si>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</si>
  <si>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</si>
  <si>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</si>
  <si>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</si>
  <si>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</si>
  <si>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</si>
  <si>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</si>
  <si>
    <t>Row Number</t>
  </si>
  <si>
    <t>TTE Error Reasoning</t>
  </si>
  <si>
    <t xml:space="preserve">1- TTE Matched Met 1 Surgery Date (7.00) is less than or equal to TTE Neoadjuvant Tx1 End Date (10.70)
</t>
  </si>
  <si>
    <t xml:space="preserve">2- TTE Subsequent Tx1 Start Date (68.20) is greater than TTE Subsequent Tx1 End Date (56.20)
</t>
  </si>
  <si>
    <t xml:space="preserve">3- TTE Matched Met 1 Surgery Date (0.60) is less than or equal to TTE Neoadjuvant Tx1 End Date (1.83)
4- TTE Matched Met 2 Surgery Date (0.60) is less than or equal to TTE Neoadjuvant Tx1 End Date (1.83)
5- TTE Subsequent Tx1 Start Date (14.03) is greater than TTE Subsequent Tx1 End Date (6.87)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</si>
</sst>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</font>
    <font>
      <b/>
      <sz val="14"/>
      <color rgb="FFFF0000"/>
      <name val="Calibri"/>
    </font>
    <font>
      <sz val="10"/>
      <color theme="1"/>
      <name val="Calibri"/>
    </font>
    <font>
      <b/>
      <sz val="10"/>
      <color rgb="FF000000"/>
      <name val="Calibri"/>
    </font>
    <font>
      <b/>
      <sz val="10"/>
      <name val="Calibri"/>
    </font>
    <font>
      <b/>
      <sz val="10"/>
      <color theme="1"/>
      <name val="Calibri"/>
    </font>
    <font>
      <sz val="10"/>
      <color rgb="FF000000"/>
      <name val="Calibri Light"/>
      <scheme val="major"/>
    </font>
    <font>
      <sz val="10"/>
      <color rgb="FFFF0000"/>
      <name val="Calibri Light"/>
      <scheme val="major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theme="1"/>
      <name val="Calibri Light"/>
      <scheme val="major"/>
    </font>
    <font>
      <b/>
      <u/>
      <sz val="10"/>
      <color theme="1"/>
      <name val="Calibri Light"/>
      <scheme val="major"/>
    </font>
    <font>
      <b/>
      <sz val="10"/>
      <color theme="1"/>
      <name val="Calibri Light"/>
      <scheme val="major"/>
    </font>
    <font>
      <b/>
      <sz val="10"/>
      <color rgb="FF000000"/>
      <name val="Calibri Light"/>
      <scheme val="major"/>
    </font>
    <font>
      <sz val="12"/>
      <color rgb="FF000000"/>
      <name val="Calibri Light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b/>
      <sz val="10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5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5" fontId="7" fillId="4" borderId="1" xfId="1" applyNumberFormat="1" applyFont="1" applyFill="1" applyBorder="1" applyAlignment="1">
      <alignment horizontal="center" vertical="center" wrapText="1"/>
    </xf>
    <xf numFmtId="164" fontId="7" fillId="4" borderId="2" xfId="1" applyNumberFormat="1" applyFont="1" applyFill="1" applyBorder="1" applyAlignment="1">
      <alignment horizontal="center" vertical="center" wrapText="1"/>
    </xf>
    <xf numFmtId="166" fontId="6" fillId="4" borderId="7" xfId="1" applyNumberFormat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5" fontId="7" fillId="4" borderId="3" xfId="1" applyNumberFormat="1" applyFont="1" applyFill="1" applyBorder="1" applyAlignment="1">
      <alignment horizontal="center" vertical="center" wrapText="1"/>
    </xf>
    <xf numFmtId="165" fontId="7" fillId="4" borderId="4" xfId="1" applyNumberFormat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4" fontId="7" fillId="4" borderId="4" xfId="1" applyNumberFormat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164" fontId="7" fillId="4" borderId="8" xfId="1" applyNumberFormat="1" applyFont="1" applyFill="1" applyBorder="1" applyAlignment="1">
      <alignment horizontal="center" vertical="center" wrapText="1"/>
    </xf>
    <xf numFmtId="164" fontId="7" fillId="4" borderId="3" xfId="1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wrapText="1"/>
    </xf>
    <xf numFmtId="165" fontId="7" fillId="5" borderId="7" xfId="1" applyNumberFormat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7" fillId="9" borderId="7" xfId="1" applyFont="1" applyFill="1" applyBorder="1" applyAlignment="1">
      <alignment horizontal="center" vertical="center" wrapText="1"/>
    </xf>
    <xf numFmtId="165" fontId="7" fillId="9" borderId="7" xfId="1" applyNumberFormat="1" applyFont="1" applyFill="1" applyBorder="1" applyAlignment="1">
      <alignment horizontal="center" vertical="center" wrapText="1"/>
    </xf>
    <xf numFmtId="165" fontId="7" fillId="9" borderId="7" xfId="1" quotePrefix="1" applyNumberFormat="1" applyFont="1" applyFill="1" applyBorder="1" applyAlignment="1">
      <alignment horizontal="center" vertical="center" wrapText="1"/>
    </xf>
    <xf numFmtId="0" fontId="7" fillId="9" borderId="7" xfId="1" quotePrefix="1" applyFont="1" applyFill="1" applyBorder="1" applyAlignment="1">
      <alignment horizontal="center" vertical="center" wrapText="1"/>
    </xf>
    <xf numFmtId="0" fontId="7" fillId="9" borderId="4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164" fontId="6" fillId="8" borderId="7" xfId="2" applyNumberFormat="1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164" fontId="6" fillId="7" borderId="4" xfId="0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4" fontId="3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3" fillId="0" borderId="13" xfId="0" applyFont="1" applyBorder="1" applyAlignment="1">
      <alignment wrapText="1"/>
    </xf>
    <xf numFmtId="0" fontId="5" fillId="0" borderId="7" xfId="0" applyFont="1" applyBorder="1"/>
    <xf numFmtId="0" fontId="5" fillId="0" borderId="7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3" fillId="0" borderId="7" xfId="0" applyFont="1" applyBorder="1"/>
    <xf numFmtId="0" fontId="3" fillId="0" borderId="7" xfId="0" applyFont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3" fillId="0" borderId="9" xfId="0" applyFont="1" applyBorder="1"/>
    <xf numFmtId="0" fontId="9" fillId="0" borderId="0" xfId="0" quotePrefix="1" applyFont="1"/>
    <xf numFmtId="0" fontId="17" fillId="0" borderId="0" xfId="0" applyFont="1"/>
    <xf numFmtId="0" fontId="13" fillId="0" borderId="2" xfId="0" applyFont="1" applyBorder="1"/>
    <xf numFmtId="0" fontId="8" fillId="10" borderId="4" xfId="0" applyFont="1" applyFill="1" applyBorder="1" applyAlignment="1">
      <alignment horizontal="center" vertical="center" wrapText="1"/>
    </xf>
    <xf numFmtId="0" fontId="18" fillId="0" borderId="2" xfId="0" applyFont="1" applyBorder="1"/>
    <xf numFmtId="0" fontId="18" fillId="0" borderId="9" xfId="0" applyFont="1" applyBorder="1"/>
    <xf numFmtId="0" fontId="15" fillId="0" borderId="7" xfId="1" applyFont="1" applyBorder="1" applyAlignment="1">
      <alignment horizontal="left"/>
    </xf>
    <xf numFmtId="0" fontId="9" fillId="0" borderId="7" xfId="0" quotePrefix="1" applyFont="1" applyBorder="1"/>
    <xf numFmtId="0" fontId="15" fillId="0" borderId="7" xfId="0" applyFont="1" applyBorder="1"/>
    <xf numFmtId="0" fontId="9" fillId="0" borderId="7" xfId="1" quotePrefix="1" applyFont="1" applyBorder="1" applyAlignment="1">
      <alignment horizontal="left"/>
    </xf>
    <xf numFmtId="0" fontId="16" fillId="0" borderId="7" xfId="0" applyFont="1" applyBorder="1"/>
    <xf numFmtId="165" fontId="5" fillId="0" borderId="0" xfId="0" applyNumberFormat="1" applyFont="1" applyAlignment="1">
      <alignment wrapText="1"/>
    </xf>
    <xf numFmtId="165" fontId="5" fillId="0" borderId="7" xfId="0" applyNumberFormat="1" applyFont="1" applyBorder="1" applyAlignment="1">
      <alignment wrapText="1"/>
    </xf>
    <xf numFmtId="165" fontId="6" fillId="4" borderId="7" xfId="1" applyNumberFormat="1" applyFont="1" applyFill="1" applyBorder="1" applyAlignment="1">
      <alignment horizontal="center" vertical="center" wrapText="1"/>
    </xf>
    <xf numFmtId="165" fontId="5" fillId="0" borderId="13" xfId="0" applyNumberFormat="1" applyFont="1" applyBorder="1" applyAlignment="1">
      <alignment wrapText="1"/>
    </xf>
    <xf numFmtId="165" fontId="3" fillId="0" borderId="8" xfId="0" applyNumberFormat="1" applyFont="1" applyBorder="1" applyAlignment="1">
      <alignment wrapText="1"/>
    </xf>
    <xf numFmtId="165" fontId="5" fillId="0" borderId="12" xfId="0" applyNumberFormat="1" applyFont="1" applyBorder="1" applyAlignment="1">
      <alignment wrapText="1"/>
    </xf>
    <xf numFmtId="1" fontId="5" fillId="0" borderId="0" xfId="0" applyNumberFormat="1" applyFont="1" applyAlignment="1">
      <alignment wrapText="1"/>
    </xf>
    <xf numFmtId="1" fontId="7" fillId="5" borderId="7" xfId="1" applyNumberFormat="1" applyFont="1" applyFill="1" applyBorder="1" applyAlignment="1">
      <alignment horizontal="center" vertical="center" wrapText="1"/>
    </xf>
    <xf numFmtId="1" fontId="5" fillId="0" borderId="8" xfId="0" applyNumberFormat="1" applyFont="1" applyBorder="1" applyAlignment="1">
      <alignment wrapText="1"/>
    </xf>
    <xf numFmtId="0" fontId="7" fillId="9" borderId="13" xfId="1" quotePrefix="1" applyFont="1" applyFill="1" applyBorder="1" applyAlignment="1">
      <alignment horizontal="center" vertical="center" wrapText="1"/>
    </xf>
    <xf numFmtId="0" fontId="7" fillId="9" borderId="8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2" fontId="3" fillId="0" borderId="7" xfId="0" quotePrefix="1" applyNumberFormat="1" applyFont="1" applyBorder="1" applyAlignment="1">
      <alignment horizontal="left"/>
    </xf>
    <xf numFmtId="2" fontId="3" fillId="0" borderId="7" xfId="1" applyNumberFormat="1" applyFont="1" applyBorder="1" applyAlignment="1">
      <alignment horizontal="left"/>
    </xf>
    <xf numFmtId="0" fontId="5" fillId="0" borderId="0" xfId="0" applyFont="1"/>
    <xf numFmtId="1" fontId="5" fillId="0" borderId="0" xfId="0" applyNumberFormat="1" applyFont="1"/>
    <xf numFmtId="0" fontId="3" fillId="0" borderId="10" xfId="0" applyFont="1" applyBorder="1" applyProtection="1">
      <protection locked="0"/>
    </xf>
    <xf numFmtId="0" fontId="0" fillId="0" borderId="7" xfId="0" applyBorder="1"/>
    <xf numFmtId="0" fontId="3" fillId="0" borderId="11" xfId="0" applyFont="1" applyBorder="1" applyAlignment="1" applyProtection="1">
      <alignment horizontal="left"/>
      <protection locked="0"/>
    </xf>
    <xf numFmtId="14" fontId="5" fillId="0" borderId="7" xfId="0" applyNumberFormat="1" applyFont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0" fillId="0" borderId="0" xfId="0" applyFont="1"/>
    <xf numFmtId="0" fontId="20" fillId="0" borderId="7" xfId="0" applyFont="1" applyBorder="1"/>
    <xf numFmtId="0" fontId="20" fillId="0" borderId="13" xfId="0" applyFont="1" applyBorder="1"/>
    <xf numFmtId="164" fontId="12" fillId="5" borderId="11" xfId="1" applyNumberFormat="1" applyFont="1" applyFill="1" applyBorder="1" applyAlignment="1">
      <alignment horizontal="center" vertical="center" wrapText="1"/>
    </xf>
    <xf numFmtId="164" fontId="12" fillId="5" borderId="4" xfId="1" applyNumberFormat="1" applyFont="1" applyFill="1" applyBorder="1" applyAlignment="1">
      <alignment horizontal="center" vertical="center" wrapText="1"/>
    </xf>
    <xf numFmtId="0" fontId="20" fillId="0" borderId="7" xfId="0" applyFont="1" applyBorder="1" applyAlignment="1">
      <alignment wrapText="1"/>
    </xf>
    <xf numFmtId="165" fontId="20" fillId="0" borderId="7" xfId="0" applyNumberFormat="1" applyFont="1" applyBorder="1" applyAlignment="1">
      <alignment wrapText="1"/>
    </xf>
    <xf numFmtId="2" fontId="20" fillId="0" borderId="7" xfId="0" applyNumberFormat="1" applyFont="1" applyBorder="1"/>
    <xf numFmtId="0" fontId="23" fillId="11" borderId="1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wrapText="1"/>
    </xf>
    <xf numFmtId="0" fontId="20" fillId="0" borderId="4" xfId="0" applyFont="1" applyBorder="1"/>
    <xf numFmtId="0" fontId="20" fillId="0" borderId="13" xfId="0" applyFont="1" applyBorder="1" applyAlignment="1">
      <alignment wrapText="1"/>
    </xf>
    <xf numFmtId="0" fontId="20" fillId="0" borderId="8" xfId="0" applyFont="1" applyBorder="1"/>
    <xf numFmtId="0" fontId="20" fillId="0" borderId="6" xfId="0" applyFont="1" applyBorder="1"/>
    <xf numFmtId="0" fontId="20" fillId="0" borderId="11" xfId="0" applyFont="1" applyBorder="1"/>
    <xf numFmtId="0" fontId="12" fillId="11" borderId="3" xfId="0" applyFont="1" applyFill="1" applyBorder="1" applyAlignment="1">
      <alignment horizontal="center" vertical="center" wrapText="1"/>
    </xf>
    <xf numFmtId="164" fontId="25" fillId="12" borderId="14" xfId="3" applyNumberFormat="1" applyFont="1" applyFill="1" applyBorder="1" applyAlignment="1">
      <alignment horizontal="center" vertical="center" wrapText="1"/>
    </xf>
    <xf numFmtId="2" fontId="18" fillId="0" borderId="7" xfId="0" applyNumberFormat="1" applyFont="1" applyBorder="1"/>
    <xf numFmtId="2" fontId="20" fillId="0" borderId="13" xfId="0" applyNumberFormat="1" applyFont="1" applyBorder="1"/>
    <xf numFmtId="164" fontId="6" fillId="7" borderId="11" xfId="0" applyNumberFormat="1" applyFont="1" applyFill="1" applyBorder="1" applyAlignment="1">
      <alignment horizontal="center" vertical="center" wrapText="1"/>
    </xf>
    <xf numFmtId="0" fontId="3" fillId="0" borderId="13" xfId="1" applyFont="1" applyBorder="1" applyAlignment="1">
      <alignment horizontal="left"/>
    </xf>
    <xf numFmtId="0" fontId="5" fillId="0" borderId="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5" fontId="5" fillId="0" borderId="4" xfId="0" applyNumberFormat="1" applyFont="1" applyBorder="1" applyAlignment="1">
      <alignment wrapText="1"/>
    </xf>
    <xf numFmtId="165" fontId="5" fillId="0" borderId="11" xfId="0" applyNumberFormat="1" applyFont="1" applyBorder="1" applyAlignment="1">
      <alignment wrapText="1"/>
    </xf>
    <xf numFmtId="0" fontId="5" fillId="0" borderId="6" xfId="0" applyFont="1" applyBorder="1" applyAlignment="1">
      <alignment wrapText="1"/>
    </xf>
    <xf numFmtId="165" fontId="3" fillId="0" borderId="6" xfId="0" applyNumberFormat="1" applyFont="1" applyBorder="1" applyAlignment="1">
      <alignment wrapText="1"/>
    </xf>
    <xf numFmtId="0" fontId="9" fillId="0" borderId="4" xfId="0" quotePrefix="1" applyFont="1" applyBorder="1"/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1" fontId="5" fillId="0" borderId="6" xfId="0" applyNumberFormat="1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165" fontId="5" fillId="0" borderId="10" xfId="0" applyNumberFormat="1" applyFont="1" applyBorder="1" applyAlignment="1">
      <alignment wrapText="1"/>
    </xf>
    <xf numFmtId="2" fontId="3" fillId="0" borderId="4" xfId="0" quotePrefix="1" applyNumberFormat="1" applyFont="1" applyBorder="1" applyAlignment="1">
      <alignment horizontal="left"/>
    </xf>
    <xf numFmtId="2" fontId="3" fillId="0" borderId="4" xfId="1" applyNumberFormat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11" xfId="1" applyFont="1" applyBorder="1" applyAlignment="1">
      <alignment horizontal="left"/>
    </xf>
    <xf numFmtId="0" fontId="12" fillId="11" borderId="13" xfId="0" applyFont="1" applyFill="1" applyBorder="1" applyAlignment="1">
      <alignment horizontal="center" vertical="center" wrapText="1"/>
    </xf>
    <xf numFmtId="0" fontId="24" fillId="0" borderId="13" xfId="0" applyFont="1" applyBorder="1"/>
    <xf numFmtId="165" fontId="20" fillId="0" borderId="4" xfId="0" applyNumberFormat="1" applyFont="1" applyBorder="1" applyAlignment="1">
      <alignment wrapText="1"/>
    </xf>
    <xf numFmtId="2" fontId="20" fillId="0" borderId="4" xfId="0" applyNumberFormat="1" applyFont="1" applyBorder="1"/>
    <xf numFmtId="2" fontId="20" fillId="0" borderId="11" xfId="0" applyNumberFormat="1" applyFont="1" applyBorder="1"/>
    <xf numFmtId="2" fontId="18" fillId="0" borderId="4" xfId="0" applyNumberFormat="1" applyFont="1" applyBorder="1"/>
    <xf numFmtId="0" fontId="11" fillId="11" borderId="15" xfId="0" applyFont="1" applyFill="1" applyBorder="1" applyAlignment="1">
      <alignment horizontal="center" vertical="center" wrapText="1"/>
    </xf>
    <xf numFmtId="0" fontId="12" fillId="11" borderId="15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wrapText="1"/>
    </xf>
    <xf numFmtId="164" fontId="11" fillId="5" borderId="15" xfId="1" applyNumberFormat="1" applyFont="1" applyFill="1" applyBorder="1" applyAlignment="1">
      <alignment horizontal="center" vertical="center" wrapText="1"/>
    </xf>
    <xf numFmtId="164" fontId="12" fillId="5" borderId="15" xfId="1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19" fillId="0" borderId="16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0" fillId="0" borderId="4" xfId="0" applyBorder="1"/>
    <xf numFmtId="0" fontId="0" fillId="0" borderId="11" xfId="0" applyBorder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2 76" xfId="3" xr:uid="{7215FB14-02A0-4BD1-9558-F13C21034D87}"/>
  </cellStyles>
  <dxfs count="34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auto="1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auto="1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MMINGS, Michele (LEEDS TEACHING HOSPITALS NHS TRUST)" id="{3F739FE6-D2FD-40F7-A9E6-F59633269AB3}" userId="S::m.cummings3@nhs.net::464af9cb-2ac6-4a60-90d5-810b97c4769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4D58B9-0F8B-4285-B97A-7DD34F4B9D70}" name="FollowUp_1" displayName="FollowUp_1" ref="A3:HK22" totalsRowShown="0" dataDxfId="113" tableBorderDxfId="328" dataCellStyle="Normal 2">
  <autoFilter ref="A3:HK22" xr:uid="{B64D58B9-0F8B-4285-B97A-7DD34F4B9D70}"/>
  <tableColumns count="219">
    <tableColumn id="1" xr3:uid="{23F53C71-BFBF-42DD-8B4B-16FEF1A67523}" name="NHS number" dataDxfId="327"/>
    <tableColumn id="2" xr3:uid="{3AAF765C-5E22-481A-8D24-9CE82A5C6F6E}" name="Any Immunotherapy " dataDxfId="326"/>
    <tableColumn id="3" xr3:uid="{DA610C67-427C-4B7D-8583-FB2F3D47DDC6}" name="Specimen treatment subgrouping" dataDxfId="325"/>
    <tableColumn id="4" xr3:uid="{7A8F61CA-6581-4592-80CF-DA4A88FB29BB}" name="Specimen is a recurrence " dataDxfId="324"/>
    <tableColumn id="5" xr3:uid="{E2EF7215-3D9E-41CE-81A2-78974C0E9F82}" name="Selected specimen Anonymised ID" dataDxfId="323"/>
    <tableColumn id="6" xr3:uid="{228E6CF7-B8F9-4469-850A-533E599DBEEB}" name="Specimen Block number 1" dataDxfId="322"/>
    <tableColumn id="7" xr3:uid="{81E8FD2A-B116-443F-A8A3-AA1AF0CBA989}" name="Specimen Block number 2" dataDxfId="321"/>
    <tableColumn id="8" xr3:uid="{CED866BC-7C86-4A81-ABF2-1FE994A54D82}" name="Specimen surgery date" dataDxfId="320"/>
    <tableColumn id="9" xr3:uid="{D7F3AABC-8FA5-41AB-BB6D-EC4616C177B6}" name="Specimen surgery" dataDxfId="319"/>
    <tableColumn id="10" xr3:uid="{6E8AC49B-099E-48CA-8701-46D43DCCA603}" name="Specimen tumour site" dataDxfId="318"/>
    <tableColumn id="11" xr3:uid="{59315D77-385D-4D9D-96B9-E3B494B066DD}" name="Primary Surgery date " dataDxfId="317"/>
    <tableColumn id="12" xr3:uid="{9EB4B935-8662-4D82-A828-91965BF8E170}" name="Primary tumour site" dataDxfId="316"/>
    <tableColumn id="13" xr3:uid="{5DFC62EE-24BD-4C3D-90E5-2615107AF502}" name="Anonymized ID Matched met 1" dataDxfId="315"/>
    <tableColumn id="14" xr3:uid="{0AC08526-269A-4936-9530-70D100D676C2}" name="Matched met 1 Block Number" dataDxfId="314"/>
    <tableColumn id="15" xr3:uid="{50675F80-7F83-4D58-A8F6-8E1C404CA043}" name="Matched met 1 Site" dataDxfId="313"/>
    <tableColumn id="16" xr3:uid="{B7579911-FC1B-493D-8D93-A83BD2D0B615}" name="Matched met 1 Surgery Date " dataDxfId="312"/>
    <tableColumn id="17" xr3:uid="{37AEDC8B-A59D-423E-BF2E-42B8BACC77F3}" name="Matched met 1 treatment subgrouping" dataDxfId="311"/>
    <tableColumn id="18" xr3:uid="{443589F9-C4CD-45E1-89BD-9CBAE4CF3BB2}" name="Anonymized ID Matched met 2" dataDxfId="310"/>
    <tableColumn id="19" xr3:uid="{18AFD707-A369-4FC1-91A0-6D4C33563A83}" name="Matched met 2 Block Number" dataDxfId="309"/>
    <tableColumn id="20" xr3:uid="{63649350-E01A-4FE7-9DB7-7323A75F3456}" name="Matched met 2 Site" dataDxfId="308"/>
    <tableColumn id="21" xr3:uid="{D8435D35-BB84-41C1-AA40-0BA3EF297432}" name="Matched met 2 Surgery Date " dataDxfId="307"/>
    <tableColumn id="22" xr3:uid="{AB5C17DF-9496-4253-A1CD-07698E45DA2E}" name="Matched met 2 treatment subgrouping" dataDxfId="306"/>
    <tableColumn id="23" xr3:uid="{58619CC3-787A-4375-9DF0-7361F35966A3}" name="Anonymized ID Matched met 3" dataDxfId="305"/>
    <tableColumn id="24" xr3:uid="{E0EF7F47-F610-4FC0-A965-BE57153E697B}" name="Matched met 3 Block Number" dataDxfId="304"/>
    <tableColumn id="25" xr3:uid="{E071AA8A-E306-41C9-922B-B9A8DF7D83A6}" name="Matched met 3 Site" dataDxfId="303"/>
    <tableColumn id="26" xr3:uid="{6A2FDCEF-C45B-4D2F-9838-95CFF42242AA}" name="Matched met 3 Surgery Date " dataDxfId="302"/>
    <tableColumn id="27" xr3:uid="{B617250F-DC73-45AA-8D52-1E94C055C48E}" name="Matched met 3 treatment subgrouping" dataDxfId="301"/>
    <tableColumn id="28" xr3:uid="{5E49EF48-76A3-4233-B586-3884C5ACFE4F}" name="Anonymized ID Matched met 4" dataDxfId="300"/>
    <tableColumn id="29" xr3:uid="{3DB75757-6EB3-430F-82D6-5F9D3954DA6B}" name="Matched met 4 Block Number" dataDxfId="299"/>
    <tableColumn id="30" xr3:uid="{A22A509B-AF24-4627-AC36-F020EE5CE4DC}" name="Matched met 4 Site" dataDxfId="298"/>
    <tableColumn id="31" xr3:uid="{3E3DA576-889E-44AC-81C8-1BD44FE6E68A}" name="Matched met 4 Surgery Date " dataDxfId="297"/>
    <tableColumn id="32" xr3:uid="{E3E549FC-8F61-4ADF-A590-5F3D6C275910}" name="Matched met 4 treatment subgrouping" dataDxfId="296"/>
    <tableColumn id="33" xr3:uid="{BE19C1A9-AA88-47B4-B2ED-34317B4FE1CD}" name="Anonymized ID Matched met 5" dataDxfId="295"/>
    <tableColumn id="34" xr3:uid="{AEAAE680-8C50-47A1-8AD5-84CE861665BB}" name="Matched met 5 Block Number" dataDxfId="294"/>
    <tableColumn id="35" xr3:uid="{267A315F-E763-4765-8DE7-90EDBC58741A}" name="Matched met 5 Site" dataDxfId="293"/>
    <tableColumn id="36" xr3:uid="{E743C683-2DBD-41CE-B79F-21A19B5457F3}" name="Matched met 5 Surgery Date " dataDxfId="292"/>
    <tableColumn id="37" xr3:uid="{AF0949F5-8FF4-4FD9-A7BB-C5CD33B2CEEF}" name="Matched met 5 treatment subgrouping" dataDxfId="291"/>
    <tableColumn id="38" xr3:uid="{C38B7992-752D-4A57-87E9-0AEC440552E9}" name="Anonymized ID Normal tissue" dataDxfId="290"/>
    <tableColumn id="39" xr3:uid="{429D0060-A6B4-49E8-8D3D-86F6C335D710}" name="Matched Normal tissue Block Number" dataDxfId="289"/>
    <tableColumn id="40" xr3:uid="{FA733D9A-929F-4760-B643-459AC95D0C6F}" name="Matched Normal tissue Site" dataDxfId="288"/>
    <tableColumn id="41" xr3:uid="{86766BE4-6B65-437A-A4E6-9A9552B8207C}" name="Matched Normal tissue Surgery Date " dataDxfId="287"/>
    <tableColumn id="42" xr3:uid="{222F90FD-9F81-4E77-A61A-ABE6F37EA499}" name="Matched Normal treatment subgrouping" dataDxfId="286"/>
    <tableColumn id="43" xr3:uid="{A7DBDE9F-78E8-4285-8C0F-BBD5C0DE1C3C}" name="Gender" dataDxfId="285"/>
    <tableColumn id="44" xr3:uid="{3A15E0D0-8004-4696-9625-38AF33378E77}" name="DOB " dataDxfId="284"/>
    <tableColumn id="45" xr3:uid="{FAED67DD-555C-45DE-B721-B353FD695556}" name="Date of DX" dataDxfId="283"/>
    <tableColumn id="46" xr3:uid="{F3056544-8C18-4551-8C77-CB379CCE803D}" name="Age at Diagnosis " dataDxfId="282">
      <calculatedColumnFormula>DATEDIF(AR4, AS4,"Y")</calculatedColumnFormula>
    </tableColumn>
    <tableColumn id="47" xr3:uid="{D0733138-EEBF-42C1-97A1-327B01B4F263}" name="Specimen Histological Diagnosis" dataDxfId="281"/>
    <tableColumn id="48" xr3:uid="{BAA0E8F9-729A-49E6-B2CC-75F9278E8733}" name="Staging/grading info provided for:" dataDxfId="280"/>
    <tableColumn id="49" xr3:uid="{C82F064F-4325-4094-AA09-7598BF051CCC}" name="Resection margins clear " dataDxfId="279"/>
    <tableColumn id="50" xr3:uid="{1C7BA0BB-38E0-44B4-8843-E53F55DF53A0}" name="pT" dataDxfId="278"/>
    <tableColumn id="51" xr3:uid="{4421A7F7-F2BF-45B2-9B3F-D2002F180CC9}" name="pN" dataDxfId="277"/>
    <tableColumn id="52" xr3:uid="{10DCB03C-EBE7-45AA-995D-AA155B03D8D0}" name="pM" dataDxfId="276"/>
    <tableColumn id="53" xr3:uid="{42D60BFA-CCCC-4C23-B984-D658BE9274D9}" name="cM" dataDxfId="275"/>
    <tableColumn id="54" xr3:uid="{BDD352DE-7EE9-4819-8706-BC7BCD506006}" name="TNM stage" dataDxfId="274"/>
    <tableColumn id="55" xr3:uid="{6EC251D5-1491-41A9-BCBF-088BBC9985A2}" name="Grade" dataDxfId="273"/>
    <tableColumn id="56" xr3:uid="{9A638A54-E766-41C4-A214-8FF404D341ED}" name="Staging criteria" dataDxfId="272"/>
    <tableColumn id="57" xr3:uid="{06C35597-D06A-480D-8D2F-5272FACA54B5}" name="Stage at DX" dataDxfId="271"/>
    <tableColumn id="58" xr3:uid="{B1DDDC6F-B06E-4767-A6CB-27BB44FEF28A}" name="Any Neoadjuvant therapy" dataDxfId="270"/>
    <tableColumn id="59" xr3:uid="{56D3BF17-D460-4E01-A837-69712CD99116}" name="Response to neoadjuvant therapy (TRS score)" dataDxfId="269"/>
    <tableColumn id="60" xr3:uid="{B6B4DD5F-5F3F-415A-AD03-99DB49869F65}" name="Neoadjuvant Tx1" dataDxfId="268"/>
    <tableColumn id="61" xr3:uid="{A95B7378-771B-4169-98FD-D08DFF2D0831}" name="Neoadjuvant Tx1 Agent" dataDxfId="267"/>
    <tableColumn id="62" xr3:uid="{E8BD817A-C703-461A-BDEF-D1FCA8EDBCA6}" name="Neoadjuvant Tx1 Start Date"/>
    <tableColumn id="63" xr3:uid="{A4E02B95-83C0-409C-900E-1FFBDC0CDA8E}" name="Neoadjuvant Tx1 End Date"/>
    <tableColumn id="64" xr3:uid="{D796F961-142A-4774-9620-86206AB03A26}" name="Tumour response Neoadjuvant Tx1"/>
    <tableColumn id="65" xr3:uid="{AFCCF8CD-A968-4145-ABE4-B61BF104C792}" name="Neoadjuvant Tx2" dataDxfId="266"/>
    <tableColumn id="66" xr3:uid="{CBE12E03-07F3-468D-BF65-3DEA264C7605}" name="Neoadjuvant Tx2 Agent" dataDxfId="265"/>
    <tableColumn id="67" xr3:uid="{FA7D2A66-EEC2-4B34-94B7-F9594DAC9AAD}" name="Tumour response Neoadjuvant  Tx2" dataDxfId="264"/>
    <tableColumn id="68" xr3:uid="{343BC6F2-7621-4FAA-BA94-F80304748CBA}" name="Neoadjuvant Tx3" dataDxfId="263"/>
    <tableColumn id="69" xr3:uid="{E891638E-4347-4AB4-8003-F9E02903F24D}" name="Neoadjuvant Tx3 Agent" dataDxfId="262"/>
    <tableColumn id="70" xr3:uid="{11AE6E7B-D94A-4AD2-93E2-F6D521E97FCC}" name="Tumour response Neoadjuvant  Tx3" dataDxfId="261"/>
    <tableColumn id="71" xr3:uid="{284CC3E9-D3E7-43C7-A64C-0675F04C4CFC}" name="Neoadjuvant Tx4" dataDxfId="260"/>
    <tableColumn id="72" xr3:uid="{69AD80F6-8B32-4C03-BAE8-233AB94F3BA8}" name="Neoadjuvant Tx4 Agent" dataDxfId="259"/>
    <tableColumn id="73" xr3:uid="{07767FC9-9945-404C-86A1-41045E64F903}" name="Tumour response Neoadjuvant  Tx4" dataDxfId="258"/>
    <tableColumn id="74" xr3:uid="{6FB08F53-94DE-454F-948E-88ADF3B11583}" name="Neoadjuvant Tx5" dataDxfId="257"/>
    <tableColumn id="75" xr3:uid="{B3196CF0-389A-41BB-A04C-BAEBFF684ADD}" name="Neoadjuvant Tx5 Agent" dataDxfId="256"/>
    <tableColumn id="76" xr3:uid="{3868A588-C235-44EF-8C18-F1AED57F6E4C}" name="Tumour response Neoadjuvant  Tx5" dataDxfId="255"/>
    <tableColumn id="77" xr3:uid="{29CF32E8-460C-42BC-9395-744F06817C65}" name="Neoadjuvant Tx6" dataDxfId="254"/>
    <tableColumn id="78" xr3:uid="{0DD1006B-5277-4FAE-AE5C-F886A694C456}" name="Neoadjuvant Tx6 Agent" dataDxfId="253"/>
    <tableColumn id="79" xr3:uid="{0503730B-CFF8-41A0-9F09-DCF0BB39E9C9}" name="Tumour response Neoadjuvant  Tx6" dataDxfId="252"/>
    <tableColumn id="80" xr3:uid="{F71FDB36-0D9E-4523-A93F-2A97189FA5A6}" name="Neoadjuvant Tx7" dataDxfId="251"/>
    <tableColumn id="81" xr3:uid="{E0E237E5-2CC8-4F0C-9707-1FC53E9F32DA}" name="Neoadjuvant Tx7 Agent" dataDxfId="250"/>
    <tableColumn id="82" xr3:uid="{0D90D57D-A8E5-4217-AB1C-6E457EAC05B4}" name="Tumour response Neoadjuvant  Tx7" dataDxfId="249"/>
    <tableColumn id="83" xr3:uid="{66D1E35F-1578-474B-BE39-C0DF3AB83FA0}" name="Neoadjuvant Tx8" dataDxfId="248"/>
    <tableColumn id="84" xr3:uid="{0B375A01-87C0-4C13-BFAB-BE53D7A7F324}" name="Neoadjuvant Tx8 Agent" dataDxfId="247"/>
    <tableColumn id="85" xr3:uid="{C66FA20E-EDB7-49E3-84EF-B484C19B3AD1}" name="Tumour response Neoadjuvant  Tx8" dataDxfId="246"/>
    <tableColumn id="86" xr3:uid="{23EE6928-B482-4B7F-8F16-5DCEA46ACA4D}" name="Neoadjuvant Tx9" dataDxfId="245"/>
    <tableColumn id="87" xr3:uid="{971AE0F7-2D73-4B71-A41A-F6EA64776F0F}" name="Neoadjuvant Tx9 Agent" dataDxfId="244"/>
    <tableColumn id="88" xr3:uid="{A1FAAAD5-5117-47BF-AD01-36F2D2038787}" name="Tumour response Neoadjuvant  Tx9" dataDxfId="243"/>
    <tableColumn id="89" xr3:uid="{D5D650CA-34E7-4400-9615-3F6EE8D8B3DD}" name="Neoadjuvant Tx10" dataDxfId="242"/>
    <tableColumn id="90" xr3:uid="{E764AE06-FF72-4EE4-B9D0-E7DAB54FFC08}" name="Neoadjuvant Tx10 Agent" dataDxfId="241"/>
    <tableColumn id="91" xr3:uid="{502DCDDD-7763-498F-ADBC-4E59098EA88D}" name="Tumour response Neoadjuvant Tx10" dataDxfId="240"/>
    <tableColumn id="92" xr3:uid="{1BB1ED21-2E8E-4288-960D-9CF7CF1B9527}" name="Adjuvant Tx1" dataDxfId="239"/>
    <tableColumn id="93" xr3:uid="{225F3BA1-D5B2-4ED6-94F6-1C6B25970456}" name="Adjuvant Tx1 Agent" dataDxfId="238"/>
    <tableColumn id="94" xr3:uid="{057B183C-AE44-4432-823D-C45D7DD82F04}" name="Adjuvant Tx1 Start Date" dataDxfId="237"/>
    <tableColumn id="95" xr3:uid="{971A6EDB-C088-4657-8BF9-98D008D52A5A}" name="Adjuvant Tx1 End Date" dataDxfId="236"/>
    <tableColumn id="96" xr3:uid="{54C7BF88-5297-4A8A-A61F-4608EDDB0DEE}" name="Tumour response Adjuvant Tx1" dataDxfId="235"/>
    <tableColumn id="97" xr3:uid="{EF548B0F-1139-4ADB-81F3-E63C5C9B6405}" name="Adjuvant Tx2" dataDxfId="234"/>
    <tableColumn id="98" xr3:uid="{DB1DEAA3-7CE4-4E8A-9418-20604352C6FE}" name="Adjuvant Tx2 Agent" dataDxfId="233"/>
    <tableColumn id="99" xr3:uid="{DAAE7729-5526-4333-98E4-E4638EDF9EB9}" name="Tumour response Adjuvant  Tx2" dataDxfId="232"/>
    <tableColumn id="100" xr3:uid="{D8D29BEB-D30F-4B42-B1E0-2D9B3212CF89}" name="Adjuvant Tx3" dataDxfId="231"/>
    <tableColumn id="101" xr3:uid="{4A48EF47-991A-4E59-8FE7-A1C6A2063B4F}" name="Adjuvant Tx3 Agent" dataDxfId="230"/>
    <tableColumn id="102" xr3:uid="{ACF3D266-BC97-4869-A26A-C1B2B749CBCC}" name="Tumour response Adjuvant  Tx3" dataDxfId="229"/>
    <tableColumn id="103" xr3:uid="{98915EFC-0CB0-4520-B86E-8D3722ED726E}" name="Adjuvant Tx4" dataDxfId="228"/>
    <tableColumn id="104" xr3:uid="{8DED9EE2-25AA-4A54-AA09-94BC0E04E536}" name="Adjuvant Tx4 Agent" dataDxfId="227"/>
    <tableColumn id="105" xr3:uid="{A2109053-5AE9-4A9D-800C-6ED47202F45A}" name="Tumour response Adjuvant  Tx4" dataDxfId="226"/>
    <tableColumn id="106" xr3:uid="{00EE5AFC-9DAE-46B6-A01B-A9266C645865}" name="Adjuvant Tx5" dataDxfId="225"/>
    <tableColumn id="107" xr3:uid="{46EFE5CD-84C5-460D-B26C-A694A4D99A2A}" name="Adjuvant Tx5 Agent" dataDxfId="224"/>
    <tableColumn id="108" xr3:uid="{75D8F9A6-D97E-4B8A-8157-68A79F68F47E}" name="Tumour response Adjuvant  Tx5" dataDxfId="223"/>
    <tableColumn id="109" xr3:uid="{E400723B-D6B3-435F-A818-918A9BCD90C9}" name="Adjuvant Tx6" dataDxfId="222"/>
    <tableColumn id="110" xr3:uid="{476E0295-0146-4A9C-AC87-6DB470B1201F}" name="Adjuvant Tx6 Agent" dataDxfId="221"/>
    <tableColumn id="111" xr3:uid="{F1C6DC94-E691-49A4-921A-2E4D3C6DAA5A}" name="Tumour response Adjuvant  Tx6" dataDxfId="220"/>
    <tableColumn id="112" xr3:uid="{0555B77A-4BFF-4550-B4C1-63F72EF79497}" name="Adjuvant Tx7" dataDxfId="219"/>
    <tableColumn id="113" xr3:uid="{A331A190-6181-4005-9DF7-57A8CF2B3C36}" name="Adjuvant Tx7 Agent" dataDxfId="218"/>
    <tableColumn id="114" xr3:uid="{9C923724-8FAF-426E-84B9-5CCBC575113E}" name="Tumour response Adjuvant  Tx7" dataDxfId="217"/>
    <tableColumn id="115" xr3:uid="{C863AC20-EE60-4099-A67E-CBEBDB0AB465}" name="Adjuvant Tx8" dataDxfId="216"/>
    <tableColumn id="116" xr3:uid="{2A25BF80-902D-4D02-8358-B9C89ACD0263}" name="Adjuvant Tx8 Agent" dataDxfId="215"/>
    <tableColumn id="117" xr3:uid="{95F7B509-0F0B-468F-9A8B-6FD173CE08CB}" name="Tumour response Adjuvant  Tx8" dataDxfId="214"/>
    <tableColumn id="118" xr3:uid="{8B2CC15D-671A-4189-A07B-535E1FDB5AA2}" name="Adjuvant Tx9" dataDxfId="213"/>
    <tableColumn id="119" xr3:uid="{F9B80F36-6164-4A8D-841A-08D47132E119}" name="Adjuvant Tx9 Agent" dataDxfId="212"/>
    <tableColumn id="120" xr3:uid="{D520210A-61A5-41C1-BDB5-E6885CBCA5C3}" name="Tumour response Adjuvant  Tx9" dataDxfId="211"/>
    <tableColumn id="121" xr3:uid="{9A41AEC2-C481-4FCC-86F0-821DAC51601A}" name="Adjuvant Tx10" dataDxfId="210"/>
    <tableColumn id="122" xr3:uid="{983C744A-282C-4F86-9B08-E4D1044F6227}" name="Adjuvant Tx10 Agent" dataDxfId="209"/>
    <tableColumn id="123" xr3:uid="{6E7D6330-37A8-4F05-ADA0-1A0BA90D3F7D}" name="Tumour response Adjuvant Tx10" dataDxfId="208"/>
    <tableColumn id="124" xr3:uid="{630FF8C8-7EC9-49B0-8E1E-5BC66E15A353}" name="Adjuvant Tx11" dataDxfId="207"/>
    <tableColumn id="125" xr3:uid="{279FE347-87C7-4C83-95D3-0AAB5FBC479D}" name="Adjuvant Tx11 Agent" dataDxfId="206"/>
    <tableColumn id="126" xr3:uid="{604EF6E4-0627-406E-9FD7-FFB38440FAD0}" name="Tumour response Adjuvant Tx11" dataDxfId="205"/>
    <tableColumn id="127" xr3:uid="{D375E847-33AD-478E-8CB0-19FD9713CD12}" name="Adjuvant Tx12" dataDxfId="204"/>
    <tableColumn id="128" xr3:uid="{C320321F-A19E-4F46-BBD3-029C53FCBC7D}" name="Adjuvant Tx12 Agent" dataDxfId="203"/>
    <tableColumn id="129" xr3:uid="{4654A189-B66D-4E1A-AB16-BFA7C73FD720}" name="Tumour response Adjuvant Tx12" dataDxfId="202"/>
    <tableColumn id="130" xr3:uid="{E14718AB-F996-4B5A-A17B-6634042C89E5}" name="Adjuvant Tx13" dataDxfId="201"/>
    <tableColumn id="131" xr3:uid="{26876078-98D6-4A0C-A99A-255F4C093F4F}" name="Adjuvant Tx13 Agent" dataDxfId="200"/>
    <tableColumn id="132" xr3:uid="{954AE11B-8F60-42DA-85B7-464D3371CD1E}" name="Tumour response Adjuvant Tx13" dataDxfId="199"/>
    <tableColumn id="133" xr3:uid="{76A7B831-FC41-41FC-B9A7-217BAC78FBD7}" name="Adjuvant Tx14" dataDxfId="198"/>
    <tableColumn id="134" xr3:uid="{C7F5F1A6-B4AB-44B1-B477-ABA556C4D7E3}" name="Adjuvant Tx14 Agent" dataDxfId="197"/>
    <tableColumn id="135" xr3:uid="{3CDD502A-E715-414B-8804-18C94239E6DA}" name="Tumour response Adjuvant Tx14" dataDxfId="196"/>
    <tableColumn id="136" xr3:uid="{3FC132FD-8909-488C-8C5C-78AD49EE5082}" name="Adjuvant Tx15" dataDxfId="195"/>
    <tableColumn id="137" xr3:uid="{0DA23A58-3957-470A-9D6A-65641D151140}" name="Adjuvant Tx15 Agent" dataDxfId="194"/>
    <tableColumn id="138" xr3:uid="{87CDB423-B733-44DF-BB4A-5C1E77F80DA5}" name="Tumour response Adjuvant Tx15" dataDxfId="193"/>
    <tableColumn id="139" xr3:uid="{0B83A16D-C8B6-44B6-A224-455CCB7F816B}" name="Date recurrence/ progression 1" dataDxfId="192"/>
    <tableColumn id="140" xr3:uid="{D85CB66E-7198-45B3-A06B-F634D45D35B8}" name="Sites recurrence/ progression 1" dataDxfId="191"/>
    <tableColumn id="141" xr3:uid="{C843491C-1205-474B-B219-A6A547EF93A2}" name="Subsequent Tx1" dataDxfId="190"/>
    <tableColumn id="142" xr3:uid="{774F8CAE-0F97-41C3-88B5-44465FD29188}" name="Subsequent Tx1 Agent" dataDxfId="189"/>
    <tableColumn id="143" xr3:uid="{CCA3F31A-28A3-4CF5-8432-DFF3BFA0C79A}" name="Subsequent Tx1 Start Date" dataDxfId="188"/>
    <tableColumn id="144" xr3:uid="{3D366298-F215-4638-B156-372992022BFA}" name="Subsequent Tx1        End Date" dataDxfId="187"/>
    <tableColumn id="145" xr3:uid="{11ABCD80-3890-41E5-AED2-50E8AC6C711E}" name="Tumour response to Subsequent Tx1" dataDxfId="186"/>
    <tableColumn id="146" xr3:uid="{3AFB5C65-BBF3-4FEA-B627-30BADCE632BD}" name="Subsequent Tx2" dataDxfId="185"/>
    <tableColumn id="147" xr3:uid="{B7A448BF-6866-4A79-A5F2-FDD076457894}" name="Subsequent Tx2 Agent"/>
    <tableColumn id="148" xr3:uid="{DF71FBD8-970D-432A-A04E-9D4CD970B24B}" name="Tumour response to Subsequent Tx2"/>
    <tableColumn id="149" xr3:uid="{0B082795-4F4C-4BBF-BD80-E7EFE8F8A871}" name="Subsequent Tx3" dataDxfId="184"/>
    <tableColumn id="150" xr3:uid="{3FD119EE-3BC6-42AF-BFFF-1C90FF6C3AD2}" name="Subsequent Tx3 Agent" dataDxfId="183"/>
    <tableColumn id="151" xr3:uid="{1CB6A626-DAEA-4B7C-838A-B7D0E5757707}" name="Tumour response to Subsequent Tx3" dataDxfId="182"/>
    <tableColumn id="152" xr3:uid="{29A24308-4932-4D3D-8FCF-5A9634AE2B8E}" name="Subsequent Tx4" dataDxfId="181"/>
    <tableColumn id="153" xr3:uid="{875E270C-1150-4134-9E3B-8F21B45B6813}" name="Subsequent Tx4 Agent" dataDxfId="180"/>
    <tableColumn id="154" xr3:uid="{C13750D6-5C1E-44F0-8928-262B3C9F722B}" name="Tumour response to Subsequent Tx4" dataDxfId="179"/>
    <tableColumn id="155" xr3:uid="{90B41F33-1D33-40C7-9A2E-6FAA88FFE6BF}" name="Subsequent Tx5" dataDxfId="178"/>
    <tableColumn id="156" xr3:uid="{962EE4E4-31D0-4625-B52E-66EB3B1F46A5}" name="Subsequent Tx5 Agent" dataDxfId="177"/>
    <tableColumn id="157" xr3:uid="{F5D71D49-B021-40A7-B9A4-C8DE479EF935}" name="Tumour response to Subsequent Tx5" dataDxfId="176"/>
    <tableColumn id="158" xr3:uid="{325354FC-D154-4E1A-8877-A1E14E17EFDD}" name="Subsequent Tx6" dataDxfId="175"/>
    <tableColumn id="159" xr3:uid="{097A9159-4B6F-4905-8DD3-90B9FAD1A139}" name="Subsequent Tx6 Agent" dataDxfId="174"/>
    <tableColumn id="160" xr3:uid="{7CD858CF-E278-41E3-8DE6-EB4D9F51BEA2}" name="Tumour response to Subsequent Tx6" dataDxfId="173"/>
    <tableColumn id="161" xr3:uid="{8B00205C-2B6C-4787-8C17-1C8FBBA6CA86}" name="Subsequent Tx7" dataDxfId="172"/>
    <tableColumn id="162" xr3:uid="{AA4FE5E1-6E0D-4BC2-B6ED-6B77E80A6C8C}" name="Subsequent Tx7 Agent" dataDxfId="171"/>
    <tableColumn id="163" xr3:uid="{4807A711-ABEF-4A7B-B81D-0CDBC9BB4689}" name="Tumour response to Subsequent Tx7" dataDxfId="170"/>
    <tableColumn id="164" xr3:uid="{E1E82F47-6908-44D0-BDD3-1A079168CFB0}" name="Subsequent Tx8" dataDxfId="169"/>
    <tableColumn id="165" xr3:uid="{3A4B1C84-798D-4416-9625-F36FE7AF7CF9}" name="Subsequent Tx8 Agent" dataDxfId="168"/>
    <tableColumn id="166" xr3:uid="{DC9741EC-E0D8-4229-BE65-220EA4C26BEC}" name="Tumour response to Subsequent Tx8" dataDxfId="167"/>
    <tableColumn id="167" xr3:uid="{FA8811C6-45CD-43B4-A05E-A9CFDE5DD684}" name="Subsequent Tx9" dataDxfId="166"/>
    <tableColumn id="168" xr3:uid="{F2DAC889-ECCC-423B-A12D-2340F54F055D}" name="Subsequent Tx9 Agent" dataDxfId="165"/>
    <tableColumn id="169" xr3:uid="{057F614D-BAB6-48E2-9331-C90BD28498E9}" name="Tumour response to Subsequent Tx9" dataDxfId="164"/>
    <tableColumn id="170" xr3:uid="{EA6F3A34-7D58-495F-BAB3-218BA725049C}" name="Subsequent Tx10" dataDxfId="163"/>
    <tableColumn id="171" xr3:uid="{8D215DAD-153D-4C1F-8E12-50659CC05FF0}" name="Subsequent Tx10 Agent" dataDxfId="162"/>
    <tableColumn id="172" xr3:uid="{6FB6DC0C-0E89-4E94-940F-7ACCA70ADBAB}" name="Tumour response to Subsequent Tx10" dataDxfId="161"/>
    <tableColumn id="173" xr3:uid="{DB12B416-B120-4DB6-BC31-16F964D55606}" name="Subsequent Tx11" dataDxfId="160"/>
    <tableColumn id="174" xr3:uid="{3E87EF68-5C77-4857-B4B6-474BF9ABC814}" name="Subsequent Tx11 Agent" dataDxfId="159"/>
    <tableColumn id="175" xr3:uid="{A06B7F3D-5B62-4BAB-ACC0-F74E06960F7D}" name="Tumour response to Subsequent Tx11" dataDxfId="158"/>
    <tableColumn id="176" xr3:uid="{C880840F-ECA7-41D4-8A4A-01BD6B8FAB03}" name="Subsequent Tx12" dataDxfId="157"/>
    <tableColumn id="177" xr3:uid="{BCE9A099-333C-4F74-A72F-3DFF136A5380}" name="Subsequent Tx12 Agent" dataDxfId="156"/>
    <tableColumn id="178" xr3:uid="{BDC474EF-5B91-4A1F-A8EB-B4DAC5C05A0F}" name="Tumour response to Subsequent Tx12" dataDxfId="155"/>
    <tableColumn id="179" xr3:uid="{88167275-06B6-491F-9082-245EE97E5D5B}" name="Subsequent Tx13" dataDxfId="154"/>
    <tableColumn id="180" xr3:uid="{68AA52FC-039B-4E9D-B8AC-D244BC880965}" name="Subsequent Tx13 Agent" dataDxfId="153"/>
    <tableColumn id="181" xr3:uid="{491BAE0E-FF0E-47F4-8027-A2B849873F52}" name="Tumour response to Subsequent Tx13" dataDxfId="152"/>
    <tableColumn id="182" xr3:uid="{16C0B4F9-29E4-43D5-8C0E-3549E462E008}" name="Subsequent Tx14" dataDxfId="151"/>
    <tableColumn id="183" xr3:uid="{CA878214-FEF1-4CAC-ABA4-D150E34F8C21}" name="Subsequent Tx14 Agent" dataDxfId="150"/>
    <tableColumn id="184" xr3:uid="{7E283C5C-9894-40A4-A78A-0B130780F3CA}" name="Tumour response to Subsequent Tx14" dataDxfId="149"/>
    <tableColumn id="185" xr3:uid="{5684C85C-B289-4E70-9929-9DAA2D0E5280}" name="Subsequent Tx15" dataDxfId="148"/>
    <tableColumn id="186" xr3:uid="{79D784D3-9562-4E15-9240-845B9F44E1EF}" name="Subsequent Tx15 Agent" dataDxfId="147"/>
    <tableColumn id="187" xr3:uid="{50B1E0E5-1979-4C66-9FF2-D33D0BD71D66}" name="Tumour response to Subsequent Tx15" dataDxfId="146"/>
    <tableColumn id="188" xr3:uid="{B9771B6D-CB1F-42A6-816F-096439A514F0}" name="Current Status" dataDxfId="145"/>
    <tableColumn id="189" xr3:uid="{8D989E40-37E9-480B-92EF-DEAFE0F39629}" name="Death date" dataDxfId="144"/>
    <tableColumn id="190" xr3:uid="{0167447A-A220-45D1-8129-814E93979E00}" name="Death tumour related" dataDxfId="143"/>
    <tableColumn id="191" xr3:uid="{F3A1F2DC-0A95-4BA8-9C28-A83CD8C93820}" name="Cause of death" dataDxfId="142"/>
    <tableColumn id="192" xr3:uid="{806E44C0-5997-4940-B585-F0BB22C958C8}" name="Date last follow-up" dataDxfId="141"/>
    <tableColumn id="193" xr3:uid="{A628C3A1-4F14-43FD-8F67-13F5E83F3E09}" name="Date Last Seen" dataDxfId="140"/>
    <tableColumn id="194" xr3:uid="{0EAC32F8-71E3-41A0-AA81-739CEDDEC720}" name="Comments from clinical team" dataDxfId="139"/>
    <tableColumn id="195" xr3:uid="{04564A3E-64D3-4F6D-B0A4-D96DA3B7CC6F}" name="TTE Neoadjuvant Tx1 Start Date" dataDxfId="138">
      <calculatedColumnFormula>IFERROR(INT(BJ4 - $AS4)/30,"N/A")</calculatedColumnFormula>
    </tableColumn>
    <tableColumn id="196" xr3:uid="{8F936068-0D7D-4D2A-8B39-DBC8F8999525}" name="TTE Neoadjuvant Tx1 End Date" dataDxfId="137">
      <calculatedColumnFormula>IFERROR(INT(BK4 - $AS4)/30,"N/A")</calculatedColumnFormula>
    </tableColumn>
    <tableColumn id="197" xr3:uid="{C485066E-BC2E-4979-925B-5E3961A52370}" name="TTE Specimen surgery date" dataDxfId="136">
      <calculatedColumnFormula>IFERROR(INT(H4 - $AS4)/30,"N/A")</calculatedColumnFormula>
    </tableColumn>
    <tableColumn id="198" xr3:uid="{178F6132-76F1-430C-996B-723568B2164B}" name="TTE Primary Surgery date " dataDxfId="135">
      <calculatedColumnFormula>IFERROR(INT(K4 - $AS4)/30,"N/A")</calculatedColumnFormula>
    </tableColumn>
    <tableColumn id="199" xr3:uid="{5E41ED69-F522-4E3F-AAAA-F563DAF8B797}" name="TTE Matched met 1 Surgery Date " dataDxfId="134">
      <calculatedColumnFormula>IFERROR(INT(P4 - $AS4)/30,"N/A")</calculatedColumnFormula>
    </tableColumn>
    <tableColumn id="200" xr3:uid="{9A301FED-2340-436E-B1AA-DB8AF1704B09}" name="TTE Matched met 2 Surgery Date " dataDxfId="133">
      <calculatedColumnFormula>IFERROR(INT(U4 - $AS4)/30,"N/A")</calculatedColumnFormula>
    </tableColumn>
    <tableColumn id="201" xr3:uid="{F23FE469-C2ED-4CC5-8A55-0180F192E3BB}" name="TTE Matched met 3 Surgery Date " dataDxfId="132">
      <calculatedColumnFormula>IFERROR(INT(Z4 - $AS4)/30,"N/A")</calculatedColumnFormula>
    </tableColumn>
    <tableColumn id="202" xr3:uid="{6B47C2E8-23DD-4AFC-B577-8E6628C9B8CA}" name="TTE Matched met 4 Surgery Date " dataDxfId="131">
      <calculatedColumnFormula>IFERROR(INT(AE4 - $AS4)/30,"N/A")</calculatedColumnFormula>
    </tableColumn>
    <tableColumn id="203" xr3:uid="{6D2BC695-C054-409F-B818-93D0CEBCEA9C}" name="TTE Matched met 5 Surgery Date " dataDxfId="130">
      <calculatedColumnFormula>IFERROR(INT(AJ4 - $AS4)/30,"N/A")</calculatedColumnFormula>
    </tableColumn>
    <tableColumn id="204" xr3:uid="{0BC77887-5CFF-46BA-865C-EC1A5E697325}" name="TTE Matched Normal tissue Surgery Date " dataDxfId="129">
      <calculatedColumnFormula>IFERROR(INT(AO4 - $AS4)/30,"N/A")</calculatedColumnFormula>
    </tableColumn>
    <tableColumn id="205" xr3:uid="{4D81495E-E0E9-408C-A8D1-C5D92E1749F8}" name="TTE Adjuvant Tx1 Start Date" dataDxfId="128">
      <calculatedColumnFormula>IFERROR(INT(CP4 - $AS4)/30,"N/A")</calculatedColumnFormula>
    </tableColumn>
    <tableColumn id="206" xr3:uid="{B05A08A7-98B7-42BB-94EF-74E42452B0EA}" name="TTE Adjuvant Tx1 End Date" dataDxfId="127">
      <calculatedColumnFormula>IFERROR(INT(CQ4 - $AS4)/30,"N/A")</calculatedColumnFormula>
    </tableColumn>
    <tableColumn id="207" xr3:uid="{0B0753B3-C027-4766-8636-B69E1B718326}" name="TTE Date recurrence/ progression 1" dataDxfId="126">
      <calculatedColumnFormula>IFERROR(INT(EI4 - $AS4)/30,"N/A")</calculatedColumnFormula>
    </tableColumn>
    <tableColumn id="208" xr3:uid="{CA039044-0C4C-45A9-8CAB-0182498BDCAD}" name="TTE Subsequent Tx1 Start Date" dataDxfId="125">
      <calculatedColumnFormula>IFERROR(INT(EM4 - $AS4)/30,"N/A")</calculatedColumnFormula>
    </tableColumn>
    <tableColumn id="209" xr3:uid="{932D845D-0142-406D-AC42-540AB69061DA}" name="TTE Subsequent Tx1 End Date" dataDxfId="124">
      <calculatedColumnFormula>IFERROR(INT(EN4 - $AS4)/30,"N/A")</calculatedColumnFormula>
    </tableColumn>
    <tableColumn id="210" xr3:uid="{A9CE5585-C3EA-42B4-A4A2-F34B61944452}" name="TTE Recurrence (PFS)" dataDxfId="123">
      <calculatedColumnFormula>$GY4</calculatedColumnFormula>
    </tableColumn>
    <tableColumn id="211" xr3:uid="{2105EC5F-41B5-4A0D-9903-F81ED37FF32A}" name="TTE Death (OS and PFS)" dataDxfId="122">
      <calculatedColumnFormula>IFERROR(INT(GG4 - $AS4)/30,"N/A")</calculatedColumnFormula>
    </tableColumn>
    <tableColumn id="212" xr3:uid="{270D9D2C-655A-4375-B195-2F1C09B67A3D}" name="TTE Date last follow-up (PFS)" dataDxfId="121">
      <calculatedColumnFormula>IFERROR(INT(GJ4 - $AS4)/30,"N/A")</calculatedColumnFormula>
    </tableColumn>
    <tableColumn id="213" xr3:uid="{6D43E042-2535-41B6-AB42-A3E2FE0E36E2}" name="TTE Date last seen (OS)" dataDxfId="120">
      <calculatedColumnFormula>IFERROR(INT(GK4 - $AS4)/30,"N/A")</calculatedColumnFormula>
    </tableColumn>
    <tableColumn id="214" xr3:uid="{7C7565E7-2F05-43E3-8574-8186503842D5}" name="TTE Overall survival (OS) in months" dataDxfId="119" dataCellStyle="Normal 2">
      <calculatedColumnFormula>SUM($HC4,$HE4)</calculatedColumnFormula>
    </tableColumn>
    <tableColumn id="215" xr3:uid="{C5F47E52-13F3-4B5F-9EDF-D35051F3A396}" name="TTE Progression free survival (PFS) in months" dataDxfId="118" dataCellStyle="Normal 2">
      <calculatedColumnFormula array="1">INDEX($HB4:$HD4,MATCH(TRUE,INDEX(ISNUMBER($HB4:$HD4),0),0))</calculatedColumnFormula>
    </tableColumn>
    <tableColumn id="216" xr3:uid="{3C824E80-C9F2-4A4A-9823-FE9FB53523B6}" name="Event (recurrence/progression)" dataDxfId="117" dataCellStyle="Normal 2">
      <calculatedColumnFormula>IF($HB4="N/A",0,1)</calculatedColumnFormula>
    </tableColumn>
    <tableColumn id="217" xr3:uid="{AE38ECDC-32FA-4168-BCB1-E22B43BB52C8}" name="Event (cancer death)" dataDxfId="116" dataCellStyle="Normal 2">
      <calculatedColumnFormula>IF($GH4="Yes",1,0)</calculatedColumnFormula>
    </tableColumn>
    <tableColumn id="218" xr3:uid="{D63B2E33-FF1D-4F52-8318-2ADA090BF8F7}" name="Event (death; all causes)" dataDxfId="115" dataCellStyle="Normal 2">
      <calculatedColumnFormula>IF($HC4="N/A",0,1)</calculatedColumnFormula>
    </tableColumn>
    <tableColumn id="219" xr3:uid="{C2CCAEFB-921A-4321-AF8A-B8D16209FF29}" name="Event (recurrence or cancer death)" dataDxfId="114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E0F945-5E41-41A8-8F67-01D2D89ED3D7}" name="Supplementary_1" displayName="Supplementary_1" ref="A1:F6" totalsRowShown="0" headerRowDxfId="104" dataDxfId="105" tableBorderDxfId="112">
  <autoFilter ref="A1:F6" xr:uid="{38E0F945-5E41-41A8-8F67-01D2D89ED3D7}"/>
  <tableColumns count="6">
    <tableColumn id="1" xr3:uid="{4111A993-A2B3-407C-9F89-48F4F742FE31}" name="NHS number" dataDxfId="111"/>
    <tableColumn id="2" xr3:uid="{4913BE90-BC76-49A0-B5D8-2A0B8F062063}" name="Donor ID" dataDxfId="110"/>
    <tableColumn id="3" xr3:uid="{40DECDCD-2560-48A5-B476-F0D200AA1E69}" name="Selected specimen Anonymised ID" dataDxfId="109"/>
    <tableColumn id="4" xr3:uid="{2E5C2F3E-E7F0-4B0C-828A-480682ECCEAD}" name="Post treatment specimen 1 anonymised ID" dataDxfId="108"/>
    <tableColumn id="5" xr3:uid="{A0898E0D-EEF1-47EA-8DBC-6ACD1C1810D9}" name="Last treatment prior to specimen 1 surgery" dataDxfId="107"/>
    <tableColumn id="6" xr3:uid="{B0DB7BF2-F6E0-4AA0-BC85-35F45AFE975F}" name="Indication" dataDxfId="106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ED740A-6F7C-4011-92D9-6CC53BAD2AE1}" name="Supplementary_2" displayName="Supplementary_2" ref="A9:AE12" totalsRowShown="0" headerRowDxfId="72" dataDxfId="73" tableBorderDxfId="103">
  <autoFilter ref="A9:AE12" xr:uid="{ABED740A-6F7C-4011-92D9-6CC53BAD2AE1}"/>
  <tableColumns count="31">
    <tableColumn id="1" xr3:uid="{F0A251B3-EF1D-4B54-959C-8E38381BD157}" name="NHS number" dataDxfId="102"/>
    <tableColumn id="2" xr3:uid="{1C79B9C7-4A60-49C2-818B-CD4A16433DF9}" name="Donor ID" dataDxfId="101"/>
    <tableColumn id="3" xr3:uid="{E399DD48-FFC4-4345-9CDB-93B0032101F5}" name="Selected specimen Anonymised ID"/>
    <tableColumn id="4" xr3:uid="{2B49E78C-83F5-47B3-8E56-A06766E9A6C5}" name="Details provided for:" dataDxfId="100"/>
    <tableColumn id="5" xr3:uid="{F1B89285-087F-44B5-9F37-1B77716CA2F7}" name="Gleason score " dataDxfId="99"/>
    <tableColumn id="6" xr3:uid="{5519F510-45BB-42C8-8A3D-7D4C4A62CA06}" name="PSA (ug/L)" dataDxfId="98"/>
    <tableColumn id="7" xr3:uid="{1E7F0A82-CD67-4E54-BFAD-21C288668622}" name="Androgen deprivation therapy (ADT)" dataDxfId="97"/>
    <tableColumn id="8" xr3:uid="{A267DCB5-24E0-415B-9202-F99CCD06DED6}" name="Biochemical Relapse during ADT" dataDxfId="96"/>
    <tableColumn id="9" xr3:uid="{C7F6D8CC-9555-477D-9AEE-7ED0AF5A8FE6}" name="Clinical relapse during ADT " dataDxfId="95"/>
    <tableColumn id="10" xr3:uid="{15B4897F-7653-4840-B3AD-7457436D2FC6}" name="Castrate resistant prostate cancer (CRPC)" dataDxfId="94"/>
    <tableColumn id="11" xr3:uid="{AB8176CA-573D-4BD9-A225-013BD22D982F}" name="PSA nadir (ug/L; detection limits vary)" dataDxfId="93"/>
    <tableColumn id="12" xr3:uid="{4281497E-B094-4F7D-B7FD-D5E4918321E9}" name="PSA when last followed up (ug/L; detection limits vary)" dataDxfId="92"/>
    <tableColumn id="13" xr3:uid="{7CBDDAA7-3965-4C3C-99EC-6167FB2FF213}" name="Date diagnosis" dataDxfId="91"/>
    <tableColumn id="14" xr3:uid="{4AD90F40-018F-408F-9306-76450A2D37A1}" name="Date ADT therapy first initiated" dataDxfId="90"/>
    <tableColumn id="15" xr3:uid="{F1586B8E-5C20-495A-90A9-F668A9FED6F6}" name="Date biochemical recurrence/progression during ADT"/>
    <tableColumn id="16" xr3:uid="{3ED2C9B1-995C-4CE3-A55C-C7601458B57E}" name="Details of biochemical recurrence " dataDxfId="89"/>
    <tableColumn id="17" xr3:uid="{99EA5CBC-3BD8-4D43-AB31-D9D243C19913}" name="Date clinical recurrence/progression during ADT" dataDxfId="88"/>
    <tableColumn id="18" xr3:uid="{0F531B5B-12D8-4549-ABC8-7499EA5F047B}" name="TTE CRPC (biochemical) (from ADT start date)" dataDxfId="87">
      <calculatedColumnFormula>IFERROR(INT(O10 -$N10)/30,"N/A")</calculatedColumnFormula>
    </tableColumn>
    <tableColumn id="19" xr3:uid="{3C166E22-783E-4DA8-AF8F-0031AF2B70DD}" name="TTE CRPC (clinical) (from ADT start date)" dataDxfId="86">
      <calculatedColumnFormula>IFERROR(INT(Q10 -$N10)/30,"N/A")</calculatedColumnFormula>
    </tableColumn>
    <tableColumn id="20" xr3:uid="{A1ACBF5F-8964-415A-B7F4-94061CB1B79B}" name="TTE CRPC (biochemical) from date diagnosis" dataDxfId="85">
      <calculatedColumnFormula>IFERROR(INT(O10 -$M10)/30,"N/A")</calculatedColumnFormula>
    </tableColumn>
    <tableColumn id="21" xr3:uid="{3123918E-CCB3-4EC5-90DB-CAEDBDA69E62}" name="TTE CRPC (clinical) from date diagnosis" dataDxfId="84">
      <calculatedColumnFormula>IFERROR(INT(Q10 -$M10)/30,"N/A")</calculatedColumnFormula>
    </tableColumn>
    <tableColumn id="22" xr3:uid="{DB406790-20DB-4565-89C1-1571C725E487}" name="Castrate resistant disease at time of sample surgery" dataDxfId="83"/>
    <tableColumn id="23" xr3:uid="{C217B63A-3D66-447B-B339-25AADADBC581}" name="Metastatic disease at diagnosis (distant mets/non-regional lymph nodes)" dataDxfId="82"/>
    <tableColumn id="24" xr3:uid="{CB8F1267-DF5E-4F3C-A49C-544F19F66117}" name="Metastatic disease at time of sample surgery (distant mets/non-regional lymph nodes)" dataDxfId="81"/>
    <tableColumn id="25" xr3:uid="{4F60BB19-9F7C-4B7F-ABED-53220275E6BE}" name="Date progression to metastatic disease" dataDxfId="80"/>
    <tableColumn id="26" xr3:uid="{46DAB386-1C55-4A5E-8031-2C5397CD66C8}" name="TTE progression to metastatic disease (from date of diagnosis)" dataDxfId="79">
      <calculatedColumnFormula>IFERROR(INT(Y10 -$M10)/30,"N/A")</calculatedColumnFormula>
    </tableColumn>
    <tableColumn id="27" xr3:uid="{5632AC9D-CA01-47B3-B232-E8C8A702653E}" name="Disease status at sample surgery (metastatic/non-metastatic/castrate resistant/hormone sensitive)" dataDxfId="78"/>
    <tableColumn id="28" xr3:uid="{754F6D43-2F23-4771-B461-792674CF9C24}" name="Notes" dataDxfId="77"/>
    <tableColumn id="29" xr3:uid="{342466FD-3262-49A2-8C40-263428E46318}" name="Post treatment specimen 1 anonymised ID" dataDxfId="76"/>
    <tableColumn id="30" xr3:uid="{741A87B1-9636-4BC3-8F7A-C0C498FCCB7E}" name="Last treatment prior to specimen 1 surgery" dataDxfId="75"/>
    <tableColumn id="31" xr3:uid="{D7ADC1DF-AC86-45E8-9765-D2E5C2EB8783}" name="Indication" dataDxfId="74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50E10A-97D2-4588-A793-BE32615C0EFB}" name="Supplementary_3" displayName="Supplementary_3" ref="A15:P22" totalsRowShown="0" headerRowDxfId="53" dataDxfId="54" tableBorderDxfId="71">
  <autoFilter ref="A15:P22" xr:uid="{0650E10A-97D2-4588-A793-BE32615C0EFB}"/>
  <tableColumns count="16">
    <tableColumn id="1" xr3:uid="{DE5819ED-CB2D-4997-AC1E-EAABA57FE151}" name="NHS number" dataDxfId="70"/>
    <tableColumn id="2" xr3:uid="{3E13737B-BFC9-4FEE-A713-7B34C2ECC136}" name="Donor ID" dataDxfId="69"/>
    <tableColumn id="3" xr3:uid="{E34DFECA-7FCF-4A9A-8999-7DAB5D5E7284}" name="Selected specimen Anonymised ID" dataDxfId="68"/>
    <tableColumn id="4" xr3:uid="{B186F88E-2A53-4EFD-9D75-A023A53E2E60}" name="Specimen used for testing (if different)" dataDxfId="67"/>
    <tableColumn id="5" xr3:uid="{5275044C-D068-41B5-8331-0A515F8CE449}" name="Block used for testing" dataDxfId="66"/>
    <tableColumn id="6" xr3:uid="{2DD6BEE0-D776-4518-9C59-AC784025FE53}" name="Oestrogen Receptor Status" dataDxfId="65"/>
    <tableColumn id="7" xr3:uid="{D663C3E8-A6A3-4050-8C89-D1742FF0EF77}" name="Progesterone Receptor Status" dataDxfId="64"/>
    <tableColumn id="8" xr3:uid="{8EFB569A-AFF3-4423-B68C-8F75A42B1CBD}" name="HER2 IHC Score" dataDxfId="63"/>
    <tableColumn id="9" xr3:uid="{E4835B99-C6C5-4601-BBF9-58F0CE97AB67}" name="HER2 FISH score" dataDxfId="62"/>
    <tableColumn id="10" xr3:uid="{F30D28F7-2901-4310-ABCE-DF7D109BA9F8}" name="Nottingham Prognostic Index" dataDxfId="61"/>
    <tableColumn id="11" xr3:uid="{248D4AEE-FC0F-458C-9388-5F26AFB7337E}" name="Pathogenic germline gene variants identified" dataDxfId="60"/>
    <tableColumn id="12" xr3:uid="{47BD639B-5371-45D2-95ED-FD61F715FD41}" name="Genes tested" dataDxfId="59"/>
    <tableColumn id="13" xr3:uid="{78D78999-A065-4E17-8E4E-13A60BF80C6A}" name="Oncotype DX score (done on resection)" dataDxfId="58"/>
    <tableColumn id="14" xr3:uid="{416E31AA-9B23-4418-8B80-6FC4B0BB75B2}" name="Post treatment specimen 1 anonymised ID" dataDxfId="57"/>
    <tableColumn id="15" xr3:uid="{D86B94BA-49BB-4243-B0DA-F8A322CC903B}" name="Last treatment prior to specimen 1 surgery" dataDxfId="56"/>
    <tableColumn id="16" xr3:uid="{515330DE-01E2-461A-88E2-B784D44624CF}" name="Indication" dataDxfId="55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7002AD-F47D-490F-BD5B-C71D88C2293F}" name="Supplementary_4" displayName="Supplementary_4" ref="A25:P28" totalsRowShown="0" headerRowDxfId="35" dataDxfId="36" tableBorderDxfId="52">
  <autoFilter ref="A25:P28" xr:uid="{AC7002AD-F47D-490F-BD5B-C71D88C2293F}"/>
  <tableColumns count="16">
    <tableColumn id="1" xr3:uid="{481E2C95-F44D-4729-A124-F0035BE218D9}" name="NHS number" dataDxfId="51"/>
    <tableColumn id="2" xr3:uid="{51EEB862-C323-4F03-851C-B28478049453}" name="Donor ID" dataDxfId="50"/>
    <tableColumn id="3" xr3:uid="{7DE6ED4B-941E-4FC8-9C94-5362085F1C44}" name="Selected specimen Anonymised ID"/>
    <tableColumn id="4" xr3:uid="{40E74BDB-263C-4C18-BF67-DA641124D7D2}" name="Specimen number used for testing if different" dataDxfId="49"/>
    <tableColumn id="5" xr3:uid="{B704D017-7E96-4C2B-8030-788A660648DF}" name="Block used for testing" dataDxfId="48"/>
    <tableColumn id="6" xr3:uid="{7681C8C6-2AFB-4A5D-88E1-2680CAF2575D}" name="KRAS mutation" dataDxfId="47"/>
    <tableColumn id="7" xr3:uid="{F1B8187F-A973-4C91-9CBA-101923A5AF6D}" name="NRAS mutation" dataDxfId="46"/>
    <tableColumn id="8" xr3:uid="{CD38BE7D-178C-488A-9C89-C19AD99E8E13}" name="BRAF mutation" dataDxfId="45"/>
    <tableColumn id="9" xr3:uid="{B6B63F38-5FC7-4091-97DE-047D59C1D266}" name="PD-L1" dataDxfId="44"/>
    <tableColumn id="10" xr3:uid="{14D133DC-04DF-42EA-A6BB-2B1354089060}" name="% positive cells (PD-L1)" dataDxfId="43"/>
    <tableColumn id="11" xr3:uid="{BEADF28B-8DA7-4688-B9E2-A6C855CC160A}" name="EGFR mutation" dataDxfId="42"/>
    <tableColumn id="12" xr3:uid="{E1FDE2D1-1248-430C-BCBC-5C2916A70BA8}" name="ALK rearrangement/fusion" dataDxfId="41"/>
    <tableColumn id="13" xr3:uid="{DC8D16BA-2DC3-4C15-8E90-822860C0D7B5}" name="Any other variants detected" dataDxfId="40"/>
    <tableColumn id="14" xr3:uid="{2514AAC0-DE5F-4539-8DA2-FFCC69D7B907}" name="Post treatment specimen 1 anonymised ID" dataDxfId="39"/>
    <tableColumn id="15" xr3:uid="{56E7634D-A2FD-4369-98E6-9E4815DB9694}" name="Last treatment prior to specimen 1 surgery" dataDxfId="38"/>
    <tableColumn id="16" xr3:uid="{748BB19A-BE1E-42A6-B7F1-B159C594C6AD}" name="Indication" dataDxfId="37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45C28E-5614-4A28-9F17-4EC332302E6A}" name="Supplementary_5" displayName="Supplementary_5" ref="A31:R32" totalsRowShown="0" headerRowDxfId="14" dataDxfId="15" tableBorderDxfId="34">
  <autoFilter ref="A31:R32" xr:uid="{3045C28E-5614-4A28-9F17-4EC332302E6A}"/>
  <tableColumns count="18">
    <tableColumn id="1" xr3:uid="{60307E1F-8B30-4537-AD53-F807A2F971AD}" name="NHS number" dataDxfId="33"/>
    <tableColumn id="2" xr3:uid="{04073E45-1EEF-4D90-906E-6A4CF0B350DB}" name="Donor ID" dataDxfId="32"/>
    <tableColumn id="3" xr3:uid="{96AFB993-6AE8-4701-AC2B-6015F009D053}" name="Selected specimen Anonymised ID" dataDxfId="31"/>
    <tableColumn id="4" xr3:uid="{B204EF9F-74E1-4F7C-A833-40C24992D9E2}" name="Specimen number used for molecular testing (if different)" dataDxfId="30"/>
    <tableColumn id="5" xr3:uid="{31A733ED-39F9-4768-943B-C52DF70265F3}" name="Side L/R" dataDxfId="29"/>
    <tableColumn id="6" xr3:uid="{B660A0D0-AF41-4020-A4FA-ADA77CF494C6}" name="Block used for Lynch screening (MMR IHC)" dataDxfId="28"/>
    <tableColumn id="7" xr3:uid="{712F94B9-6C61-4B45-8DB5-1C18F192E3AF}" name="MMR result (normal/abnormal)" dataDxfId="27"/>
    <tableColumn id="8" xr3:uid="{98C814BE-590D-487F-8A5E-D344ED68FF87}" name="MLH1 IHC (pos / neg / clonal neg)" dataDxfId="26"/>
    <tableColumn id="9" xr3:uid="{F3AB9E3B-E992-4AD6-BF01-EBCA0BA39C69}" name="PMS2 IHC (pos/ neg / clonal neg" dataDxfId="25"/>
    <tableColumn id="10" xr3:uid="{C2201112-CED3-484C-9F50-B8A8016237A0}" name="MSH2 IHC (pos/ neg / clonal neg" dataDxfId="24"/>
    <tableColumn id="11" xr3:uid="{AA57C9B7-85C1-4C46-BAEA-D8049C9C7BBE}" name="MSH6 IHC (pos/ neg/ clonal neg)" dataDxfId="23"/>
    <tableColumn id="12" xr3:uid="{BE76DCC3-46D0-4D22-B89C-9BAA6C372CD9}" name="KRAS mutation" dataDxfId="22"/>
    <tableColumn id="13" xr3:uid="{53817F44-3235-44F2-B627-69440A4C56DE}" name="NRAS mutation" dataDxfId="21"/>
    <tableColumn id="14" xr3:uid="{AE699F41-E2EF-411B-914C-ADA022DDAB73}" name="BRAF mutation" dataDxfId="20"/>
    <tableColumn id="15" xr3:uid="{F9B4DF50-34CE-4DD6-825A-CFE6857C0AA9}" name="MSI plus test" dataDxfId="19"/>
    <tableColumn id="16" xr3:uid="{2BA7FB64-C415-48E9-AE81-8224E3C9E852}" name="Post treatment specimen 1 anonymised ID" dataDxfId="18"/>
    <tableColumn id="17" xr3:uid="{260041B5-B7A7-4DC5-84E8-EF28F5C5ADCA}" name="Last treatment prior to specimen 1 surgery" dataDxfId="17"/>
    <tableColumn id="18" xr3:uid="{AEE9ABB5-31B5-4CE8-9F55-80169D13A8BA}" name="Indication" dataDxfId="16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1F289F-BABF-4AED-80E1-95BE95C839FF}" name="Supplementary_6" displayName="Supplementary_6" ref="A1:L35" totalsRowShown="0" headerRowDxfId="0" tableBorderDxfId="13">
  <autoFilter ref="A1:L35" xr:uid="{BE1F289F-BABF-4AED-80E1-95BE95C839FF}"/>
  <tableColumns count="12">
    <tableColumn id="1" xr3:uid="{19AE2F81-A78B-4BB9-AFE2-9525C257AFBF}" name="NHS Number" dataDxfId="12"/>
    <tableColumn id="2" xr3:uid="{494BBB35-3FCE-4FCA-948A-8C85930A0C41}" name="Selected Specimen" dataDxfId="11"/>
    <tableColumn id="3" xr3:uid="{7DCF0F72-AFB4-45E7-B290-166CC49CB49A}" name="Additional Metastatic Specimen Number 1" dataDxfId="10"/>
    <tableColumn id="4" xr3:uid="{EE192C1C-E292-4C98-8E50-E2D99AADCF7F}" name="Site 1" dataDxfId="9"/>
    <tableColumn id="5" xr3:uid="{677993CF-7E7C-4B20-BA18-2DFD689265B9}" name="Additional Metastatic Specimen Number 2" dataDxfId="8"/>
    <tableColumn id="6" xr3:uid="{98B3D877-B6EE-4418-BB6D-ABD13A9A7062}" name="Site 2" dataDxfId="7"/>
    <tableColumn id="7" xr3:uid="{65072322-34DC-4DA7-B9D2-4999BEB32F5E}" name="Additional Metastatic Specimen Number 3" dataDxfId="6"/>
    <tableColumn id="8" xr3:uid="{C4B8389C-2646-4F22-97FF-FEA2EEDD63C7}" name="Site 3" dataDxfId="5"/>
    <tableColumn id="9" xr3:uid="{05BF2CAD-2969-4CEC-89CE-04E9E374ED09}" name="Additional Metastatic Specimen Number 4" dataDxfId="4"/>
    <tableColumn id="10" xr3:uid="{71EB6212-23FA-424B-A1E5-45632807E979}" name="Site 4" dataDxfId="3"/>
    <tableColumn id="11" xr3:uid="{33B28EE6-E8BD-4AD1-A3C9-D63CCAA05728}" name="Additional Metastatic Specimen Number 5" dataDxfId="2"/>
    <tableColumn id="12" xr3:uid="{1918EC42-6C20-4695-B634-7FFE438FCB0C}" name="Site 5" dataDxfId="1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339" dataDxfId="338">
  <autoFilter ref="E1:I10" xr:uid="{D6CB22BC-1695-4F56-9502-53B227EFDF84}"/>
  <tableColumns count="5">
    <tableColumn id="1" xr3:uid="{63272864-20E5-4A7C-8D58-41CB534C8CC6}" name="Therapy type" dataDxfId="337"/>
    <tableColumn id="2" xr3:uid="{B73E30ED-C9DE-48F0-B683-FC8FE9EC3B63}" name="Yes/No" dataDxfId="336"/>
    <tableColumn id="3" xr3:uid="{03246ABE-255C-4892-868D-F0AEF1FAC5E9}" name="Matched Normal treatment subgrouping" dataDxfId="335"/>
    <tableColumn id="4" xr3:uid="{85936DCB-2C5F-44AE-84FF-5D7F3DD5CA45}" name="Staging/grading info provided for:" dataDxfId="334"/>
    <tableColumn id="5" xr3:uid="{CE5B5999-5BA0-43D3-9526-3C81CFAB2209}" name="Staging criteria" dataDxfId="333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E1533B-2FE6-4BB3-9671-F1DC81B46690}" name="error_log" displayName="error_log" ref="A1:C4" totalsRowShown="0">
  <autoFilter ref="A1:C4" xr:uid="{B1E1533B-2FE6-4BB3-9671-F1DC81B46690}"/>
  <tableColumns count="3">
    <tableColumn id="1" xr3:uid="{1F9A66D2-A15C-4C9C-A642-2BAFD6A00E92}" name="Row Number" dataDxfId="332"/>
    <tableColumn id="2" xr3:uid="{0EE27810-E9D1-48C0-8BD0-58EF719E0040}" name="NHS Number" dataDxfId="331"/>
    <tableColumn id="3" xr3:uid="{5BFF30A4-9B90-4C4C-91BF-F58B78E98CC3}" name="TTE Error Reasoning" dataDxfId="3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S4" dT="2026-03-08T20:34:20.00" personId="{3F739FE6-D2FD-40F7-A9E6-F59633269AB3}" id="{5DC954CC-BB80-4506-9C92-2C92436CEF1C}">
    <text>not sure of exact date</text>
  </threadedComment>
  <threadedComment ref="BJ8" dT="2026-03-09T14:14:26.00" personId="{3F739FE6-D2FD-40F7-A9E6-F59633269AB3}" id="{AE8793D1-57F2-404A-B26E-D15BB9DC6120}">
    <text>estimate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45"/>
  <sheetViews>
    <sheetView zoomScale="120" zoomScaleNormal="120" workbookViewId="0">
      <pane xSplit="1" ySplit="3" topLeftCell="AV4" activePane="bottomRight" state="frozen"/>
      <selection pane="topRight"/>
      <selection pane="bottomLeft"/>
      <selection pane="bottomRight" activeCell="BD8" sqref="BD8"/>
    </sheetView>
  </sheetViews>
  <sheetFormatPr defaultColWidth="9.08984375" defaultRowHeight="15" customHeight="1" outlineLevelCol="1" x14ac:dyDescent="0.3"/>
  <cols>
    <col min="1" max="1" width="13.90625" style="3" customWidth="1"/>
    <col min="2" max="2" width="18.453125" style="3" customWidth="1"/>
    <col min="3" max="3" width="27.6328125" style="3" customWidth="1"/>
    <col min="4" max="4" width="21.6328125" style="3" customWidth="1"/>
    <col min="5" max="5" width="28.26953125" style="3" customWidth="1"/>
    <col min="6" max="7" width="21.90625" style="3" customWidth="1"/>
    <col min="8" max="8" width="19.54296875" style="71" customWidth="1"/>
    <col min="9" max="9" width="15.7265625" style="3" customWidth="1"/>
    <col min="10" max="10" width="18.90625" style="3" customWidth="1"/>
    <col min="11" max="11" width="18.7265625" style="71" customWidth="1"/>
    <col min="12" max="12" width="18.36328125" style="3" customWidth="1"/>
    <col min="13" max="13" width="25.7265625" style="3" customWidth="1"/>
    <col min="14" max="14" width="24.90625" style="3" customWidth="1"/>
    <col min="15" max="15" width="18.36328125" style="3" customWidth="1"/>
    <col min="16" max="16" width="24.26953125" style="71" customWidth="1"/>
    <col min="17" max="17" width="31.7265625" style="3" customWidth="1"/>
    <col min="18" max="18" width="25.7265625" style="3" customWidth="1" outlineLevel="1"/>
    <col min="19" max="19" width="24.90625" style="3" customWidth="1" outlineLevel="1"/>
    <col min="20" max="20" width="18.36328125" style="3" customWidth="1" outlineLevel="1"/>
    <col min="21" max="21" width="24.26953125" style="71" customWidth="1" outlineLevel="1"/>
    <col min="22" max="22" width="31.7265625" style="3" customWidth="1" outlineLevel="1"/>
    <col min="23" max="23" width="25.7265625" style="3" customWidth="1" outlineLevel="1"/>
    <col min="24" max="24" width="24.90625" style="3" customWidth="1" outlineLevel="1"/>
    <col min="25" max="25" width="18.90625" style="3" customWidth="1" outlineLevel="1"/>
    <col min="26" max="26" width="24.26953125" style="71" customWidth="1" outlineLevel="1"/>
    <col min="27" max="27" width="31.7265625" style="3" customWidth="1" outlineLevel="1"/>
    <col min="28" max="28" width="25.7265625" style="3" customWidth="1" outlineLevel="1"/>
    <col min="29" max="29" width="24.90625" style="3" customWidth="1" outlineLevel="1"/>
    <col min="30" max="30" width="18.90625" style="3" customWidth="1" outlineLevel="1"/>
    <col min="31" max="31" width="24.26953125" style="71" customWidth="1" outlineLevel="1"/>
    <col min="32" max="32" width="31.7265625" style="3" customWidth="1" outlineLevel="1"/>
    <col min="33" max="33" width="25.7265625" style="3" customWidth="1" outlineLevel="1"/>
    <col min="34" max="34" width="24.90625" style="3" customWidth="1" outlineLevel="1"/>
    <col min="35" max="35" width="18.90625" style="3" customWidth="1" outlineLevel="1"/>
    <col min="36" max="36" width="24.26953125" style="71" customWidth="1" outlineLevel="1"/>
    <col min="37" max="37" width="31.7265625" style="3" customWidth="1" outlineLevel="1"/>
    <col min="38" max="38" width="24.81640625" style="3" customWidth="1" outlineLevel="1"/>
    <col min="39" max="39" width="31.1796875" style="3" customWidth="1" outlineLevel="1"/>
    <col min="40" max="40" width="23.26953125" style="3" customWidth="1" outlineLevel="1"/>
    <col min="41" max="41" width="30.54296875" style="71" customWidth="1" outlineLevel="1"/>
    <col min="42" max="42" width="33.1796875" style="3" customWidth="1" outlineLevel="1"/>
    <col min="43" max="43" width="16" style="3" customWidth="1"/>
    <col min="44" max="44" width="16" style="71" customWidth="1"/>
    <col min="45" max="45" width="23.453125" style="71" customWidth="1"/>
    <col min="46" max="46" width="16.6328125" style="3" customWidth="1"/>
    <col min="47" max="47" width="26.54296875" style="3" customWidth="1"/>
    <col min="48" max="48" width="28" style="3" customWidth="1"/>
    <col min="49" max="49" width="20.7265625" style="3" customWidth="1"/>
    <col min="50" max="57" width="16" style="3" customWidth="1"/>
    <col min="58" max="58" width="21.7265625" style="3" customWidth="1" collapsed="1"/>
    <col min="59" max="59" width="36.6328125" style="77" customWidth="1"/>
    <col min="60" max="60" width="16.6328125" style="3" customWidth="1"/>
    <col min="61" max="61" width="20" style="3" customWidth="1"/>
    <col min="62" max="62" width="23.08984375" style="71" customWidth="1"/>
    <col min="63" max="63" width="22.36328125" style="71" customWidth="1"/>
    <col min="64" max="64" width="28.90625" style="3" customWidth="1"/>
    <col min="65" max="65" width="16.6328125" style="3" customWidth="1"/>
    <col min="66" max="66" width="20" style="3" customWidth="1"/>
    <col min="67" max="67" width="29.36328125" style="3" customWidth="1"/>
    <col min="68" max="68" width="16.6328125" style="3" customWidth="1"/>
    <col min="69" max="69" width="20" style="3" customWidth="1"/>
    <col min="70" max="70" width="29.36328125" style="3" customWidth="1"/>
    <col min="71" max="71" width="16.6328125" style="3" customWidth="1"/>
    <col min="72" max="72" width="20" style="3" customWidth="1"/>
    <col min="73" max="73" width="29.36328125" style="3" customWidth="1"/>
    <col min="74" max="74" width="16.6328125" style="3" customWidth="1"/>
    <col min="75" max="75" width="20" style="3" customWidth="1"/>
    <col min="76" max="76" width="29.36328125" style="3" customWidth="1"/>
    <col min="77" max="77" width="16.6328125" style="3" customWidth="1"/>
    <col min="78" max="78" width="20" style="3" customWidth="1"/>
    <col min="79" max="79" width="29.36328125" style="3" customWidth="1"/>
    <col min="80" max="80" width="16.6328125" style="3" customWidth="1"/>
    <col min="81" max="81" width="20" style="3" customWidth="1"/>
    <col min="82" max="82" width="29.36328125" style="3" customWidth="1"/>
    <col min="83" max="83" width="16.6328125" style="3" customWidth="1"/>
    <col min="84" max="84" width="20" style="3" customWidth="1"/>
    <col min="85" max="85" width="29.36328125" style="3" customWidth="1"/>
    <col min="86" max="86" width="16.6328125" style="3" customWidth="1"/>
    <col min="87" max="87" width="20" style="3" customWidth="1"/>
    <col min="88" max="88" width="29.36328125" style="3" customWidth="1"/>
    <col min="89" max="89" width="17.54296875" style="3" customWidth="1"/>
    <col min="90" max="90" width="20.90625" style="3" customWidth="1"/>
    <col min="91" max="91" width="29.81640625" style="3" customWidth="1"/>
    <col min="92" max="92" width="15.90625" style="3" customWidth="1"/>
    <col min="93" max="93" width="18.08984375" style="3" customWidth="1"/>
    <col min="94" max="94" width="20.26953125" style="71" customWidth="1"/>
    <col min="95" max="95" width="19.453125" style="71" customWidth="1"/>
    <col min="96" max="96" width="26.08984375" style="3" customWidth="1"/>
    <col min="97" max="97" width="15.90625" style="3" customWidth="1"/>
    <col min="98" max="98" width="18.08984375" style="3" customWidth="1"/>
    <col min="99" max="99" width="26.453125" style="3" customWidth="1"/>
    <col min="100" max="100" width="15.90625" style="3" customWidth="1"/>
    <col min="101" max="101" width="18.08984375" style="3" customWidth="1"/>
    <col min="102" max="102" width="26.453125" style="3" customWidth="1"/>
    <col min="103" max="103" width="15.90625" style="3" customWidth="1"/>
    <col min="104" max="104" width="18.08984375" style="3" customWidth="1"/>
    <col min="105" max="105" width="26.453125" style="3" customWidth="1"/>
    <col min="106" max="106" width="15.90625" style="3" customWidth="1"/>
    <col min="107" max="107" width="18.08984375" style="3" customWidth="1"/>
    <col min="108" max="108" width="26.453125" style="3" customWidth="1"/>
    <col min="109" max="109" width="15.90625" style="3" customWidth="1"/>
    <col min="110" max="110" width="18.08984375" style="3" customWidth="1"/>
    <col min="111" max="111" width="26.453125" style="3" customWidth="1"/>
    <col min="112" max="112" width="15.90625" style="3" customWidth="1"/>
    <col min="113" max="113" width="18.08984375" style="3" customWidth="1"/>
    <col min="114" max="114" width="26.453125" style="3" customWidth="1"/>
    <col min="115" max="115" width="15.90625" style="3" customWidth="1"/>
    <col min="116" max="116" width="18.08984375" style="3" customWidth="1"/>
    <col min="117" max="117" width="26.453125" style="3" customWidth="1"/>
    <col min="118" max="118" width="15.90625" style="3" customWidth="1"/>
    <col min="119" max="119" width="18.08984375" style="3" customWidth="1"/>
    <col min="120" max="120" width="26.453125" style="3" customWidth="1"/>
    <col min="121" max="121" width="15.90625" style="3" customWidth="1"/>
    <col min="122" max="122" width="18.08984375" style="3" customWidth="1"/>
    <col min="123" max="123" width="27" style="3" customWidth="1"/>
    <col min="124" max="124" width="15.90625" style="3" customWidth="1"/>
    <col min="125" max="125" width="18.08984375" style="3" customWidth="1"/>
    <col min="126" max="126" width="27" style="3" customWidth="1"/>
    <col min="127" max="127" width="15.90625" style="3" customWidth="1"/>
    <col min="128" max="128" width="18.08984375" style="3" customWidth="1"/>
    <col min="129" max="129" width="27" style="3" customWidth="1"/>
    <col min="130" max="130" width="15.90625" style="3" customWidth="1"/>
    <col min="131" max="131" width="18.08984375" style="3" customWidth="1"/>
    <col min="132" max="132" width="27" style="3" customWidth="1"/>
    <col min="133" max="133" width="15.90625" style="3" customWidth="1"/>
    <col min="134" max="134" width="18.08984375" style="3" customWidth="1"/>
    <col min="135" max="135" width="27" style="3" customWidth="1"/>
    <col min="136" max="136" width="15.90625" style="3" customWidth="1"/>
    <col min="137" max="137" width="18.08984375" style="3" customWidth="1"/>
    <col min="138" max="138" width="27" style="3" customWidth="1"/>
    <col min="139" max="139" width="26" style="71" customWidth="1" collapsed="1"/>
    <col min="140" max="140" width="26" style="3" customWidth="1"/>
    <col min="141" max="141" width="16" style="3" customWidth="1"/>
    <col min="142" max="142" width="19.1796875" style="3" customWidth="1"/>
    <col min="143" max="143" width="22.26953125" style="71" customWidth="1"/>
    <col min="144" max="144" width="24.1796875" style="71" customWidth="1"/>
    <col min="145" max="145" width="30.08984375" style="3" customWidth="1"/>
    <col min="146" max="146" width="16" style="3" customWidth="1"/>
    <col min="147" max="147" width="19.1796875" style="3" customWidth="1"/>
    <col min="148" max="148" width="30.08984375" style="3" customWidth="1"/>
    <col min="149" max="149" width="16" style="3" customWidth="1"/>
    <col min="150" max="150" width="19.1796875" style="3" customWidth="1"/>
    <col min="151" max="151" width="30.08984375" style="3" customWidth="1"/>
    <col min="152" max="152" width="16" style="3" customWidth="1"/>
    <col min="153" max="153" width="19.1796875" style="3" customWidth="1"/>
    <col min="154" max="154" width="30.08984375" style="3" customWidth="1"/>
    <col min="155" max="155" width="16" style="3" customWidth="1"/>
    <col min="156" max="156" width="19.1796875" style="3" customWidth="1"/>
    <col min="157" max="157" width="30.08984375" style="3" customWidth="1"/>
    <col min="158" max="158" width="16" style="3" customWidth="1"/>
    <col min="159" max="159" width="19.1796875" style="3" customWidth="1"/>
    <col min="160" max="160" width="30.08984375" style="3" customWidth="1"/>
    <col min="161" max="161" width="16" style="3" customWidth="1"/>
    <col min="162" max="162" width="19.1796875" style="3" customWidth="1"/>
    <col min="163" max="163" width="30.08984375" style="3" customWidth="1"/>
    <col min="164" max="164" width="16" style="3" customWidth="1"/>
    <col min="165" max="165" width="19.1796875" style="3" customWidth="1"/>
    <col min="166" max="166" width="30.08984375" style="3" customWidth="1"/>
    <col min="167" max="167" width="16" style="3" customWidth="1"/>
    <col min="168" max="168" width="19.1796875" style="3" customWidth="1"/>
    <col min="169" max="169" width="30.08984375" style="3" customWidth="1"/>
    <col min="170" max="170" width="16.6328125" style="3" customWidth="1"/>
    <col min="171" max="171" width="20.08984375" style="3" customWidth="1"/>
    <col min="172" max="172" width="31" style="3" customWidth="1"/>
    <col min="173" max="173" width="16.6328125" style="3" customWidth="1"/>
    <col min="174" max="174" width="20.08984375" style="3" customWidth="1"/>
    <col min="175" max="175" width="31" style="3" customWidth="1"/>
    <col min="176" max="176" width="16.6328125" style="3" customWidth="1"/>
    <col min="177" max="177" width="20.08984375" style="3" customWidth="1"/>
    <col min="178" max="178" width="31" style="3" customWidth="1"/>
    <col min="179" max="179" width="16.6328125" style="3" customWidth="1"/>
    <col min="180" max="180" width="20.08984375" style="3" customWidth="1"/>
    <col min="181" max="181" width="31" style="3" customWidth="1"/>
    <col min="182" max="182" width="16.6328125" style="3" customWidth="1"/>
    <col min="183" max="183" width="20.08984375" style="3" customWidth="1"/>
    <col min="184" max="184" width="31" style="3" customWidth="1"/>
    <col min="185" max="185" width="16.6328125" style="3" customWidth="1"/>
    <col min="186" max="186" width="20.08984375" style="3" customWidth="1"/>
    <col min="187" max="187" width="31" style="3" customWidth="1"/>
    <col min="188" max="188" width="19" style="3" customWidth="1"/>
    <col min="189" max="189" width="19" style="71" customWidth="1"/>
    <col min="190" max="190" width="20.54296875" style="3" customWidth="1"/>
    <col min="191" max="191" width="19" style="3" customWidth="1"/>
    <col min="192" max="193" width="19" style="71" customWidth="1"/>
    <col min="194" max="194" width="24.7265625" style="71" customWidth="1"/>
    <col min="195" max="195" width="26.1796875" style="3" customWidth="1"/>
    <col min="196" max="196" width="25.453125" style="3" customWidth="1"/>
    <col min="197" max="197" width="22.6328125" style="3" customWidth="1"/>
    <col min="198" max="198" width="21.81640625" style="3" customWidth="1"/>
    <col min="199" max="203" width="27.36328125" style="3" customWidth="1"/>
    <col min="204" max="204" width="33.6328125" style="3" customWidth="1"/>
    <col min="205" max="205" width="23.36328125" style="3" customWidth="1"/>
    <col min="206" max="206" width="22.54296875" style="3" customWidth="1"/>
    <col min="207" max="207" width="29.08984375" style="3" customWidth="1"/>
    <col min="208" max="208" width="25.36328125" style="3" customWidth="1"/>
    <col min="209" max="209" width="24.6328125" style="3" customWidth="1"/>
    <col min="210" max="210" width="18.36328125" style="3" customWidth="1"/>
    <col min="211" max="211" width="19.81640625" style="3" customWidth="1"/>
    <col min="212" max="212" width="23.90625" style="3" customWidth="1"/>
    <col min="213" max="213" width="19.54296875" style="3" customWidth="1"/>
    <col min="214" max="214" width="28.7265625" style="3" customWidth="1"/>
    <col min="215" max="215" width="36.36328125" style="3" customWidth="1"/>
    <col min="216" max="216" width="26.08984375" style="3" customWidth="1"/>
    <col min="217" max="217" width="18.36328125" style="3" customWidth="1"/>
    <col min="218" max="218" width="20.6328125" style="3" customWidth="1"/>
    <col min="219" max="219" width="28.453125" style="3" customWidth="1"/>
    <col min="220" max="16384" width="9.08984375" style="3"/>
  </cols>
  <sheetData>
    <row r="1" spans="1:219" ht="15" customHeight="1" x14ac:dyDescent="0.4">
      <c r="A1" s="1" t="s">
        <v>0</v>
      </c>
    </row>
    <row r="2" spans="1:219" ht="15" customHeight="1" x14ac:dyDescent="0.45">
      <c r="A2" s="2"/>
      <c r="AU2" s="86"/>
      <c r="BA2" s="86"/>
      <c r="BG2" s="87"/>
      <c r="BH2" s="86"/>
    </row>
    <row r="3" spans="1:219" ht="57.75" customHeight="1" x14ac:dyDescent="0.3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4" t="s">
        <v>12</v>
      </c>
      <c r="M3" s="8" t="s">
        <v>13</v>
      </c>
      <c r="N3" s="8" t="s">
        <v>14</v>
      </c>
      <c r="O3" s="8" t="s">
        <v>15</v>
      </c>
      <c r="P3" s="73" t="s">
        <v>16</v>
      </c>
      <c r="Q3" s="4" t="s">
        <v>17</v>
      </c>
      <c r="R3" s="8" t="s">
        <v>18</v>
      </c>
      <c r="S3" s="8" t="s">
        <v>19</v>
      </c>
      <c r="T3" s="8" t="s">
        <v>20</v>
      </c>
      <c r="U3" s="73" t="s">
        <v>21</v>
      </c>
      <c r="V3" s="4" t="s">
        <v>22</v>
      </c>
      <c r="W3" s="8" t="s">
        <v>23</v>
      </c>
      <c r="X3" s="8" t="s">
        <v>24</v>
      </c>
      <c r="Y3" s="8" t="s">
        <v>25</v>
      </c>
      <c r="Z3" s="73" t="s">
        <v>26</v>
      </c>
      <c r="AA3" s="4" t="s">
        <v>27</v>
      </c>
      <c r="AB3" s="8" t="s">
        <v>28</v>
      </c>
      <c r="AC3" s="8" t="s">
        <v>29</v>
      </c>
      <c r="AD3" s="8" t="s">
        <v>30</v>
      </c>
      <c r="AE3" s="73" t="s">
        <v>31</v>
      </c>
      <c r="AF3" s="4" t="s">
        <v>32</v>
      </c>
      <c r="AG3" s="8" t="s">
        <v>33</v>
      </c>
      <c r="AH3" s="8" t="s">
        <v>34</v>
      </c>
      <c r="AI3" s="8" t="s">
        <v>35</v>
      </c>
      <c r="AJ3" s="73" t="s">
        <v>36</v>
      </c>
      <c r="AK3" s="4" t="s">
        <v>37</v>
      </c>
      <c r="AL3" s="8" t="s">
        <v>38</v>
      </c>
      <c r="AM3" s="8" t="s">
        <v>39</v>
      </c>
      <c r="AN3" s="8" t="s">
        <v>40</v>
      </c>
      <c r="AO3" s="73" t="s">
        <v>41</v>
      </c>
      <c r="AP3" s="4" t="s">
        <v>42</v>
      </c>
      <c r="AQ3" s="5" t="s">
        <v>43</v>
      </c>
      <c r="AR3" s="10" t="s">
        <v>44</v>
      </c>
      <c r="AS3" s="11" t="s">
        <v>45</v>
      </c>
      <c r="AT3" s="12" t="s">
        <v>46</v>
      </c>
      <c r="AU3" s="13" t="s">
        <v>47</v>
      </c>
      <c r="AV3" s="14" t="s">
        <v>48</v>
      </c>
      <c r="AW3" s="15" t="s">
        <v>49</v>
      </c>
      <c r="AX3" s="15" t="s">
        <v>50</v>
      </c>
      <c r="AY3" s="15" t="s">
        <v>51</v>
      </c>
      <c r="AZ3" s="15" t="s">
        <v>52</v>
      </c>
      <c r="BA3" s="15" t="s">
        <v>53</v>
      </c>
      <c r="BB3" s="16" t="s">
        <v>54</v>
      </c>
      <c r="BC3" s="13" t="s">
        <v>55</v>
      </c>
      <c r="BD3" s="14" t="s">
        <v>56</v>
      </c>
      <c r="BE3" s="17" t="s">
        <v>57</v>
      </c>
      <c r="BF3" s="18" t="s">
        <v>58</v>
      </c>
      <c r="BG3" s="78" t="s">
        <v>59</v>
      </c>
      <c r="BH3" s="19" t="s">
        <v>60</v>
      </c>
      <c r="BI3" s="19" t="s">
        <v>61</v>
      </c>
      <c r="BJ3" s="20" t="s">
        <v>62</v>
      </c>
      <c r="BK3" s="20" t="s">
        <v>63</v>
      </c>
      <c r="BL3" s="19" t="s">
        <v>64</v>
      </c>
      <c r="BM3" s="19" t="s">
        <v>65</v>
      </c>
      <c r="BN3" s="19" t="s">
        <v>66</v>
      </c>
      <c r="BO3" s="19" t="s">
        <v>67</v>
      </c>
      <c r="BP3" s="19" t="s">
        <v>68</v>
      </c>
      <c r="BQ3" s="19" t="s">
        <v>69</v>
      </c>
      <c r="BR3" s="19" t="s">
        <v>70</v>
      </c>
      <c r="BS3" s="19" t="s">
        <v>71</v>
      </c>
      <c r="BT3" s="19" t="s">
        <v>72</v>
      </c>
      <c r="BU3" s="19" t="s">
        <v>73</v>
      </c>
      <c r="BV3" s="19" t="s">
        <v>74</v>
      </c>
      <c r="BW3" s="19" t="s">
        <v>75</v>
      </c>
      <c r="BX3" s="19" t="s">
        <v>76</v>
      </c>
      <c r="BY3" s="19" t="s">
        <v>77</v>
      </c>
      <c r="BZ3" s="19" t="s">
        <v>78</v>
      </c>
      <c r="CA3" s="19" t="s">
        <v>79</v>
      </c>
      <c r="CB3" s="19" t="s">
        <v>80</v>
      </c>
      <c r="CC3" s="19" t="s">
        <v>81</v>
      </c>
      <c r="CD3" s="19" t="s">
        <v>82</v>
      </c>
      <c r="CE3" s="19" t="s">
        <v>83</v>
      </c>
      <c r="CF3" s="19" t="s">
        <v>84</v>
      </c>
      <c r="CG3" s="19" t="s">
        <v>85</v>
      </c>
      <c r="CH3" s="19" t="s">
        <v>86</v>
      </c>
      <c r="CI3" s="19" t="s">
        <v>87</v>
      </c>
      <c r="CJ3" s="19" t="s">
        <v>88</v>
      </c>
      <c r="CK3" s="19" t="s">
        <v>89</v>
      </c>
      <c r="CL3" s="19" t="s">
        <v>90</v>
      </c>
      <c r="CM3" s="19" t="s">
        <v>91</v>
      </c>
      <c r="CN3" s="21" t="s">
        <v>92</v>
      </c>
      <c r="CO3" s="21" t="s">
        <v>93</v>
      </c>
      <c r="CP3" s="22" t="s">
        <v>94</v>
      </c>
      <c r="CQ3" s="22" t="s">
        <v>95</v>
      </c>
      <c r="CR3" s="21" t="s">
        <v>96</v>
      </c>
      <c r="CS3" s="21" t="s">
        <v>97</v>
      </c>
      <c r="CT3" s="21" t="s">
        <v>98</v>
      </c>
      <c r="CU3" s="21" t="s">
        <v>99</v>
      </c>
      <c r="CV3" s="21" t="s">
        <v>100</v>
      </c>
      <c r="CW3" s="21" t="s">
        <v>101</v>
      </c>
      <c r="CX3" s="21" t="s">
        <v>102</v>
      </c>
      <c r="CY3" s="21" t="s">
        <v>103</v>
      </c>
      <c r="CZ3" s="21" t="s">
        <v>104</v>
      </c>
      <c r="DA3" s="21" t="s">
        <v>105</v>
      </c>
      <c r="DB3" s="21" t="s">
        <v>106</v>
      </c>
      <c r="DC3" s="21" t="s">
        <v>107</v>
      </c>
      <c r="DD3" s="21" t="s">
        <v>108</v>
      </c>
      <c r="DE3" s="21" t="s">
        <v>109</v>
      </c>
      <c r="DF3" s="21" t="s">
        <v>110</v>
      </c>
      <c r="DG3" s="21" t="s">
        <v>111</v>
      </c>
      <c r="DH3" s="21" t="s">
        <v>112</v>
      </c>
      <c r="DI3" s="21" t="s">
        <v>113</v>
      </c>
      <c r="DJ3" s="21" t="s">
        <v>114</v>
      </c>
      <c r="DK3" s="21" t="s">
        <v>115</v>
      </c>
      <c r="DL3" s="21" t="s">
        <v>116</v>
      </c>
      <c r="DM3" s="21" t="s">
        <v>117</v>
      </c>
      <c r="DN3" s="21" t="s">
        <v>118</v>
      </c>
      <c r="DO3" s="21" t="s">
        <v>119</v>
      </c>
      <c r="DP3" s="21" t="s">
        <v>120</v>
      </c>
      <c r="DQ3" s="21" t="s">
        <v>121</v>
      </c>
      <c r="DR3" s="21" t="s">
        <v>122</v>
      </c>
      <c r="DS3" s="21" t="s">
        <v>123</v>
      </c>
      <c r="DT3" s="21" t="s">
        <v>124</v>
      </c>
      <c r="DU3" s="21" t="s">
        <v>125</v>
      </c>
      <c r="DV3" s="21" t="s">
        <v>126</v>
      </c>
      <c r="DW3" s="21" t="s">
        <v>127</v>
      </c>
      <c r="DX3" s="21" t="s">
        <v>128</v>
      </c>
      <c r="DY3" s="21" t="s">
        <v>129</v>
      </c>
      <c r="DZ3" s="21" t="s">
        <v>130</v>
      </c>
      <c r="EA3" s="21" t="s">
        <v>131</v>
      </c>
      <c r="EB3" s="21" t="s">
        <v>132</v>
      </c>
      <c r="EC3" s="21" t="s">
        <v>133</v>
      </c>
      <c r="ED3" s="23" t="s">
        <v>134</v>
      </c>
      <c r="EE3" s="21" t="s">
        <v>135</v>
      </c>
      <c r="EF3" s="21" t="s">
        <v>136</v>
      </c>
      <c r="EG3" s="21" t="s">
        <v>137</v>
      </c>
      <c r="EH3" s="21" t="s">
        <v>138</v>
      </c>
      <c r="EI3" s="24" t="s">
        <v>139</v>
      </c>
      <c r="EJ3" s="25" t="s">
        <v>140</v>
      </c>
      <c r="EK3" s="26" t="s">
        <v>141</v>
      </c>
      <c r="EL3" s="26" t="s">
        <v>142</v>
      </c>
      <c r="EM3" s="27" t="s">
        <v>143</v>
      </c>
      <c r="EN3" s="27" t="s">
        <v>144</v>
      </c>
      <c r="EO3" s="29" t="s">
        <v>145</v>
      </c>
      <c r="EP3" s="26" t="s">
        <v>146</v>
      </c>
      <c r="EQ3" s="26" t="s">
        <v>147</v>
      </c>
      <c r="ER3" s="29" t="s">
        <v>148</v>
      </c>
      <c r="ES3" s="26" t="s">
        <v>149</v>
      </c>
      <c r="ET3" s="26" t="s">
        <v>150</v>
      </c>
      <c r="EU3" s="29" t="s">
        <v>151</v>
      </c>
      <c r="EV3" s="26" t="s">
        <v>152</v>
      </c>
      <c r="EW3" s="26" t="s">
        <v>153</v>
      </c>
      <c r="EX3" s="29" t="s">
        <v>154</v>
      </c>
      <c r="EY3" s="26" t="s">
        <v>155</v>
      </c>
      <c r="EZ3" s="26" t="s">
        <v>156</v>
      </c>
      <c r="FA3" s="29" t="s">
        <v>157</v>
      </c>
      <c r="FB3" s="26" t="s">
        <v>158</v>
      </c>
      <c r="FC3" s="26" t="s">
        <v>159</v>
      </c>
      <c r="FD3" s="29" t="s">
        <v>160</v>
      </c>
      <c r="FE3" s="26" t="s">
        <v>161</v>
      </c>
      <c r="FF3" s="26" t="s">
        <v>162</v>
      </c>
      <c r="FG3" s="29" t="s">
        <v>163</v>
      </c>
      <c r="FH3" s="26" t="s">
        <v>164</v>
      </c>
      <c r="FI3" s="26" t="s">
        <v>165</v>
      </c>
      <c r="FJ3" s="29" t="s">
        <v>166</v>
      </c>
      <c r="FK3" s="26" t="s">
        <v>167</v>
      </c>
      <c r="FL3" s="26" t="s">
        <v>168</v>
      </c>
      <c r="FM3" s="29" t="s">
        <v>169</v>
      </c>
      <c r="FN3" s="26" t="s">
        <v>170</v>
      </c>
      <c r="FO3" s="26" t="s">
        <v>171</v>
      </c>
      <c r="FP3" s="29" t="s">
        <v>172</v>
      </c>
      <c r="FQ3" s="26" t="s">
        <v>173</v>
      </c>
      <c r="FR3" s="26" t="s">
        <v>174</v>
      </c>
      <c r="FS3" s="29" t="s">
        <v>175</v>
      </c>
      <c r="FT3" s="26" t="s">
        <v>176</v>
      </c>
      <c r="FU3" s="26" t="s">
        <v>177</v>
      </c>
      <c r="FV3" s="29" t="s">
        <v>178</v>
      </c>
      <c r="FW3" s="26" t="s">
        <v>179</v>
      </c>
      <c r="FX3" s="26" t="s">
        <v>180</v>
      </c>
      <c r="FY3" s="29" t="s">
        <v>181</v>
      </c>
      <c r="FZ3" s="26" t="s">
        <v>182</v>
      </c>
      <c r="GA3" s="26" t="s">
        <v>183</v>
      </c>
      <c r="GB3" s="80" t="s">
        <v>184</v>
      </c>
      <c r="GC3" s="26" t="s">
        <v>185</v>
      </c>
      <c r="GD3" s="81" t="s">
        <v>186</v>
      </c>
      <c r="GE3" s="29" t="s">
        <v>187</v>
      </c>
      <c r="GF3" s="31" t="s">
        <v>188</v>
      </c>
      <c r="GG3" s="32" t="s">
        <v>189</v>
      </c>
      <c r="GH3" s="33" t="s">
        <v>190</v>
      </c>
      <c r="GI3" s="34" t="s">
        <v>191</v>
      </c>
      <c r="GJ3" s="32" t="s">
        <v>192</v>
      </c>
      <c r="GK3" s="32" t="s">
        <v>193</v>
      </c>
      <c r="GL3" s="36" t="s">
        <v>194</v>
      </c>
      <c r="GM3" s="37" t="s">
        <v>195</v>
      </c>
      <c r="GN3" s="37" t="s">
        <v>196</v>
      </c>
      <c r="GO3" s="63" t="s">
        <v>197</v>
      </c>
      <c r="GP3" s="63" t="s">
        <v>198</v>
      </c>
      <c r="GQ3" s="63" t="s">
        <v>199</v>
      </c>
      <c r="GR3" s="63" t="s">
        <v>200</v>
      </c>
      <c r="GS3" s="63" t="s">
        <v>201</v>
      </c>
      <c r="GT3" s="63" t="s">
        <v>202</v>
      </c>
      <c r="GU3" s="63" t="s">
        <v>203</v>
      </c>
      <c r="GV3" s="63" t="s">
        <v>204</v>
      </c>
      <c r="GW3" s="63" t="s">
        <v>205</v>
      </c>
      <c r="GX3" s="63" t="s">
        <v>206</v>
      </c>
      <c r="GY3" s="63" t="s">
        <v>207</v>
      </c>
      <c r="GZ3" s="63" t="s">
        <v>208</v>
      </c>
      <c r="HA3" s="63" t="s">
        <v>209</v>
      </c>
      <c r="HB3" s="63" t="s">
        <v>210</v>
      </c>
      <c r="HC3" s="63" t="s">
        <v>211</v>
      </c>
      <c r="HD3" s="63" t="s">
        <v>212</v>
      </c>
      <c r="HE3" s="63" t="s">
        <v>213</v>
      </c>
      <c r="HF3" s="38" t="s">
        <v>214</v>
      </c>
      <c r="HG3" s="39" t="s">
        <v>215</v>
      </c>
      <c r="HH3" s="40" t="s">
        <v>216</v>
      </c>
      <c r="HI3" s="41" t="s">
        <v>217</v>
      </c>
      <c r="HJ3" s="38" t="s">
        <v>218</v>
      </c>
      <c r="HK3" s="116" t="s">
        <v>219</v>
      </c>
    </row>
    <row r="4" spans="1:219" ht="15" customHeight="1" x14ac:dyDescent="0.3">
      <c r="A4" s="47">
        <v>4089649307</v>
      </c>
      <c r="B4" s="46" t="s">
        <v>220</v>
      </c>
      <c r="C4" s="42" t="s">
        <v>221</v>
      </c>
      <c r="D4" s="43" t="s">
        <v>222</v>
      </c>
      <c r="E4" s="55" t="s">
        <v>221</v>
      </c>
      <c r="F4" s="47" t="s">
        <v>221</v>
      </c>
      <c r="G4" s="48" t="s">
        <v>221</v>
      </c>
      <c r="H4" s="72" t="s">
        <v>221</v>
      </c>
      <c r="I4" s="48" t="s">
        <v>223</v>
      </c>
      <c r="J4" s="48" t="s">
        <v>221</v>
      </c>
      <c r="K4" s="72">
        <v>43229</v>
      </c>
      <c r="L4" s="48" t="s">
        <v>224</v>
      </c>
      <c r="M4" s="48" t="s">
        <v>225</v>
      </c>
      <c r="N4" s="48" t="s">
        <v>226</v>
      </c>
      <c r="O4" s="48" t="s">
        <v>227</v>
      </c>
      <c r="P4" s="74">
        <v>44231</v>
      </c>
      <c r="Q4" s="42" t="s">
        <v>228</v>
      </c>
      <c r="R4" s="50" t="s">
        <v>225</v>
      </c>
      <c r="S4" s="48" t="s">
        <v>229</v>
      </c>
      <c r="T4" s="48" t="s">
        <v>227</v>
      </c>
      <c r="U4" s="74">
        <v>44231</v>
      </c>
      <c r="V4" s="42" t="s">
        <v>228</v>
      </c>
      <c r="W4" s="43" t="s">
        <v>221</v>
      </c>
      <c r="X4" s="43" t="s">
        <v>221</v>
      </c>
      <c r="Y4" s="43" t="s">
        <v>221</v>
      </c>
      <c r="Z4" s="75" t="s">
        <v>221</v>
      </c>
      <c r="AA4" s="43" t="s">
        <v>221</v>
      </c>
      <c r="AB4" s="43" t="s">
        <v>221</v>
      </c>
      <c r="AC4" s="43" t="s">
        <v>221</v>
      </c>
      <c r="AD4" s="43" t="s">
        <v>221</v>
      </c>
      <c r="AE4" s="75" t="s">
        <v>221</v>
      </c>
      <c r="AF4" s="43" t="s">
        <v>221</v>
      </c>
      <c r="AG4" s="43" t="s">
        <v>221</v>
      </c>
      <c r="AH4" s="43" t="s">
        <v>221</v>
      </c>
      <c r="AI4" s="43" t="s">
        <v>221</v>
      </c>
      <c r="AJ4" s="75" t="s">
        <v>221</v>
      </c>
      <c r="AK4" s="43" t="s">
        <v>221</v>
      </c>
      <c r="AL4" s="50" t="s">
        <v>221</v>
      </c>
      <c r="AM4" s="48" t="s">
        <v>221</v>
      </c>
      <c r="AN4" s="48" t="s">
        <v>221</v>
      </c>
      <c r="AO4" s="74" t="s">
        <v>221</v>
      </c>
      <c r="AP4" s="42" t="s">
        <v>221</v>
      </c>
      <c r="AQ4" s="50" t="s">
        <v>230</v>
      </c>
      <c r="AR4" s="72">
        <v>28608</v>
      </c>
      <c r="AS4" s="74">
        <v>43216</v>
      </c>
      <c r="AT4" s="67">
        <f t="shared" ref="AT4:AT22" si="0">DATEDIF(AR4, AS4,"Y")</f>
        <v>39</v>
      </c>
      <c r="AU4" s="51" t="s">
        <v>231</v>
      </c>
      <c r="AV4" s="42" t="s">
        <v>232</v>
      </c>
      <c r="AW4" s="43" t="s">
        <v>233</v>
      </c>
      <c r="AX4" s="48" t="s">
        <v>234</v>
      </c>
      <c r="AY4" s="48" t="s">
        <v>234</v>
      </c>
      <c r="AZ4" s="48" t="s">
        <v>233</v>
      </c>
      <c r="BA4" s="48">
        <v>0</v>
      </c>
      <c r="BB4" s="48" t="s">
        <v>235</v>
      </c>
      <c r="BC4" s="49">
        <v>3</v>
      </c>
      <c r="BD4" s="45" t="s">
        <v>236</v>
      </c>
      <c r="BE4" s="51" t="s">
        <v>237</v>
      </c>
      <c r="BF4" s="42" t="s">
        <v>220</v>
      </c>
      <c r="BG4" s="79" t="s">
        <v>221</v>
      </c>
      <c r="BH4" s="79" t="s">
        <v>221</v>
      </c>
      <c r="BI4" s="79" t="s">
        <v>221</v>
      </c>
      <c r="BJ4" s="79" t="s">
        <v>221</v>
      </c>
      <c r="BK4" s="79" t="s">
        <v>221</v>
      </c>
      <c r="BL4" s="79" t="s">
        <v>221</v>
      </c>
      <c r="BM4" s="79" t="s">
        <v>221</v>
      </c>
      <c r="BN4" s="79" t="s">
        <v>221</v>
      </c>
      <c r="BO4" s="79" t="s">
        <v>221</v>
      </c>
      <c r="BP4" s="79" t="s">
        <v>221</v>
      </c>
      <c r="BQ4" s="79" t="s">
        <v>221</v>
      </c>
      <c r="BR4" s="79" t="s">
        <v>221</v>
      </c>
      <c r="BS4" s="79" t="s">
        <v>221</v>
      </c>
      <c r="BT4" s="79" t="s">
        <v>221</v>
      </c>
      <c r="BU4" s="79" t="s">
        <v>221</v>
      </c>
      <c r="BV4" s="79" t="s">
        <v>221</v>
      </c>
      <c r="BW4" s="79" t="s">
        <v>221</v>
      </c>
      <c r="BX4" s="79" t="s">
        <v>221</v>
      </c>
      <c r="BY4" s="79" t="s">
        <v>221</v>
      </c>
      <c r="BZ4" s="79" t="s">
        <v>221</v>
      </c>
      <c r="CA4" s="79" t="s">
        <v>221</v>
      </c>
      <c r="CB4" s="79" t="s">
        <v>221</v>
      </c>
      <c r="CC4" s="79" t="s">
        <v>221</v>
      </c>
      <c r="CD4" s="79" t="s">
        <v>221</v>
      </c>
      <c r="CE4" s="79" t="s">
        <v>221</v>
      </c>
      <c r="CF4" s="79" t="s">
        <v>221</v>
      </c>
      <c r="CG4" s="79" t="s">
        <v>221</v>
      </c>
      <c r="CH4" s="79" t="s">
        <v>221</v>
      </c>
      <c r="CI4" s="79" t="s">
        <v>221</v>
      </c>
      <c r="CJ4" s="79" t="s">
        <v>221</v>
      </c>
      <c r="CK4" s="79" t="s">
        <v>221</v>
      </c>
      <c r="CL4" s="79" t="s">
        <v>221</v>
      </c>
      <c r="CM4" s="79" t="s">
        <v>221</v>
      </c>
      <c r="CN4" s="44" t="s">
        <v>238</v>
      </c>
      <c r="CO4" s="48" t="s">
        <v>239</v>
      </c>
      <c r="CP4" s="72">
        <v>43270</v>
      </c>
      <c r="CQ4" s="72" t="s">
        <v>233</v>
      </c>
      <c r="CR4" s="48" t="s">
        <v>221</v>
      </c>
      <c r="CS4" s="44" t="s">
        <v>238</v>
      </c>
      <c r="CT4" s="48" t="s">
        <v>240</v>
      </c>
      <c r="CU4" s="48" t="s">
        <v>221</v>
      </c>
      <c r="CV4" s="44" t="s">
        <v>241</v>
      </c>
      <c r="CW4" s="48" t="s">
        <v>242</v>
      </c>
      <c r="CX4" s="48" t="s">
        <v>221</v>
      </c>
      <c r="CY4" s="44" t="s">
        <v>243</v>
      </c>
      <c r="CZ4" s="48" t="s">
        <v>244</v>
      </c>
      <c r="DA4" s="48" t="s">
        <v>221</v>
      </c>
      <c r="DB4" s="44" t="s">
        <v>245</v>
      </c>
      <c r="DC4" s="48" t="s">
        <v>246</v>
      </c>
      <c r="DD4" s="48" t="s">
        <v>221</v>
      </c>
      <c r="DE4" s="48" t="s">
        <v>221</v>
      </c>
      <c r="DF4" s="48" t="s">
        <v>221</v>
      </c>
      <c r="DG4" s="48" t="s">
        <v>221</v>
      </c>
      <c r="DH4" s="48" t="s">
        <v>221</v>
      </c>
      <c r="DI4" s="48" t="s">
        <v>221</v>
      </c>
      <c r="DJ4" s="48" t="s">
        <v>221</v>
      </c>
      <c r="DK4" s="48" t="s">
        <v>221</v>
      </c>
      <c r="DL4" s="48" t="s">
        <v>221</v>
      </c>
      <c r="DM4" s="48" t="s">
        <v>221</v>
      </c>
      <c r="DN4" s="48" t="s">
        <v>221</v>
      </c>
      <c r="DO4" s="48" t="s">
        <v>221</v>
      </c>
      <c r="DP4" s="48" t="s">
        <v>221</v>
      </c>
      <c r="DQ4" s="48" t="s">
        <v>221</v>
      </c>
      <c r="DR4" s="48" t="s">
        <v>221</v>
      </c>
      <c r="DS4" s="48" t="s">
        <v>221</v>
      </c>
      <c r="DT4" s="48" t="s">
        <v>221</v>
      </c>
      <c r="DU4" s="48" t="s">
        <v>221</v>
      </c>
      <c r="DV4" s="48" t="s">
        <v>221</v>
      </c>
      <c r="DW4" s="48" t="s">
        <v>221</v>
      </c>
      <c r="DX4" s="48" t="s">
        <v>221</v>
      </c>
      <c r="DY4" s="48" t="s">
        <v>221</v>
      </c>
      <c r="DZ4" s="48" t="s">
        <v>221</v>
      </c>
      <c r="EA4" s="48" t="s">
        <v>221</v>
      </c>
      <c r="EB4" s="48" t="s">
        <v>221</v>
      </c>
      <c r="EC4" s="48" t="s">
        <v>221</v>
      </c>
      <c r="ED4" s="48" t="s">
        <v>221</v>
      </c>
      <c r="EE4" s="48" t="s">
        <v>221</v>
      </c>
      <c r="EF4" s="48" t="s">
        <v>221</v>
      </c>
      <c r="EG4" s="48" t="s">
        <v>221</v>
      </c>
      <c r="EH4" s="48" t="s">
        <v>221</v>
      </c>
      <c r="EI4" s="72">
        <v>44179</v>
      </c>
      <c r="EJ4" s="48" t="s">
        <v>247</v>
      </c>
      <c r="EK4" s="44" t="s">
        <v>243</v>
      </c>
      <c r="EL4" s="48" t="s">
        <v>248</v>
      </c>
      <c r="EM4" s="72">
        <v>44211</v>
      </c>
      <c r="EN4" s="71">
        <v>44818</v>
      </c>
      <c r="EO4" s="48" t="s">
        <v>233</v>
      </c>
      <c r="EP4" s="44" t="s">
        <v>245</v>
      </c>
      <c r="EQ4" s="48" t="s">
        <v>249</v>
      </c>
      <c r="ER4" s="48" t="s">
        <v>250</v>
      </c>
      <c r="ES4" s="44" t="s">
        <v>241</v>
      </c>
      <c r="ET4" s="48" t="s">
        <v>251</v>
      </c>
      <c r="EU4" s="48" t="s">
        <v>250</v>
      </c>
      <c r="EV4" s="44" t="s">
        <v>241</v>
      </c>
      <c r="EW4" s="48" t="s">
        <v>252</v>
      </c>
      <c r="EX4" s="48" t="s">
        <v>233</v>
      </c>
      <c r="EY4" s="44" t="s">
        <v>243</v>
      </c>
      <c r="EZ4" s="48" t="s">
        <v>253</v>
      </c>
      <c r="FA4" s="48" t="s">
        <v>233</v>
      </c>
      <c r="FB4" s="44" t="s">
        <v>245</v>
      </c>
      <c r="FC4" s="48" t="s">
        <v>254</v>
      </c>
      <c r="FD4" s="48" t="s">
        <v>255</v>
      </c>
      <c r="FE4" s="44" t="s">
        <v>238</v>
      </c>
      <c r="FF4" s="48" t="s">
        <v>256</v>
      </c>
      <c r="FG4" s="48" t="s">
        <v>255</v>
      </c>
      <c r="FH4" s="44" t="s">
        <v>238</v>
      </c>
      <c r="FI4" s="48" t="s">
        <v>257</v>
      </c>
      <c r="FJ4" s="48" t="s">
        <v>255</v>
      </c>
      <c r="FK4" s="44" t="s">
        <v>241</v>
      </c>
      <c r="FL4" s="48" t="s">
        <v>258</v>
      </c>
      <c r="FM4" s="48" t="s">
        <v>233</v>
      </c>
      <c r="FN4" s="44" t="s">
        <v>221</v>
      </c>
      <c r="FO4" s="44" t="s">
        <v>221</v>
      </c>
      <c r="FP4" s="44" t="s">
        <v>221</v>
      </c>
      <c r="FQ4" s="44" t="s">
        <v>221</v>
      </c>
      <c r="FR4" s="44" t="s">
        <v>221</v>
      </c>
      <c r="FS4" s="44" t="s">
        <v>221</v>
      </c>
      <c r="FT4" s="44" t="s">
        <v>221</v>
      </c>
      <c r="FU4" s="44" t="s">
        <v>221</v>
      </c>
      <c r="FV4" s="44" t="s">
        <v>221</v>
      </c>
      <c r="FW4" s="44" t="s">
        <v>221</v>
      </c>
      <c r="FX4" s="44" t="s">
        <v>221</v>
      </c>
      <c r="FY4" s="44" t="s">
        <v>221</v>
      </c>
      <c r="FZ4" s="44" t="s">
        <v>221</v>
      </c>
      <c r="GA4" s="44" t="s">
        <v>221</v>
      </c>
      <c r="GB4" s="44" t="s">
        <v>221</v>
      </c>
      <c r="GC4" s="44" t="s">
        <v>221</v>
      </c>
      <c r="GD4" s="44" t="s">
        <v>221</v>
      </c>
      <c r="GE4" s="44" t="s">
        <v>221</v>
      </c>
      <c r="GF4" s="45" t="s">
        <v>259</v>
      </c>
      <c r="GG4" s="76">
        <v>45127</v>
      </c>
      <c r="GH4" s="42" t="s">
        <v>222</v>
      </c>
      <c r="GI4" s="50" t="s">
        <v>233</v>
      </c>
      <c r="GJ4" s="72">
        <v>45111</v>
      </c>
      <c r="GK4" s="72" t="s">
        <v>221</v>
      </c>
      <c r="GL4" s="72" t="s">
        <v>260</v>
      </c>
      <c r="GM4" s="84" t="str">
        <f t="shared" ref="GM4:GM22" si="1">IFERROR(INT(BJ4 - $AS4)/30,"N/A")</f>
        <v>N/A</v>
      </c>
      <c r="GN4" s="84" t="str">
        <f t="shared" ref="GN4:GN22" si="2">IFERROR(INT(BK4 - $AS4)/30,"N/A")</f>
        <v>N/A</v>
      </c>
      <c r="GO4" s="84" t="str">
        <f t="shared" ref="GO4:GO22" si="3">IFERROR(INT(H4 - $AS4)/30,"N/A")</f>
        <v>N/A</v>
      </c>
      <c r="GP4" s="84">
        <f t="shared" ref="GP4:GP22" si="4">IFERROR(INT(K4 - $AS4)/30,"N/A")</f>
        <v>0.43333333333333335</v>
      </c>
      <c r="GQ4" s="84">
        <f t="shared" ref="GQ4:GQ22" si="5">IFERROR(INT(P4 - $AS4)/30,"N/A")</f>
        <v>33.833333333333336</v>
      </c>
      <c r="GR4" s="84">
        <f t="shared" ref="GR4:GR22" si="6">IFERROR(INT(U4 - $AS4)/30,"N/A")</f>
        <v>33.833333333333336</v>
      </c>
      <c r="GS4" s="84" t="str">
        <f t="shared" ref="GS4:GS22" si="7">IFERROR(INT(Z4 - $AS4)/30,"N/A")</f>
        <v>N/A</v>
      </c>
      <c r="GT4" s="84" t="str">
        <f t="shared" ref="GT4:GT22" si="8">IFERROR(INT(AE4 - $AS4)/30,"N/A")</f>
        <v>N/A</v>
      </c>
      <c r="GU4" s="84" t="str">
        <f t="shared" ref="GU4:GU22" si="9">IFERROR(INT(AJ4 - $AS4)/30,"N/A")</f>
        <v>N/A</v>
      </c>
      <c r="GV4" s="84" t="str">
        <f t="shared" ref="GV4:GV22" si="10">IFERROR(INT(AO4 - $AS4)/30,"N/A")</f>
        <v>N/A</v>
      </c>
      <c r="GW4" s="84">
        <f t="shared" ref="GW4:GW22" si="11">IFERROR(INT(CP4 - $AS4)/30,"N/A")</f>
        <v>1.8</v>
      </c>
      <c r="GX4" s="84" t="str">
        <f t="shared" ref="GX4:GX22" si="12">IFERROR(INT(CQ4 - $AS4)/30,"N/A")</f>
        <v>N/A</v>
      </c>
      <c r="GY4" s="84">
        <f t="shared" ref="GY4:GY22" si="13">IFERROR(INT(EI4 - $AS4)/30,"N/A")</f>
        <v>32.1</v>
      </c>
      <c r="GZ4" s="84">
        <f t="shared" ref="GZ4:GZ22" si="14">IFERROR(INT(EM4 - $AS4)/30,"N/A")</f>
        <v>33.166666666666664</v>
      </c>
      <c r="HA4" s="84">
        <f t="shared" ref="HA4:HA22" si="15">IFERROR(INT(EN4 - $AS4)/30,"N/A")</f>
        <v>53.4</v>
      </c>
      <c r="HB4" s="84">
        <f t="shared" ref="HB4:HB22" si="16">$GY4</f>
        <v>32.1</v>
      </c>
      <c r="HC4" s="84">
        <f t="shared" ref="HC4:HC22" si="17">IFERROR(INT(GG4 - $AS4)/30,"N/A")</f>
        <v>63.7</v>
      </c>
      <c r="HD4" s="84">
        <f t="shared" ref="HD4:HD22" si="18">IFERROR(INT(GJ4 - $AS4)/30,"N/A")</f>
        <v>63.166666666666664</v>
      </c>
      <c r="HE4" s="84" t="str">
        <f t="shared" ref="HE4:HE22" si="19">IFERROR(INT(GK4 - $AS4)/30,"N/A")</f>
        <v>N/A</v>
      </c>
      <c r="HF4" s="85">
        <f t="shared" ref="HF4:HF22" si="20">SUM($HC4,$HE4)</f>
        <v>63.7</v>
      </c>
      <c r="HG4" s="85" cm="1">
        <f t="array" ref="HG4">INDEX($HB4:$HD4,MATCH(TRUE,INDEX(ISNUMBER($HB4:$HD4),0),0))</f>
        <v>32.1</v>
      </c>
      <c r="HH4" s="82">
        <f t="shared" ref="HH4:HH22" si="21">IF($HB4="N/A",0,1)</f>
        <v>1</v>
      </c>
      <c r="HI4" s="82">
        <f t="shared" ref="HI4:HI22" si="22">IF($GH4="Yes",1,0)</f>
        <v>1</v>
      </c>
      <c r="HJ4" s="82">
        <f t="shared" ref="HJ4:HJ22" si="23">IF($HC4="N/A",0,1)</f>
        <v>1</v>
      </c>
      <c r="HK4" s="117" t="str">
        <f t="shared" ref="HK4:HK22" si="24">IF(OR($HH4=1,$HI4=1),"1","0")</f>
        <v>1</v>
      </c>
    </row>
    <row r="5" spans="1:219" ht="15" customHeight="1" x14ac:dyDescent="0.3">
      <c r="A5" s="48">
        <v>6301697812</v>
      </c>
      <c r="B5" s="46" t="s">
        <v>220</v>
      </c>
      <c r="C5" s="42" t="s">
        <v>221</v>
      </c>
      <c r="D5" s="43" t="s">
        <v>222</v>
      </c>
      <c r="E5" s="48" t="s">
        <v>221</v>
      </c>
      <c r="F5" s="48" t="s">
        <v>221</v>
      </c>
      <c r="G5" s="48" t="s">
        <v>221</v>
      </c>
      <c r="H5" s="72" t="s">
        <v>221</v>
      </c>
      <c r="I5" s="48" t="s">
        <v>261</v>
      </c>
      <c r="J5" s="48" t="s">
        <v>221</v>
      </c>
      <c r="K5" s="72">
        <v>41930</v>
      </c>
      <c r="L5" s="48" t="s">
        <v>262</v>
      </c>
      <c r="M5" s="48" t="s">
        <v>263</v>
      </c>
      <c r="N5" s="48" t="s">
        <v>264</v>
      </c>
      <c r="O5" s="48" t="s">
        <v>265</v>
      </c>
      <c r="P5" s="74">
        <v>44371</v>
      </c>
      <c r="Q5" s="42" t="s">
        <v>228</v>
      </c>
      <c r="R5" s="50" t="s">
        <v>263</v>
      </c>
      <c r="S5" s="48" t="s">
        <v>266</v>
      </c>
      <c r="T5" s="48" t="s">
        <v>265</v>
      </c>
      <c r="U5" s="74">
        <v>44371</v>
      </c>
      <c r="V5" s="42" t="s">
        <v>228</v>
      </c>
      <c r="W5" s="43" t="s">
        <v>221</v>
      </c>
      <c r="X5" s="43" t="s">
        <v>221</v>
      </c>
      <c r="Y5" s="43" t="s">
        <v>221</v>
      </c>
      <c r="Z5" s="75" t="s">
        <v>221</v>
      </c>
      <c r="AA5" s="43" t="s">
        <v>221</v>
      </c>
      <c r="AB5" s="43" t="s">
        <v>221</v>
      </c>
      <c r="AC5" s="43" t="s">
        <v>221</v>
      </c>
      <c r="AD5" s="43" t="s">
        <v>221</v>
      </c>
      <c r="AE5" s="75" t="s">
        <v>221</v>
      </c>
      <c r="AF5" s="43" t="s">
        <v>221</v>
      </c>
      <c r="AG5" s="43" t="s">
        <v>221</v>
      </c>
      <c r="AH5" s="43" t="s">
        <v>221</v>
      </c>
      <c r="AI5" s="43" t="s">
        <v>221</v>
      </c>
      <c r="AJ5" s="75" t="s">
        <v>221</v>
      </c>
      <c r="AK5" s="43" t="s">
        <v>221</v>
      </c>
      <c r="AL5" s="50" t="s">
        <v>221</v>
      </c>
      <c r="AM5" s="48" t="s">
        <v>221</v>
      </c>
      <c r="AN5" s="48" t="s">
        <v>221</v>
      </c>
      <c r="AO5" s="74" t="s">
        <v>221</v>
      </c>
      <c r="AP5" s="42" t="s">
        <v>221</v>
      </c>
      <c r="AQ5" s="50" t="s">
        <v>230</v>
      </c>
      <c r="AR5" s="72">
        <v>32256</v>
      </c>
      <c r="AS5" s="72">
        <v>41930</v>
      </c>
      <c r="AT5" s="67">
        <f t="shared" si="0"/>
        <v>26</v>
      </c>
      <c r="AU5" s="51" t="s">
        <v>267</v>
      </c>
      <c r="AV5" s="42" t="s">
        <v>232</v>
      </c>
      <c r="AW5" s="43" t="s">
        <v>221</v>
      </c>
      <c r="AX5" s="48" t="s">
        <v>221</v>
      </c>
      <c r="AY5" s="48" t="s">
        <v>221</v>
      </c>
      <c r="AZ5" s="48" t="s">
        <v>221</v>
      </c>
      <c r="BA5" s="48">
        <v>0</v>
      </c>
      <c r="BB5" s="48" t="s">
        <v>268</v>
      </c>
      <c r="BC5" s="49">
        <v>3</v>
      </c>
      <c r="BD5" s="45" t="s">
        <v>221</v>
      </c>
      <c r="BE5" s="51" t="s">
        <v>269</v>
      </c>
      <c r="BF5" s="42" t="s">
        <v>221</v>
      </c>
      <c r="BG5" s="42" t="s">
        <v>221</v>
      </c>
      <c r="BH5" s="42" t="s">
        <v>221</v>
      </c>
      <c r="BI5" s="42" t="s">
        <v>221</v>
      </c>
      <c r="BJ5" s="42" t="s">
        <v>221</v>
      </c>
      <c r="BK5" s="42" t="s">
        <v>221</v>
      </c>
      <c r="BL5" s="42" t="s">
        <v>221</v>
      </c>
      <c r="BM5" s="42" t="s">
        <v>221</v>
      </c>
      <c r="BN5" s="42" t="s">
        <v>221</v>
      </c>
      <c r="BO5" s="42" t="s">
        <v>221</v>
      </c>
      <c r="BP5" s="42" t="s">
        <v>221</v>
      </c>
      <c r="BQ5" s="42" t="s">
        <v>221</v>
      </c>
      <c r="BR5" s="42" t="s">
        <v>221</v>
      </c>
      <c r="BS5" s="42" t="s">
        <v>221</v>
      </c>
      <c r="BT5" s="42" t="s">
        <v>221</v>
      </c>
      <c r="BU5" s="42" t="s">
        <v>221</v>
      </c>
      <c r="BV5" s="42" t="s">
        <v>221</v>
      </c>
      <c r="BW5" s="42" t="s">
        <v>221</v>
      </c>
      <c r="BX5" s="42" t="s">
        <v>221</v>
      </c>
      <c r="BY5" s="42" t="s">
        <v>221</v>
      </c>
      <c r="BZ5" s="42" t="s">
        <v>221</v>
      </c>
      <c r="CA5" s="42" t="s">
        <v>221</v>
      </c>
      <c r="CB5" s="42" t="s">
        <v>221</v>
      </c>
      <c r="CC5" s="42" t="s">
        <v>221</v>
      </c>
      <c r="CD5" s="42" t="s">
        <v>221</v>
      </c>
      <c r="CE5" s="42" t="s">
        <v>221</v>
      </c>
      <c r="CF5" s="42" t="s">
        <v>221</v>
      </c>
      <c r="CG5" s="42" t="s">
        <v>221</v>
      </c>
      <c r="CH5" s="42" t="s">
        <v>221</v>
      </c>
      <c r="CI5" s="42" t="s">
        <v>221</v>
      </c>
      <c r="CJ5" s="42" t="s">
        <v>221</v>
      </c>
      <c r="CK5" s="42" t="s">
        <v>221</v>
      </c>
      <c r="CL5" s="42" t="s">
        <v>221</v>
      </c>
      <c r="CM5" s="42" t="s">
        <v>221</v>
      </c>
      <c r="CN5" s="44" t="s">
        <v>238</v>
      </c>
      <c r="CO5" s="48" t="s">
        <v>270</v>
      </c>
      <c r="CP5" s="72">
        <v>41954</v>
      </c>
      <c r="CQ5" s="72">
        <v>42016</v>
      </c>
      <c r="CR5" s="48" t="s">
        <v>221</v>
      </c>
      <c r="CS5" s="44" t="s">
        <v>241</v>
      </c>
      <c r="CT5" s="48" t="s">
        <v>271</v>
      </c>
      <c r="CU5" s="48" t="s">
        <v>221</v>
      </c>
      <c r="CV5" s="44" t="s">
        <v>241</v>
      </c>
      <c r="CW5" s="48" t="s">
        <v>272</v>
      </c>
      <c r="CX5" s="48" t="s">
        <v>221</v>
      </c>
      <c r="CY5" s="44" t="s">
        <v>221</v>
      </c>
      <c r="CZ5" s="44" t="s">
        <v>221</v>
      </c>
      <c r="DA5" s="44" t="s">
        <v>221</v>
      </c>
      <c r="DB5" s="44" t="s">
        <v>221</v>
      </c>
      <c r="DC5" s="44" t="s">
        <v>221</v>
      </c>
      <c r="DD5" s="44" t="s">
        <v>221</v>
      </c>
      <c r="DE5" s="44" t="s">
        <v>221</v>
      </c>
      <c r="DF5" s="44" t="s">
        <v>221</v>
      </c>
      <c r="DG5" s="44" t="s">
        <v>221</v>
      </c>
      <c r="DH5" s="44" t="s">
        <v>221</v>
      </c>
      <c r="DI5" s="44" t="s">
        <v>221</v>
      </c>
      <c r="DJ5" s="44" t="s">
        <v>221</v>
      </c>
      <c r="DK5" s="44" t="s">
        <v>221</v>
      </c>
      <c r="DL5" s="44" t="s">
        <v>221</v>
      </c>
      <c r="DM5" s="44" t="s">
        <v>221</v>
      </c>
      <c r="DN5" s="44" t="s">
        <v>221</v>
      </c>
      <c r="DO5" s="44" t="s">
        <v>221</v>
      </c>
      <c r="DP5" s="44" t="s">
        <v>221</v>
      </c>
      <c r="DQ5" s="44" t="s">
        <v>221</v>
      </c>
      <c r="DR5" s="44" t="s">
        <v>221</v>
      </c>
      <c r="DS5" s="44" t="s">
        <v>221</v>
      </c>
      <c r="DT5" s="44" t="s">
        <v>221</v>
      </c>
      <c r="DU5" s="44" t="s">
        <v>221</v>
      </c>
      <c r="DV5" s="44" t="s">
        <v>221</v>
      </c>
      <c r="DW5" s="44" t="s">
        <v>221</v>
      </c>
      <c r="DX5" s="44" t="s">
        <v>221</v>
      </c>
      <c r="DY5" s="44" t="s">
        <v>221</v>
      </c>
      <c r="DZ5" s="44" t="s">
        <v>221</v>
      </c>
      <c r="EA5" s="44" t="s">
        <v>221</v>
      </c>
      <c r="EB5" s="44" t="s">
        <v>221</v>
      </c>
      <c r="EC5" s="44" t="s">
        <v>221</v>
      </c>
      <c r="ED5" s="44" t="s">
        <v>221</v>
      </c>
      <c r="EE5" s="44" t="s">
        <v>221</v>
      </c>
      <c r="EF5" s="44" t="s">
        <v>221</v>
      </c>
      <c r="EG5" s="44" t="s">
        <v>221</v>
      </c>
      <c r="EH5" s="44" t="s">
        <v>221</v>
      </c>
      <c r="EI5" s="72">
        <v>44326</v>
      </c>
      <c r="EJ5" s="48" t="s">
        <v>273</v>
      </c>
      <c r="EK5" s="44" t="s">
        <v>238</v>
      </c>
      <c r="EL5" s="48" t="s">
        <v>274</v>
      </c>
      <c r="EM5" s="72">
        <v>44410</v>
      </c>
      <c r="EN5" s="72">
        <v>44518</v>
      </c>
      <c r="EO5" s="48" t="s">
        <v>275</v>
      </c>
      <c r="EP5" s="44" t="s">
        <v>241</v>
      </c>
      <c r="EQ5" s="48" t="s">
        <v>276</v>
      </c>
      <c r="ER5" s="48" t="s">
        <v>275</v>
      </c>
      <c r="ES5" s="44" t="s">
        <v>241</v>
      </c>
      <c r="ET5" s="48" t="s">
        <v>277</v>
      </c>
      <c r="EU5" s="48" t="s">
        <v>278</v>
      </c>
      <c r="EV5" s="44" t="s">
        <v>241</v>
      </c>
      <c r="EW5" s="48" t="s">
        <v>279</v>
      </c>
      <c r="EX5" s="48" t="s">
        <v>233</v>
      </c>
      <c r="EY5" s="44" t="s">
        <v>241</v>
      </c>
      <c r="EZ5" s="48" t="s">
        <v>280</v>
      </c>
      <c r="FA5" s="48" t="s">
        <v>233</v>
      </c>
      <c r="FB5" s="44" t="s">
        <v>221</v>
      </c>
      <c r="FC5" s="44" t="s">
        <v>221</v>
      </c>
      <c r="FD5" s="44" t="s">
        <v>221</v>
      </c>
      <c r="FE5" s="44" t="s">
        <v>221</v>
      </c>
      <c r="FF5" s="44" t="s">
        <v>221</v>
      </c>
      <c r="FG5" s="44" t="s">
        <v>221</v>
      </c>
      <c r="FH5" s="44" t="s">
        <v>221</v>
      </c>
      <c r="FI5" s="44" t="s">
        <v>221</v>
      </c>
      <c r="FJ5" s="44" t="s">
        <v>221</v>
      </c>
      <c r="FK5" s="44" t="s">
        <v>221</v>
      </c>
      <c r="FL5" s="44" t="s">
        <v>221</v>
      </c>
      <c r="FM5" s="44" t="s">
        <v>221</v>
      </c>
      <c r="FN5" s="44" t="s">
        <v>221</v>
      </c>
      <c r="FO5" s="44" t="s">
        <v>221</v>
      </c>
      <c r="FP5" s="44" t="s">
        <v>221</v>
      </c>
      <c r="FQ5" s="44" t="s">
        <v>221</v>
      </c>
      <c r="FR5" s="44" t="s">
        <v>221</v>
      </c>
      <c r="FS5" s="44" t="s">
        <v>221</v>
      </c>
      <c r="FT5" s="44" t="s">
        <v>221</v>
      </c>
      <c r="FU5" s="44" t="s">
        <v>221</v>
      </c>
      <c r="FV5" s="44" t="s">
        <v>221</v>
      </c>
      <c r="FW5" s="44" t="s">
        <v>221</v>
      </c>
      <c r="FX5" s="44" t="s">
        <v>221</v>
      </c>
      <c r="FY5" s="44" t="s">
        <v>221</v>
      </c>
      <c r="FZ5" s="44" t="s">
        <v>221</v>
      </c>
      <c r="GA5" s="44" t="s">
        <v>221</v>
      </c>
      <c r="GB5" s="44" t="s">
        <v>221</v>
      </c>
      <c r="GC5" s="44" t="s">
        <v>221</v>
      </c>
      <c r="GD5" s="44" t="s">
        <v>221</v>
      </c>
      <c r="GE5" s="44" t="s">
        <v>221</v>
      </c>
      <c r="GF5" s="45" t="s">
        <v>259</v>
      </c>
      <c r="GG5" s="76">
        <v>44957</v>
      </c>
      <c r="GH5" s="42" t="s">
        <v>222</v>
      </c>
      <c r="GI5" s="50" t="s">
        <v>233</v>
      </c>
      <c r="GJ5" s="72">
        <v>44942</v>
      </c>
      <c r="GK5" s="72" t="s">
        <v>221</v>
      </c>
      <c r="GL5" s="72" t="s">
        <v>221</v>
      </c>
      <c r="GM5" s="84" t="str">
        <f t="shared" si="1"/>
        <v>N/A</v>
      </c>
      <c r="GN5" s="84" t="str">
        <f t="shared" si="2"/>
        <v>N/A</v>
      </c>
      <c r="GO5" s="84" t="str">
        <f t="shared" si="3"/>
        <v>N/A</v>
      </c>
      <c r="GP5" s="84">
        <f t="shared" si="4"/>
        <v>0</v>
      </c>
      <c r="GQ5" s="84">
        <f t="shared" si="5"/>
        <v>81.36666666666666</v>
      </c>
      <c r="GR5" s="84">
        <f t="shared" si="6"/>
        <v>81.36666666666666</v>
      </c>
      <c r="GS5" s="84" t="str">
        <f t="shared" si="7"/>
        <v>N/A</v>
      </c>
      <c r="GT5" s="84" t="str">
        <f t="shared" si="8"/>
        <v>N/A</v>
      </c>
      <c r="GU5" s="84" t="str">
        <f t="shared" si="9"/>
        <v>N/A</v>
      </c>
      <c r="GV5" s="84" t="str">
        <f t="shared" si="10"/>
        <v>N/A</v>
      </c>
      <c r="GW5" s="84">
        <f t="shared" si="11"/>
        <v>0.8</v>
      </c>
      <c r="GX5" s="84">
        <f t="shared" si="12"/>
        <v>2.8666666666666667</v>
      </c>
      <c r="GY5" s="84">
        <f t="shared" si="13"/>
        <v>79.86666666666666</v>
      </c>
      <c r="GZ5" s="84">
        <f t="shared" si="14"/>
        <v>82.666666666666671</v>
      </c>
      <c r="HA5" s="84">
        <f t="shared" si="15"/>
        <v>86.266666666666666</v>
      </c>
      <c r="HB5" s="84">
        <f t="shared" si="16"/>
        <v>79.86666666666666</v>
      </c>
      <c r="HC5" s="84">
        <f t="shared" si="17"/>
        <v>100.9</v>
      </c>
      <c r="HD5" s="84">
        <f t="shared" si="18"/>
        <v>100.4</v>
      </c>
      <c r="HE5" s="84" t="str">
        <f t="shared" si="19"/>
        <v>N/A</v>
      </c>
      <c r="HF5" s="85">
        <f t="shared" si="20"/>
        <v>100.9</v>
      </c>
      <c r="HG5" s="85" cm="1">
        <f t="array" ref="HG5">INDEX($HB5:$HD5,MATCH(TRUE,INDEX(ISNUMBER($HB5:$HD5),0),0))</f>
        <v>79.86666666666666</v>
      </c>
      <c r="HH5" s="82">
        <f t="shared" si="21"/>
        <v>1</v>
      </c>
      <c r="HI5" s="82">
        <f t="shared" si="22"/>
        <v>1</v>
      </c>
      <c r="HJ5" s="82">
        <f t="shared" si="23"/>
        <v>1</v>
      </c>
      <c r="HK5" s="117" t="str">
        <f t="shared" si="24"/>
        <v>1</v>
      </c>
    </row>
    <row r="6" spans="1:219" ht="15" customHeight="1" x14ac:dyDescent="0.3">
      <c r="A6" s="48">
        <v>4382291100</v>
      </c>
      <c r="B6" s="46" t="s">
        <v>220</v>
      </c>
      <c r="C6" s="42" t="s">
        <v>221</v>
      </c>
      <c r="D6" s="43" t="s">
        <v>220</v>
      </c>
      <c r="E6" s="48" t="s">
        <v>221</v>
      </c>
      <c r="F6" s="48" t="s">
        <v>221</v>
      </c>
      <c r="G6" s="48" t="s">
        <v>221</v>
      </c>
      <c r="H6" s="72" t="s">
        <v>221</v>
      </c>
      <c r="I6" s="48" t="s">
        <v>281</v>
      </c>
      <c r="J6" s="48" t="s">
        <v>221</v>
      </c>
      <c r="K6" s="72" t="s">
        <v>221</v>
      </c>
      <c r="L6" s="48" t="s">
        <v>282</v>
      </c>
      <c r="M6" s="48" t="s">
        <v>283</v>
      </c>
      <c r="N6" s="48" t="s">
        <v>284</v>
      </c>
      <c r="O6" s="48" t="s">
        <v>285</v>
      </c>
      <c r="P6" s="72">
        <v>44403</v>
      </c>
      <c r="Q6" s="42" t="s">
        <v>286</v>
      </c>
      <c r="R6" s="50" t="s">
        <v>283</v>
      </c>
      <c r="S6" s="48" t="s">
        <v>287</v>
      </c>
      <c r="T6" s="48" t="s">
        <v>285</v>
      </c>
      <c r="U6" s="72">
        <v>44403</v>
      </c>
      <c r="V6" s="42" t="s">
        <v>286</v>
      </c>
      <c r="W6" s="43" t="s">
        <v>221</v>
      </c>
      <c r="X6" s="43" t="s">
        <v>221</v>
      </c>
      <c r="Y6" s="43" t="s">
        <v>221</v>
      </c>
      <c r="Z6" s="75" t="s">
        <v>221</v>
      </c>
      <c r="AA6" s="43" t="s">
        <v>221</v>
      </c>
      <c r="AB6" s="43" t="s">
        <v>221</v>
      </c>
      <c r="AC6" s="43" t="s">
        <v>221</v>
      </c>
      <c r="AD6" s="43" t="s">
        <v>221</v>
      </c>
      <c r="AE6" s="75" t="s">
        <v>221</v>
      </c>
      <c r="AF6" s="43" t="s">
        <v>221</v>
      </c>
      <c r="AG6" s="43" t="s">
        <v>221</v>
      </c>
      <c r="AH6" s="43" t="s">
        <v>221</v>
      </c>
      <c r="AI6" s="43" t="s">
        <v>221</v>
      </c>
      <c r="AJ6" s="75" t="s">
        <v>221</v>
      </c>
      <c r="AK6" s="43" t="s">
        <v>221</v>
      </c>
      <c r="AL6" s="50" t="s">
        <v>221</v>
      </c>
      <c r="AM6" s="48" t="s">
        <v>221</v>
      </c>
      <c r="AN6" s="48" t="s">
        <v>221</v>
      </c>
      <c r="AO6" s="74" t="s">
        <v>221</v>
      </c>
      <c r="AP6" s="42" t="s">
        <v>221</v>
      </c>
      <c r="AQ6" s="50" t="s">
        <v>288</v>
      </c>
      <c r="AR6" s="72">
        <v>16429</v>
      </c>
      <c r="AS6" s="72">
        <v>44403</v>
      </c>
      <c r="AT6" s="67">
        <f t="shared" si="0"/>
        <v>76</v>
      </c>
      <c r="AU6" s="51" t="s">
        <v>289</v>
      </c>
      <c r="AV6" s="42" t="s">
        <v>290</v>
      </c>
      <c r="AW6" s="43" t="s">
        <v>221</v>
      </c>
      <c r="AX6" s="48" t="s">
        <v>221</v>
      </c>
      <c r="AY6" s="48" t="s">
        <v>221</v>
      </c>
      <c r="AZ6" s="48" t="s">
        <v>291</v>
      </c>
      <c r="BA6" s="48" t="s">
        <v>292</v>
      </c>
      <c r="BB6" s="48" t="s">
        <v>293</v>
      </c>
      <c r="BC6" s="49" t="s">
        <v>233</v>
      </c>
      <c r="BD6" s="45" t="s">
        <v>236</v>
      </c>
      <c r="BE6" s="51" t="s">
        <v>294</v>
      </c>
      <c r="BF6" s="42" t="s">
        <v>222</v>
      </c>
      <c r="BG6" s="79" t="s">
        <v>221</v>
      </c>
      <c r="BH6" s="44" t="s">
        <v>243</v>
      </c>
      <c r="BI6" s="48" t="s">
        <v>295</v>
      </c>
      <c r="BJ6" s="72">
        <v>44440</v>
      </c>
      <c r="BK6" s="72">
        <v>45405</v>
      </c>
      <c r="BL6" s="48" t="s">
        <v>296</v>
      </c>
      <c r="BM6" s="44" t="s">
        <v>243</v>
      </c>
      <c r="BN6" s="48" t="s">
        <v>297</v>
      </c>
      <c r="BO6" s="48" t="s">
        <v>298</v>
      </c>
      <c r="BP6" s="44" t="s">
        <v>221</v>
      </c>
      <c r="BQ6" s="44" t="s">
        <v>221</v>
      </c>
      <c r="BR6" s="44" t="s">
        <v>221</v>
      </c>
      <c r="BS6" s="44" t="s">
        <v>221</v>
      </c>
      <c r="BT6" s="44" t="s">
        <v>221</v>
      </c>
      <c r="BU6" s="44" t="s">
        <v>221</v>
      </c>
      <c r="BV6" s="44" t="s">
        <v>221</v>
      </c>
      <c r="BW6" s="44" t="s">
        <v>221</v>
      </c>
      <c r="BX6" s="44" t="s">
        <v>221</v>
      </c>
      <c r="BY6" s="44" t="s">
        <v>221</v>
      </c>
      <c r="BZ6" s="44" t="s">
        <v>221</v>
      </c>
      <c r="CA6" s="44" t="s">
        <v>221</v>
      </c>
      <c r="CB6" s="44" t="s">
        <v>221</v>
      </c>
      <c r="CC6" s="44" t="s">
        <v>221</v>
      </c>
      <c r="CD6" s="44" t="s">
        <v>221</v>
      </c>
      <c r="CE6" s="44" t="s">
        <v>221</v>
      </c>
      <c r="CF6" s="44" t="s">
        <v>221</v>
      </c>
      <c r="CG6" s="44" t="s">
        <v>221</v>
      </c>
      <c r="CH6" s="44" t="s">
        <v>221</v>
      </c>
      <c r="CI6" s="44" t="s">
        <v>221</v>
      </c>
      <c r="CJ6" s="44" t="s">
        <v>221</v>
      </c>
      <c r="CK6" s="44" t="s">
        <v>221</v>
      </c>
      <c r="CL6" s="44" t="s">
        <v>221</v>
      </c>
      <c r="CM6" s="44" t="s">
        <v>221</v>
      </c>
      <c r="CN6" s="44" t="s">
        <v>221</v>
      </c>
      <c r="CO6" s="44" t="s">
        <v>221</v>
      </c>
      <c r="CP6" s="44" t="s">
        <v>221</v>
      </c>
      <c r="CQ6" s="44" t="s">
        <v>221</v>
      </c>
      <c r="CR6" s="44" t="s">
        <v>221</v>
      </c>
      <c r="CS6" s="44" t="s">
        <v>221</v>
      </c>
      <c r="CT6" s="44" t="s">
        <v>221</v>
      </c>
      <c r="CU6" s="44" t="s">
        <v>221</v>
      </c>
      <c r="CV6" s="44" t="s">
        <v>221</v>
      </c>
      <c r="CW6" s="44" t="s">
        <v>221</v>
      </c>
      <c r="CX6" s="44" t="s">
        <v>221</v>
      </c>
      <c r="CY6" s="44" t="s">
        <v>221</v>
      </c>
      <c r="CZ6" s="44" t="s">
        <v>221</v>
      </c>
      <c r="DA6" s="44" t="s">
        <v>221</v>
      </c>
      <c r="DB6" s="44" t="s">
        <v>221</v>
      </c>
      <c r="DC6" s="44" t="s">
        <v>221</v>
      </c>
      <c r="DD6" s="44" t="s">
        <v>221</v>
      </c>
      <c r="DE6" s="44" t="s">
        <v>221</v>
      </c>
      <c r="DF6" s="44" t="s">
        <v>221</v>
      </c>
      <c r="DG6" s="44" t="s">
        <v>221</v>
      </c>
      <c r="DH6" s="44" t="s">
        <v>221</v>
      </c>
      <c r="DI6" s="44" t="s">
        <v>221</v>
      </c>
      <c r="DJ6" s="44" t="s">
        <v>221</v>
      </c>
      <c r="DK6" s="44" t="s">
        <v>221</v>
      </c>
      <c r="DL6" s="44" t="s">
        <v>221</v>
      </c>
      <c r="DM6" s="44" t="s">
        <v>221</v>
      </c>
      <c r="DN6" s="44" t="s">
        <v>221</v>
      </c>
      <c r="DO6" s="44" t="s">
        <v>221</v>
      </c>
      <c r="DP6" s="44" t="s">
        <v>221</v>
      </c>
      <c r="DQ6" s="44" t="s">
        <v>221</v>
      </c>
      <c r="DR6" s="44" t="s">
        <v>221</v>
      </c>
      <c r="DS6" s="44" t="s">
        <v>221</v>
      </c>
      <c r="DT6" s="44" t="s">
        <v>221</v>
      </c>
      <c r="DU6" s="44" t="s">
        <v>221</v>
      </c>
      <c r="DV6" s="44" t="s">
        <v>221</v>
      </c>
      <c r="DW6" s="44" t="s">
        <v>221</v>
      </c>
      <c r="DX6" s="44" t="s">
        <v>221</v>
      </c>
      <c r="DY6" s="44" t="s">
        <v>221</v>
      </c>
      <c r="DZ6" s="44" t="s">
        <v>221</v>
      </c>
      <c r="EA6" s="44" t="s">
        <v>221</v>
      </c>
      <c r="EB6" s="44" t="s">
        <v>221</v>
      </c>
      <c r="EC6" s="44" t="s">
        <v>221</v>
      </c>
      <c r="ED6" s="44" t="s">
        <v>221</v>
      </c>
      <c r="EE6" s="44" t="s">
        <v>221</v>
      </c>
      <c r="EF6" s="44" t="s">
        <v>221</v>
      </c>
      <c r="EG6" s="44" t="s">
        <v>221</v>
      </c>
      <c r="EH6" s="44" t="s">
        <v>221</v>
      </c>
      <c r="EI6" s="44" t="s">
        <v>221</v>
      </c>
      <c r="EJ6" s="44" t="s">
        <v>221</v>
      </c>
      <c r="EK6" s="44" t="s">
        <v>221</v>
      </c>
      <c r="EL6" s="44" t="s">
        <v>221</v>
      </c>
      <c r="EM6" s="44" t="s">
        <v>221</v>
      </c>
      <c r="EN6" s="44" t="s">
        <v>221</v>
      </c>
      <c r="EO6" s="44" t="s">
        <v>221</v>
      </c>
      <c r="EP6" s="44" t="s">
        <v>221</v>
      </c>
      <c r="EQ6" s="44" t="s">
        <v>221</v>
      </c>
      <c r="ER6" s="44" t="s">
        <v>221</v>
      </c>
      <c r="ES6" s="44" t="s">
        <v>221</v>
      </c>
      <c r="ET6" s="44" t="s">
        <v>221</v>
      </c>
      <c r="EU6" s="44" t="s">
        <v>221</v>
      </c>
      <c r="EV6" s="44" t="s">
        <v>221</v>
      </c>
      <c r="EW6" s="44" t="s">
        <v>221</v>
      </c>
      <c r="EX6" s="44" t="s">
        <v>221</v>
      </c>
      <c r="EY6" s="44" t="s">
        <v>221</v>
      </c>
      <c r="EZ6" s="44" t="s">
        <v>221</v>
      </c>
      <c r="FA6" s="44" t="s">
        <v>221</v>
      </c>
      <c r="FB6" s="44" t="s">
        <v>221</v>
      </c>
      <c r="FC6" s="44" t="s">
        <v>221</v>
      </c>
      <c r="FD6" s="44" t="s">
        <v>221</v>
      </c>
      <c r="FE6" s="44" t="s">
        <v>221</v>
      </c>
      <c r="FF6" s="44" t="s">
        <v>221</v>
      </c>
      <c r="FG6" s="44" t="s">
        <v>221</v>
      </c>
      <c r="FH6" s="44" t="s">
        <v>221</v>
      </c>
      <c r="FI6" s="44" t="s">
        <v>221</v>
      </c>
      <c r="FJ6" s="44" t="s">
        <v>221</v>
      </c>
      <c r="FK6" s="44" t="s">
        <v>221</v>
      </c>
      <c r="FL6" s="44" t="s">
        <v>221</v>
      </c>
      <c r="FM6" s="44" t="s">
        <v>221</v>
      </c>
      <c r="FN6" s="44" t="s">
        <v>221</v>
      </c>
      <c r="FO6" s="44" t="s">
        <v>221</v>
      </c>
      <c r="FP6" s="44" t="s">
        <v>221</v>
      </c>
      <c r="FQ6" s="44" t="s">
        <v>221</v>
      </c>
      <c r="FR6" s="44" t="s">
        <v>221</v>
      </c>
      <c r="FS6" s="44" t="s">
        <v>221</v>
      </c>
      <c r="FT6" s="44" t="s">
        <v>221</v>
      </c>
      <c r="FU6" s="44" t="s">
        <v>221</v>
      </c>
      <c r="FV6" s="44" t="s">
        <v>221</v>
      </c>
      <c r="FW6" s="44" t="s">
        <v>221</v>
      </c>
      <c r="FX6" s="44" t="s">
        <v>221</v>
      </c>
      <c r="FY6" s="44" t="s">
        <v>221</v>
      </c>
      <c r="FZ6" s="44" t="s">
        <v>221</v>
      </c>
      <c r="GA6" s="44" t="s">
        <v>221</v>
      </c>
      <c r="GB6" s="44" t="s">
        <v>221</v>
      </c>
      <c r="GC6" s="44" t="s">
        <v>221</v>
      </c>
      <c r="GD6" s="44" t="s">
        <v>221</v>
      </c>
      <c r="GE6" s="44" t="s">
        <v>221</v>
      </c>
      <c r="GF6" s="45" t="s">
        <v>299</v>
      </c>
      <c r="GG6" s="76" t="s">
        <v>221</v>
      </c>
      <c r="GH6" s="76" t="s">
        <v>221</v>
      </c>
      <c r="GI6" s="76" t="s">
        <v>221</v>
      </c>
      <c r="GJ6" s="72">
        <v>46058</v>
      </c>
      <c r="GK6" s="72">
        <v>46086</v>
      </c>
      <c r="GL6" s="72" t="s">
        <v>300</v>
      </c>
      <c r="GM6" s="84">
        <f t="shared" si="1"/>
        <v>1.2333333333333334</v>
      </c>
      <c r="GN6" s="84">
        <f t="shared" si="2"/>
        <v>33.4</v>
      </c>
      <c r="GO6" s="84" t="str">
        <f t="shared" si="3"/>
        <v>N/A</v>
      </c>
      <c r="GP6" s="84" t="str">
        <f t="shared" si="4"/>
        <v>N/A</v>
      </c>
      <c r="GQ6" s="84">
        <f t="shared" si="5"/>
        <v>0</v>
      </c>
      <c r="GR6" s="84">
        <f t="shared" si="6"/>
        <v>0</v>
      </c>
      <c r="GS6" s="84" t="str">
        <f t="shared" si="7"/>
        <v>N/A</v>
      </c>
      <c r="GT6" s="84" t="str">
        <f t="shared" si="8"/>
        <v>N/A</v>
      </c>
      <c r="GU6" s="84" t="str">
        <f t="shared" si="9"/>
        <v>N/A</v>
      </c>
      <c r="GV6" s="84" t="str">
        <f t="shared" si="10"/>
        <v>N/A</v>
      </c>
      <c r="GW6" s="84" t="str">
        <f t="shared" si="11"/>
        <v>N/A</v>
      </c>
      <c r="GX6" s="84" t="str">
        <f t="shared" si="12"/>
        <v>N/A</v>
      </c>
      <c r="GY6" s="84" t="str">
        <f t="shared" si="13"/>
        <v>N/A</v>
      </c>
      <c r="GZ6" s="84" t="str">
        <f t="shared" si="14"/>
        <v>N/A</v>
      </c>
      <c r="HA6" s="84" t="str">
        <f t="shared" si="15"/>
        <v>N/A</v>
      </c>
      <c r="HB6" s="84" t="str">
        <f t="shared" si="16"/>
        <v>N/A</v>
      </c>
      <c r="HC6" s="84" t="str">
        <f t="shared" si="17"/>
        <v>N/A</v>
      </c>
      <c r="HD6" s="84">
        <f t="shared" si="18"/>
        <v>55.166666666666664</v>
      </c>
      <c r="HE6" s="84">
        <f t="shared" si="19"/>
        <v>56.1</v>
      </c>
      <c r="HF6" s="85">
        <f t="shared" si="20"/>
        <v>56.1</v>
      </c>
      <c r="HG6" s="85" cm="1">
        <f t="array" ref="HG6">INDEX($HB6:$HD6,MATCH(TRUE,INDEX(ISNUMBER($HB6:$HD6),0),0))</f>
        <v>55.166666666666664</v>
      </c>
      <c r="HH6" s="82">
        <f t="shared" si="21"/>
        <v>0</v>
      </c>
      <c r="HI6" s="82">
        <f t="shared" si="22"/>
        <v>0</v>
      </c>
      <c r="HJ6" s="82">
        <f t="shared" si="23"/>
        <v>0</v>
      </c>
      <c r="HK6" s="117" t="str">
        <f t="shared" si="24"/>
        <v>0</v>
      </c>
    </row>
    <row r="7" spans="1:219" ht="15" customHeight="1" x14ac:dyDescent="0.3">
      <c r="A7" s="48">
        <v>4509045514</v>
      </c>
      <c r="B7" s="46" t="s">
        <v>220</v>
      </c>
      <c r="C7" s="42" t="s">
        <v>221</v>
      </c>
      <c r="D7" s="43" t="s">
        <v>220</v>
      </c>
      <c r="E7" s="48" t="s">
        <v>221</v>
      </c>
      <c r="F7" s="48" t="s">
        <v>221</v>
      </c>
      <c r="G7" s="48" t="s">
        <v>221</v>
      </c>
      <c r="H7" s="72" t="s">
        <v>221</v>
      </c>
      <c r="I7" s="48" t="s">
        <v>301</v>
      </c>
      <c r="J7" s="48" t="s">
        <v>221</v>
      </c>
      <c r="K7" s="72" t="s">
        <v>221</v>
      </c>
      <c r="L7" s="48" t="s">
        <v>302</v>
      </c>
      <c r="M7" s="48" t="s">
        <v>303</v>
      </c>
      <c r="N7" s="48" t="s">
        <v>229</v>
      </c>
      <c r="O7" s="48" t="s">
        <v>304</v>
      </c>
      <c r="P7" s="74">
        <v>44494</v>
      </c>
      <c r="Q7" s="42" t="s">
        <v>286</v>
      </c>
      <c r="R7" s="50" t="s">
        <v>303</v>
      </c>
      <c r="S7" s="48" t="s">
        <v>226</v>
      </c>
      <c r="T7" s="48" t="s">
        <v>304</v>
      </c>
      <c r="U7" s="74">
        <v>44494</v>
      </c>
      <c r="V7" s="42" t="s">
        <v>286</v>
      </c>
      <c r="W7" s="43" t="s">
        <v>221</v>
      </c>
      <c r="X7" s="43" t="s">
        <v>221</v>
      </c>
      <c r="Y7" s="43" t="s">
        <v>221</v>
      </c>
      <c r="Z7" s="75" t="s">
        <v>221</v>
      </c>
      <c r="AA7" s="43" t="s">
        <v>221</v>
      </c>
      <c r="AB7" s="43" t="s">
        <v>221</v>
      </c>
      <c r="AC7" s="43" t="s">
        <v>221</v>
      </c>
      <c r="AD7" s="43" t="s">
        <v>221</v>
      </c>
      <c r="AE7" s="75" t="s">
        <v>221</v>
      </c>
      <c r="AF7" s="43" t="s">
        <v>221</v>
      </c>
      <c r="AG7" s="43" t="s">
        <v>221</v>
      </c>
      <c r="AH7" s="43" t="s">
        <v>221</v>
      </c>
      <c r="AI7" s="43" t="s">
        <v>221</v>
      </c>
      <c r="AJ7" s="75" t="s">
        <v>221</v>
      </c>
      <c r="AK7" s="43" t="s">
        <v>221</v>
      </c>
      <c r="AL7" s="50" t="s">
        <v>221</v>
      </c>
      <c r="AM7" s="48" t="s">
        <v>221</v>
      </c>
      <c r="AN7" s="48" t="s">
        <v>221</v>
      </c>
      <c r="AO7" s="74" t="s">
        <v>221</v>
      </c>
      <c r="AP7" s="42" t="s">
        <v>221</v>
      </c>
      <c r="AQ7" s="50" t="s">
        <v>230</v>
      </c>
      <c r="AR7" s="72">
        <v>17749</v>
      </c>
      <c r="AS7" s="74">
        <v>44491</v>
      </c>
      <c r="AT7" s="67">
        <f t="shared" si="0"/>
        <v>73</v>
      </c>
      <c r="AU7" s="51" t="s">
        <v>305</v>
      </c>
      <c r="AV7" s="42" t="s">
        <v>290</v>
      </c>
      <c r="AW7" s="43" t="s">
        <v>221</v>
      </c>
      <c r="AX7" s="48" t="s">
        <v>221</v>
      </c>
      <c r="AY7" s="48" t="s">
        <v>221</v>
      </c>
      <c r="AZ7" s="48" t="s">
        <v>292</v>
      </c>
      <c r="BA7" s="48" t="s">
        <v>306</v>
      </c>
      <c r="BB7" s="48" t="s">
        <v>307</v>
      </c>
      <c r="BC7" s="49" t="s">
        <v>308</v>
      </c>
      <c r="BD7" s="45" t="s">
        <v>236</v>
      </c>
      <c r="BE7" s="51" t="s">
        <v>294</v>
      </c>
      <c r="BF7" s="42" t="s">
        <v>220</v>
      </c>
      <c r="BG7" s="79" t="s">
        <v>221</v>
      </c>
      <c r="BH7" s="79" t="s">
        <v>221</v>
      </c>
      <c r="BI7" s="79" t="s">
        <v>221</v>
      </c>
      <c r="BJ7" s="79" t="s">
        <v>221</v>
      </c>
      <c r="BK7" s="79" t="s">
        <v>221</v>
      </c>
      <c r="BL7" s="79" t="s">
        <v>221</v>
      </c>
      <c r="BM7" s="79" t="s">
        <v>221</v>
      </c>
      <c r="BN7" s="79" t="s">
        <v>221</v>
      </c>
      <c r="BO7" s="79" t="s">
        <v>221</v>
      </c>
      <c r="BP7" s="79" t="s">
        <v>221</v>
      </c>
      <c r="BQ7" s="79" t="s">
        <v>221</v>
      </c>
      <c r="BR7" s="79" t="s">
        <v>221</v>
      </c>
      <c r="BS7" s="79" t="s">
        <v>221</v>
      </c>
      <c r="BT7" s="79" t="s">
        <v>221</v>
      </c>
      <c r="BU7" s="79" t="s">
        <v>221</v>
      </c>
      <c r="BV7" s="79" t="s">
        <v>221</v>
      </c>
      <c r="BW7" s="79" t="s">
        <v>221</v>
      </c>
      <c r="BX7" s="79" t="s">
        <v>221</v>
      </c>
      <c r="BY7" s="79" t="s">
        <v>221</v>
      </c>
      <c r="BZ7" s="79" t="s">
        <v>221</v>
      </c>
      <c r="CA7" s="79" t="s">
        <v>221</v>
      </c>
      <c r="CB7" s="79" t="s">
        <v>221</v>
      </c>
      <c r="CC7" s="79" t="s">
        <v>221</v>
      </c>
      <c r="CD7" s="79" t="s">
        <v>221</v>
      </c>
      <c r="CE7" s="79" t="s">
        <v>221</v>
      </c>
      <c r="CF7" s="79" t="s">
        <v>221</v>
      </c>
      <c r="CG7" s="79" t="s">
        <v>221</v>
      </c>
      <c r="CH7" s="79" t="s">
        <v>221</v>
      </c>
      <c r="CI7" s="79" t="s">
        <v>221</v>
      </c>
      <c r="CJ7" s="79" t="s">
        <v>221</v>
      </c>
      <c r="CK7" s="79" t="s">
        <v>221</v>
      </c>
      <c r="CL7" s="79" t="s">
        <v>221</v>
      </c>
      <c r="CM7" s="79" t="s">
        <v>221</v>
      </c>
      <c r="CN7" s="79" t="s">
        <v>221</v>
      </c>
      <c r="CO7" s="79" t="s">
        <v>221</v>
      </c>
      <c r="CP7" s="79" t="s">
        <v>221</v>
      </c>
      <c r="CQ7" s="79" t="s">
        <v>221</v>
      </c>
      <c r="CR7" s="79" t="s">
        <v>221</v>
      </c>
      <c r="CS7" s="79" t="s">
        <v>221</v>
      </c>
      <c r="CT7" s="79" t="s">
        <v>221</v>
      </c>
      <c r="CU7" s="79" t="s">
        <v>221</v>
      </c>
      <c r="CV7" s="79" t="s">
        <v>221</v>
      </c>
      <c r="CW7" s="79" t="s">
        <v>221</v>
      </c>
      <c r="CX7" s="79" t="s">
        <v>221</v>
      </c>
      <c r="CY7" s="79" t="s">
        <v>221</v>
      </c>
      <c r="CZ7" s="79" t="s">
        <v>221</v>
      </c>
      <c r="DA7" s="79" t="s">
        <v>221</v>
      </c>
      <c r="DB7" s="79" t="s">
        <v>221</v>
      </c>
      <c r="DC7" s="79" t="s">
        <v>221</v>
      </c>
      <c r="DD7" s="79" t="s">
        <v>221</v>
      </c>
      <c r="DE7" s="79" t="s">
        <v>221</v>
      </c>
      <c r="DF7" s="79" t="s">
        <v>221</v>
      </c>
      <c r="DG7" s="79" t="s">
        <v>221</v>
      </c>
      <c r="DH7" s="79" t="s">
        <v>221</v>
      </c>
      <c r="DI7" s="79" t="s">
        <v>221</v>
      </c>
      <c r="DJ7" s="79" t="s">
        <v>221</v>
      </c>
      <c r="DK7" s="79" t="s">
        <v>221</v>
      </c>
      <c r="DL7" s="79" t="s">
        <v>221</v>
      </c>
      <c r="DM7" s="79" t="s">
        <v>221</v>
      </c>
      <c r="DN7" s="79" t="s">
        <v>221</v>
      </c>
      <c r="DO7" s="79" t="s">
        <v>221</v>
      </c>
      <c r="DP7" s="79" t="s">
        <v>221</v>
      </c>
      <c r="DQ7" s="79" t="s">
        <v>221</v>
      </c>
      <c r="DR7" s="79" t="s">
        <v>221</v>
      </c>
      <c r="DS7" s="79" t="s">
        <v>221</v>
      </c>
      <c r="DT7" s="79" t="s">
        <v>221</v>
      </c>
      <c r="DU7" s="79" t="s">
        <v>221</v>
      </c>
      <c r="DV7" s="79" t="s">
        <v>221</v>
      </c>
      <c r="DW7" s="79" t="s">
        <v>221</v>
      </c>
      <c r="DX7" s="79" t="s">
        <v>221</v>
      </c>
      <c r="DY7" s="79" t="s">
        <v>221</v>
      </c>
      <c r="DZ7" s="79" t="s">
        <v>221</v>
      </c>
      <c r="EA7" s="79" t="s">
        <v>221</v>
      </c>
      <c r="EB7" s="79" t="s">
        <v>221</v>
      </c>
      <c r="EC7" s="79" t="s">
        <v>221</v>
      </c>
      <c r="ED7" s="79" t="s">
        <v>221</v>
      </c>
      <c r="EE7" s="79" t="s">
        <v>221</v>
      </c>
      <c r="EF7" s="79" t="s">
        <v>221</v>
      </c>
      <c r="EG7" s="79" t="s">
        <v>221</v>
      </c>
      <c r="EH7" s="79" t="s">
        <v>221</v>
      </c>
      <c r="EI7" s="72">
        <v>44561</v>
      </c>
      <c r="EJ7" s="48" t="s">
        <v>309</v>
      </c>
      <c r="EK7" s="44" t="s">
        <v>241</v>
      </c>
      <c r="EL7" s="48" t="s">
        <v>310</v>
      </c>
      <c r="EM7" s="72">
        <v>44562</v>
      </c>
      <c r="EN7" s="72">
        <v>44562</v>
      </c>
      <c r="EO7" s="48" t="s">
        <v>233</v>
      </c>
      <c r="EP7" s="44" t="s">
        <v>221</v>
      </c>
      <c r="EQ7" s="44" t="s">
        <v>221</v>
      </c>
      <c r="ER7" s="44" t="s">
        <v>221</v>
      </c>
      <c r="ES7" s="44" t="s">
        <v>221</v>
      </c>
      <c r="ET7" s="44" t="s">
        <v>221</v>
      </c>
      <c r="EU7" s="44" t="s">
        <v>221</v>
      </c>
      <c r="EV7" s="44" t="s">
        <v>221</v>
      </c>
      <c r="EW7" s="44" t="s">
        <v>221</v>
      </c>
      <c r="EX7" s="44" t="s">
        <v>221</v>
      </c>
      <c r="EY7" s="44" t="s">
        <v>221</v>
      </c>
      <c r="EZ7" s="44" t="s">
        <v>221</v>
      </c>
      <c r="FA7" s="44" t="s">
        <v>221</v>
      </c>
      <c r="FB7" s="44" t="s">
        <v>221</v>
      </c>
      <c r="FC7" s="44" t="s">
        <v>221</v>
      </c>
      <c r="FD7" s="44" t="s">
        <v>221</v>
      </c>
      <c r="FE7" s="44" t="s">
        <v>221</v>
      </c>
      <c r="FF7" s="44" t="s">
        <v>221</v>
      </c>
      <c r="FG7" s="44" t="s">
        <v>221</v>
      </c>
      <c r="FH7" s="44" t="s">
        <v>221</v>
      </c>
      <c r="FI7" s="44" t="s">
        <v>221</v>
      </c>
      <c r="FJ7" s="44" t="s">
        <v>221</v>
      </c>
      <c r="FK7" s="44" t="s">
        <v>221</v>
      </c>
      <c r="FL7" s="44" t="s">
        <v>221</v>
      </c>
      <c r="FM7" s="44" t="s">
        <v>221</v>
      </c>
      <c r="FN7" s="44" t="s">
        <v>221</v>
      </c>
      <c r="FO7" s="44" t="s">
        <v>221</v>
      </c>
      <c r="FP7" s="44" t="s">
        <v>221</v>
      </c>
      <c r="FQ7" s="44" t="s">
        <v>221</v>
      </c>
      <c r="FR7" s="44" t="s">
        <v>221</v>
      </c>
      <c r="FS7" s="44" t="s">
        <v>221</v>
      </c>
      <c r="FT7" s="44" t="s">
        <v>221</v>
      </c>
      <c r="FU7" s="44" t="s">
        <v>221</v>
      </c>
      <c r="FV7" s="44" t="s">
        <v>221</v>
      </c>
      <c r="FW7" s="44" t="s">
        <v>221</v>
      </c>
      <c r="FX7" s="44" t="s">
        <v>221</v>
      </c>
      <c r="FY7" s="44" t="s">
        <v>221</v>
      </c>
      <c r="FZ7" s="44" t="s">
        <v>221</v>
      </c>
      <c r="GA7" s="44" t="s">
        <v>221</v>
      </c>
      <c r="GB7" s="44" t="s">
        <v>221</v>
      </c>
      <c r="GC7" s="44" t="s">
        <v>221</v>
      </c>
      <c r="GD7" s="44" t="s">
        <v>221</v>
      </c>
      <c r="GE7" s="44" t="s">
        <v>221</v>
      </c>
      <c r="GF7" s="45" t="s">
        <v>259</v>
      </c>
      <c r="GG7" s="76">
        <v>44618</v>
      </c>
      <c r="GH7" s="42" t="s">
        <v>222</v>
      </c>
      <c r="GI7" s="50" t="s">
        <v>233</v>
      </c>
      <c r="GJ7" s="72">
        <v>44573</v>
      </c>
      <c r="GK7" s="72" t="s">
        <v>221</v>
      </c>
      <c r="GL7" s="72" t="s">
        <v>221</v>
      </c>
      <c r="GM7" s="84" t="str">
        <f t="shared" si="1"/>
        <v>N/A</v>
      </c>
      <c r="GN7" s="84" t="str">
        <f t="shared" si="2"/>
        <v>N/A</v>
      </c>
      <c r="GO7" s="84" t="str">
        <f t="shared" si="3"/>
        <v>N/A</v>
      </c>
      <c r="GP7" s="84" t="str">
        <f t="shared" si="4"/>
        <v>N/A</v>
      </c>
      <c r="GQ7" s="84">
        <f t="shared" si="5"/>
        <v>0.1</v>
      </c>
      <c r="GR7" s="84">
        <f t="shared" si="6"/>
        <v>0.1</v>
      </c>
      <c r="GS7" s="84" t="str">
        <f t="shared" si="7"/>
        <v>N/A</v>
      </c>
      <c r="GT7" s="84" t="str">
        <f t="shared" si="8"/>
        <v>N/A</v>
      </c>
      <c r="GU7" s="84" t="str">
        <f t="shared" si="9"/>
        <v>N/A</v>
      </c>
      <c r="GV7" s="84" t="str">
        <f t="shared" si="10"/>
        <v>N/A</v>
      </c>
      <c r="GW7" s="84" t="str">
        <f t="shared" si="11"/>
        <v>N/A</v>
      </c>
      <c r="GX7" s="84" t="str">
        <f t="shared" si="12"/>
        <v>N/A</v>
      </c>
      <c r="GY7" s="84">
        <f t="shared" si="13"/>
        <v>2.3333333333333335</v>
      </c>
      <c r="GZ7" s="84">
        <f t="shared" si="14"/>
        <v>2.3666666666666667</v>
      </c>
      <c r="HA7" s="84">
        <f t="shared" si="15"/>
        <v>2.3666666666666667</v>
      </c>
      <c r="HB7" s="84">
        <f t="shared" si="16"/>
        <v>2.3333333333333335</v>
      </c>
      <c r="HC7" s="84">
        <f t="shared" si="17"/>
        <v>4.2333333333333334</v>
      </c>
      <c r="HD7" s="84">
        <f t="shared" si="18"/>
        <v>2.7333333333333334</v>
      </c>
      <c r="HE7" s="84" t="str">
        <f t="shared" si="19"/>
        <v>N/A</v>
      </c>
      <c r="HF7" s="85">
        <f t="shared" si="20"/>
        <v>4.2333333333333334</v>
      </c>
      <c r="HG7" s="85" cm="1">
        <f t="array" ref="HG7">INDEX($HB7:$HD7,MATCH(TRUE,INDEX(ISNUMBER($HB7:$HD7),0),0))</f>
        <v>2.3333333333333335</v>
      </c>
      <c r="HH7" s="82">
        <f t="shared" si="21"/>
        <v>1</v>
      </c>
      <c r="HI7" s="82">
        <f t="shared" si="22"/>
        <v>1</v>
      </c>
      <c r="HJ7" s="82">
        <f t="shared" si="23"/>
        <v>1</v>
      </c>
      <c r="HK7" s="117" t="str">
        <f t="shared" si="24"/>
        <v>1</v>
      </c>
    </row>
    <row r="8" spans="1:219" ht="15" customHeight="1" x14ac:dyDescent="0.3">
      <c r="A8" s="48">
        <v>4381847067</v>
      </c>
      <c r="B8" s="46" t="s">
        <v>220</v>
      </c>
      <c r="C8" s="42" t="s">
        <v>221</v>
      </c>
      <c r="D8" s="43" t="s">
        <v>220</v>
      </c>
      <c r="E8" s="48" t="s">
        <v>221</v>
      </c>
      <c r="F8" s="48" t="s">
        <v>221</v>
      </c>
      <c r="G8" s="48" t="s">
        <v>221</v>
      </c>
      <c r="H8" s="72" t="s">
        <v>221</v>
      </c>
      <c r="I8" s="48" t="s">
        <v>311</v>
      </c>
      <c r="J8" s="48" t="s">
        <v>221</v>
      </c>
      <c r="K8" s="72" t="s">
        <v>221</v>
      </c>
      <c r="L8" s="48" t="s">
        <v>282</v>
      </c>
      <c r="M8" s="48" t="s">
        <v>312</v>
      </c>
      <c r="N8" s="48" t="s">
        <v>226</v>
      </c>
      <c r="O8" s="48" t="s">
        <v>313</v>
      </c>
      <c r="P8" s="74">
        <v>44595</v>
      </c>
      <c r="Q8" s="42" t="s">
        <v>286</v>
      </c>
      <c r="R8" s="83" t="s">
        <v>221</v>
      </c>
      <c r="S8" s="83" t="s">
        <v>221</v>
      </c>
      <c r="T8" s="83" t="s">
        <v>221</v>
      </c>
      <c r="U8" s="83" t="s">
        <v>221</v>
      </c>
      <c r="V8" s="83" t="s">
        <v>221</v>
      </c>
      <c r="W8" s="43" t="s">
        <v>221</v>
      </c>
      <c r="X8" s="43" t="s">
        <v>221</v>
      </c>
      <c r="Y8" s="43" t="s">
        <v>221</v>
      </c>
      <c r="Z8" s="75" t="s">
        <v>221</v>
      </c>
      <c r="AA8" s="43" t="s">
        <v>221</v>
      </c>
      <c r="AB8" s="43" t="s">
        <v>221</v>
      </c>
      <c r="AC8" s="43" t="s">
        <v>221</v>
      </c>
      <c r="AD8" s="43" t="s">
        <v>221</v>
      </c>
      <c r="AE8" s="75" t="s">
        <v>221</v>
      </c>
      <c r="AF8" s="43" t="s">
        <v>221</v>
      </c>
      <c r="AG8" s="43" t="s">
        <v>221</v>
      </c>
      <c r="AH8" s="43" t="s">
        <v>221</v>
      </c>
      <c r="AI8" s="43" t="s">
        <v>221</v>
      </c>
      <c r="AJ8" s="75" t="s">
        <v>221</v>
      </c>
      <c r="AK8" s="43" t="s">
        <v>221</v>
      </c>
      <c r="AL8" s="50" t="s">
        <v>221</v>
      </c>
      <c r="AM8" s="48" t="s">
        <v>221</v>
      </c>
      <c r="AN8" s="48" t="s">
        <v>221</v>
      </c>
      <c r="AO8" s="74" t="s">
        <v>221</v>
      </c>
      <c r="AP8" s="42" t="s">
        <v>221</v>
      </c>
      <c r="AQ8" s="50" t="s">
        <v>288</v>
      </c>
      <c r="AR8" s="72">
        <v>16804</v>
      </c>
      <c r="AS8" s="74">
        <v>44595</v>
      </c>
      <c r="AT8" s="67">
        <f t="shared" si="0"/>
        <v>76</v>
      </c>
      <c r="AU8" s="51" t="s">
        <v>289</v>
      </c>
      <c r="AV8" s="42" t="s">
        <v>290</v>
      </c>
      <c r="AW8" s="43" t="s">
        <v>221</v>
      </c>
      <c r="AX8" s="48" t="s">
        <v>221</v>
      </c>
      <c r="AY8" s="48" t="s">
        <v>221</v>
      </c>
      <c r="AZ8" s="48" t="s">
        <v>292</v>
      </c>
      <c r="BA8" s="48" t="s">
        <v>292</v>
      </c>
      <c r="BB8" s="48" t="s">
        <v>314</v>
      </c>
      <c r="BC8" s="49" t="s">
        <v>233</v>
      </c>
      <c r="BD8" s="45" t="s">
        <v>236</v>
      </c>
      <c r="BE8" s="51" t="s">
        <v>294</v>
      </c>
      <c r="BF8" s="42" t="s">
        <v>222</v>
      </c>
      <c r="BG8" s="79" t="s">
        <v>221</v>
      </c>
      <c r="BH8" s="44" t="s">
        <v>243</v>
      </c>
      <c r="BI8" s="48" t="s">
        <v>315</v>
      </c>
      <c r="BJ8" s="72">
        <v>44627</v>
      </c>
      <c r="BK8" s="72">
        <v>44664</v>
      </c>
      <c r="BL8" s="48" t="s">
        <v>233</v>
      </c>
      <c r="BM8" s="44" t="s">
        <v>241</v>
      </c>
      <c r="BN8" s="48" t="s">
        <v>258</v>
      </c>
      <c r="BO8" s="48" t="s">
        <v>233</v>
      </c>
      <c r="BP8" s="44" t="s">
        <v>243</v>
      </c>
      <c r="BQ8" s="48" t="s">
        <v>316</v>
      </c>
      <c r="BR8" s="48" t="s">
        <v>317</v>
      </c>
      <c r="BS8" s="44" t="s">
        <v>243</v>
      </c>
      <c r="BT8" s="48" t="s">
        <v>318</v>
      </c>
      <c r="BU8" s="48" t="s">
        <v>233</v>
      </c>
      <c r="BV8" s="44" t="s">
        <v>221</v>
      </c>
      <c r="BW8" s="44" t="s">
        <v>221</v>
      </c>
      <c r="BX8" s="44" t="s">
        <v>221</v>
      </c>
      <c r="BY8" s="44" t="s">
        <v>221</v>
      </c>
      <c r="BZ8" s="44" t="s">
        <v>221</v>
      </c>
      <c r="CA8" s="44" t="s">
        <v>221</v>
      </c>
      <c r="CB8" s="44" t="s">
        <v>221</v>
      </c>
      <c r="CC8" s="44" t="s">
        <v>221</v>
      </c>
      <c r="CD8" s="44" t="s">
        <v>221</v>
      </c>
      <c r="CE8" s="44" t="s">
        <v>221</v>
      </c>
      <c r="CF8" s="44" t="s">
        <v>221</v>
      </c>
      <c r="CG8" s="44" t="s">
        <v>221</v>
      </c>
      <c r="CH8" s="44" t="s">
        <v>221</v>
      </c>
      <c r="CI8" s="44" t="s">
        <v>221</v>
      </c>
      <c r="CJ8" s="44" t="s">
        <v>221</v>
      </c>
      <c r="CK8" s="44" t="s">
        <v>221</v>
      </c>
      <c r="CL8" s="44" t="s">
        <v>221</v>
      </c>
      <c r="CM8" s="44" t="s">
        <v>221</v>
      </c>
      <c r="CN8" s="44" t="s">
        <v>221</v>
      </c>
      <c r="CO8" s="44" t="s">
        <v>221</v>
      </c>
      <c r="CP8" s="44" t="s">
        <v>221</v>
      </c>
      <c r="CQ8" s="44" t="s">
        <v>221</v>
      </c>
      <c r="CR8" s="44" t="s">
        <v>221</v>
      </c>
      <c r="CS8" s="44" t="s">
        <v>221</v>
      </c>
      <c r="CT8" s="44" t="s">
        <v>221</v>
      </c>
      <c r="CU8" s="44" t="s">
        <v>221</v>
      </c>
      <c r="CV8" s="44" t="s">
        <v>221</v>
      </c>
      <c r="CW8" s="44" t="s">
        <v>221</v>
      </c>
      <c r="CX8" s="44" t="s">
        <v>221</v>
      </c>
      <c r="CY8" s="44" t="s">
        <v>221</v>
      </c>
      <c r="CZ8" s="44" t="s">
        <v>221</v>
      </c>
      <c r="DA8" s="44" t="s">
        <v>221</v>
      </c>
      <c r="DB8" s="44" t="s">
        <v>221</v>
      </c>
      <c r="DC8" s="44" t="s">
        <v>221</v>
      </c>
      <c r="DD8" s="44" t="s">
        <v>221</v>
      </c>
      <c r="DE8" s="44" t="s">
        <v>221</v>
      </c>
      <c r="DF8" s="44" t="s">
        <v>221</v>
      </c>
      <c r="DG8" s="44" t="s">
        <v>221</v>
      </c>
      <c r="DH8" s="44" t="s">
        <v>221</v>
      </c>
      <c r="DI8" s="44" t="s">
        <v>221</v>
      </c>
      <c r="DJ8" s="44" t="s">
        <v>221</v>
      </c>
      <c r="DK8" s="44" t="s">
        <v>221</v>
      </c>
      <c r="DL8" s="44" t="s">
        <v>221</v>
      </c>
      <c r="DM8" s="44" t="s">
        <v>221</v>
      </c>
      <c r="DN8" s="44" t="s">
        <v>221</v>
      </c>
      <c r="DO8" s="44" t="s">
        <v>221</v>
      </c>
      <c r="DP8" s="44" t="s">
        <v>221</v>
      </c>
      <c r="DQ8" s="44" t="s">
        <v>221</v>
      </c>
      <c r="DR8" s="44" t="s">
        <v>221</v>
      </c>
      <c r="DS8" s="44" t="s">
        <v>221</v>
      </c>
      <c r="DT8" s="44" t="s">
        <v>221</v>
      </c>
      <c r="DU8" s="44" t="s">
        <v>221</v>
      </c>
      <c r="DV8" s="44" t="s">
        <v>221</v>
      </c>
      <c r="DW8" s="44" t="s">
        <v>221</v>
      </c>
      <c r="DX8" s="44" t="s">
        <v>221</v>
      </c>
      <c r="DY8" s="44" t="s">
        <v>221</v>
      </c>
      <c r="DZ8" s="44" t="s">
        <v>221</v>
      </c>
      <c r="EA8" s="44" t="s">
        <v>221</v>
      </c>
      <c r="EB8" s="44" t="s">
        <v>221</v>
      </c>
      <c r="EC8" s="44" t="s">
        <v>221</v>
      </c>
      <c r="ED8" s="44" t="s">
        <v>221</v>
      </c>
      <c r="EE8" s="44" t="s">
        <v>221</v>
      </c>
      <c r="EF8" s="44" t="s">
        <v>221</v>
      </c>
      <c r="EG8" s="44" t="s">
        <v>221</v>
      </c>
      <c r="EH8" s="44" t="s">
        <v>221</v>
      </c>
      <c r="EI8" s="44" t="s">
        <v>221</v>
      </c>
      <c r="EJ8" s="44" t="s">
        <v>221</v>
      </c>
      <c r="EK8" s="44" t="s">
        <v>221</v>
      </c>
      <c r="EL8" s="44" t="s">
        <v>221</v>
      </c>
      <c r="EM8" s="44" t="s">
        <v>221</v>
      </c>
      <c r="EN8" s="44" t="s">
        <v>221</v>
      </c>
      <c r="EO8" s="44" t="s">
        <v>221</v>
      </c>
      <c r="EP8" s="44" t="s">
        <v>221</v>
      </c>
      <c r="EQ8" s="44" t="s">
        <v>221</v>
      </c>
      <c r="ER8" s="44" t="s">
        <v>221</v>
      </c>
      <c r="ES8" s="44" t="s">
        <v>221</v>
      </c>
      <c r="ET8" s="44" t="s">
        <v>221</v>
      </c>
      <c r="EU8" s="44" t="s">
        <v>221</v>
      </c>
      <c r="EV8" s="44" t="s">
        <v>221</v>
      </c>
      <c r="EW8" s="44" t="s">
        <v>221</v>
      </c>
      <c r="EX8" s="44" t="s">
        <v>221</v>
      </c>
      <c r="EY8" s="44" t="s">
        <v>221</v>
      </c>
      <c r="EZ8" s="44" t="s">
        <v>221</v>
      </c>
      <c r="FA8" s="44" t="s">
        <v>221</v>
      </c>
      <c r="FB8" s="44" t="s">
        <v>221</v>
      </c>
      <c r="FC8" s="44" t="s">
        <v>221</v>
      </c>
      <c r="FD8" s="44" t="s">
        <v>221</v>
      </c>
      <c r="FE8" s="44" t="s">
        <v>221</v>
      </c>
      <c r="FF8" s="44" t="s">
        <v>221</v>
      </c>
      <c r="FG8" s="44" t="s">
        <v>221</v>
      </c>
      <c r="FH8" s="44" t="s">
        <v>221</v>
      </c>
      <c r="FI8" s="44" t="s">
        <v>221</v>
      </c>
      <c r="FJ8" s="44" t="s">
        <v>221</v>
      </c>
      <c r="FK8" s="44" t="s">
        <v>221</v>
      </c>
      <c r="FL8" s="44" t="s">
        <v>221</v>
      </c>
      <c r="FM8" s="44" t="s">
        <v>221</v>
      </c>
      <c r="FN8" s="44" t="s">
        <v>221</v>
      </c>
      <c r="FO8" s="44" t="s">
        <v>221</v>
      </c>
      <c r="FP8" s="44" t="s">
        <v>221</v>
      </c>
      <c r="FQ8" s="44" t="s">
        <v>221</v>
      </c>
      <c r="FR8" s="44" t="s">
        <v>221</v>
      </c>
      <c r="FS8" s="44" t="s">
        <v>221</v>
      </c>
      <c r="FT8" s="44" t="s">
        <v>221</v>
      </c>
      <c r="FU8" s="44" t="s">
        <v>221</v>
      </c>
      <c r="FV8" s="44" t="s">
        <v>221</v>
      </c>
      <c r="FW8" s="44" t="s">
        <v>221</v>
      </c>
      <c r="FX8" s="44" t="s">
        <v>221</v>
      </c>
      <c r="FY8" s="44" t="s">
        <v>221</v>
      </c>
      <c r="FZ8" s="44" t="s">
        <v>221</v>
      </c>
      <c r="GA8" s="44" t="s">
        <v>221</v>
      </c>
      <c r="GB8" s="44" t="s">
        <v>221</v>
      </c>
      <c r="GC8" s="44" t="s">
        <v>221</v>
      </c>
      <c r="GD8" s="44" t="s">
        <v>221</v>
      </c>
      <c r="GE8" s="44" t="s">
        <v>221</v>
      </c>
      <c r="GF8" s="45" t="s">
        <v>299</v>
      </c>
      <c r="GG8" s="76" t="s">
        <v>221</v>
      </c>
      <c r="GH8" s="42" t="s">
        <v>221</v>
      </c>
      <c r="GI8" s="50" t="s">
        <v>221</v>
      </c>
      <c r="GJ8" s="72">
        <v>45594</v>
      </c>
      <c r="GK8" s="72">
        <v>46079</v>
      </c>
      <c r="GL8" s="72" t="s">
        <v>221</v>
      </c>
      <c r="GM8" s="84">
        <f t="shared" si="1"/>
        <v>1.0666666666666667</v>
      </c>
      <c r="GN8" s="84">
        <f t="shared" si="2"/>
        <v>2.2999999999999998</v>
      </c>
      <c r="GO8" s="84" t="str">
        <f t="shared" si="3"/>
        <v>N/A</v>
      </c>
      <c r="GP8" s="84" t="str">
        <f t="shared" si="4"/>
        <v>N/A</v>
      </c>
      <c r="GQ8" s="84">
        <f t="shared" si="5"/>
        <v>0</v>
      </c>
      <c r="GR8" s="84" t="str">
        <f t="shared" si="6"/>
        <v>N/A</v>
      </c>
      <c r="GS8" s="84" t="str">
        <f t="shared" si="7"/>
        <v>N/A</v>
      </c>
      <c r="GT8" s="84" t="str">
        <f t="shared" si="8"/>
        <v>N/A</v>
      </c>
      <c r="GU8" s="84" t="str">
        <f t="shared" si="9"/>
        <v>N/A</v>
      </c>
      <c r="GV8" s="84" t="str">
        <f t="shared" si="10"/>
        <v>N/A</v>
      </c>
      <c r="GW8" s="84" t="str">
        <f t="shared" si="11"/>
        <v>N/A</v>
      </c>
      <c r="GX8" s="84" t="str">
        <f t="shared" si="12"/>
        <v>N/A</v>
      </c>
      <c r="GY8" s="84" t="str">
        <f t="shared" si="13"/>
        <v>N/A</v>
      </c>
      <c r="GZ8" s="84" t="str">
        <f t="shared" si="14"/>
        <v>N/A</v>
      </c>
      <c r="HA8" s="84" t="str">
        <f t="shared" si="15"/>
        <v>N/A</v>
      </c>
      <c r="HB8" s="84" t="str">
        <f t="shared" si="16"/>
        <v>N/A</v>
      </c>
      <c r="HC8" s="84" t="str">
        <f t="shared" si="17"/>
        <v>N/A</v>
      </c>
      <c r="HD8" s="84">
        <f t="shared" si="18"/>
        <v>33.299999999999997</v>
      </c>
      <c r="HE8" s="84">
        <f t="shared" si="19"/>
        <v>49.466666666666669</v>
      </c>
      <c r="HF8" s="85">
        <f t="shared" si="20"/>
        <v>49.466666666666669</v>
      </c>
      <c r="HG8" s="85" cm="1">
        <f t="array" ref="HG8">INDEX($HB8:$HD8,MATCH(TRUE,INDEX(ISNUMBER($HB8:$HD8),0),0))</f>
        <v>33.299999999999997</v>
      </c>
      <c r="HH8" s="82">
        <f t="shared" si="21"/>
        <v>0</v>
      </c>
      <c r="HI8" s="82">
        <f t="shared" si="22"/>
        <v>0</v>
      </c>
      <c r="HJ8" s="82">
        <f t="shared" si="23"/>
        <v>0</v>
      </c>
      <c r="HK8" s="117" t="str">
        <f t="shared" si="24"/>
        <v>0</v>
      </c>
    </row>
    <row r="9" spans="1:219" ht="15" customHeight="1" x14ac:dyDescent="0.3">
      <c r="A9" s="48">
        <v>4369011124</v>
      </c>
      <c r="B9" s="46" t="s">
        <v>220</v>
      </c>
      <c r="C9" s="42" t="s">
        <v>221</v>
      </c>
      <c r="D9" s="43" t="s">
        <v>220</v>
      </c>
      <c r="E9" s="48" t="s">
        <v>221</v>
      </c>
      <c r="F9" s="48" t="s">
        <v>221</v>
      </c>
      <c r="G9" s="48" t="s">
        <v>221</v>
      </c>
      <c r="H9" s="72" t="s">
        <v>221</v>
      </c>
      <c r="I9" s="48" t="s">
        <v>319</v>
      </c>
      <c r="J9" s="48" t="s">
        <v>221</v>
      </c>
      <c r="K9" s="72" t="s">
        <v>221</v>
      </c>
      <c r="L9" s="48" t="s">
        <v>320</v>
      </c>
      <c r="M9" s="48" t="s">
        <v>321</v>
      </c>
      <c r="N9" s="48" t="s">
        <v>226</v>
      </c>
      <c r="O9" s="48" t="s">
        <v>322</v>
      </c>
      <c r="P9" s="74">
        <v>44651</v>
      </c>
      <c r="Q9" s="42" t="s">
        <v>286</v>
      </c>
      <c r="R9" s="83" t="s">
        <v>221</v>
      </c>
      <c r="S9" s="83" t="s">
        <v>221</v>
      </c>
      <c r="T9" s="83" t="s">
        <v>221</v>
      </c>
      <c r="U9" s="83" t="s">
        <v>221</v>
      </c>
      <c r="V9" s="83" t="s">
        <v>221</v>
      </c>
      <c r="W9" s="43" t="s">
        <v>221</v>
      </c>
      <c r="X9" s="43" t="s">
        <v>221</v>
      </c>
      <c r="Y9" s="43" t="s">
        <v>221</v>
      </c>
      <c r="Z9" s="75" t="s">
        <v>221</v>
      </c>
      <c r="AA9" s="43" t="s">
        <v>221</v>
      </c>
      <c r="AB9" s="43" t="s">
        <v>221</v>
      </c>
      <c r="AC9" s="43" t="s">
        <v>221</v>
      </c>
      <c r="AD9" s="43" t="s">
        <v>221</v>
      </c>
      <c r="AE9" s="75" t="s">
        <v>221</v>
      </c>
      <c r="AF9" s="43" t="s">
        <v>221</v>
      </c>
      <c r="AG9" s="43" t="s">
        <v>221</v>
      </c>
      <c r="AH9" s="43" t="s">
        <v>221</v>
      </c>
      <c r="AI9" s="43" t="s">
        <v>221</v>
      </c>
      <c r="AJ9" s="75" t="s">
        <v>221</v>
      </c>
      <c r="AK9" s="43" t="s">
        <v>221</v>
      </c>
      <c r="AL9" s="50" t="s">
        <v>221</v>
      </c>
      <c r="AM9" s="48" t="s">
        <v>221</v>
      </c>
      <c r="AN9" s="48" t="s">
        <v>221</v>
      </c>
      <c r="AO9" s="74" t="s">
        <v>221</v>
      </c>
      <c r="AP9" s="42" t="s">
        <v>221</v>
      </c>
      <c r="AQ9" s="50" t="s">
        <v>230</v>
      </c>
      <c r="AR9" s="72">
        <v>12341</v>
      </c>
      <c r="AS9" s="74">
        <v>44651</v>
      </c>
      <c r="AT9" s="67">
        <f t="shared" si="0"/>
        <v>88</v>
      </c>
      <c r="AU9" s="51" t="s">
        <v>323</v>
      </c>
      <c r="AV9" s="42" t="s">
        <v>290</v>
      </c>
      <c r="AW9" s="43" t="s">
        <v>221</v>
      </c>
      <c r="AX9" s="48" t="s">
        <v>221</v>
      </c>
      <c r="AY9" s="48" t="s">
        <v>221</v>
      </c>
      <c r="AZ9" s="48" t="s">
        <v>292</v>
      </c>
      <c r="BA9" s="48" t="s">
        <v>324</v>
      </c>
      <c r="BB9" s="48" t="s">
        <v>325</v>
      </c>
      <c r="BC9" s="49" t="s">
        <v>308</v>
      </c>
      <c r="BD9" s="45" t="s">
        <v>236</v>
      </c>
      <c r="BE9" s="51" t="s">
        <v>294</v>
      </c>
      <c r="BF9" s="42" t="s">
        <v>220</v>
      </c>
      <c r="BG9" s="79" t="s">
        <v>221</v>
      </c>
      <c r="BH9" s="79" t="s">
        <v>221</v>
      </c>
      <c r="BI9" s="79" t="s">
        <v>221</v>
      </c>
      <c r="BJ9" s="79" t="s">
        <v>221</v>
      </c>
      <c r="BK9" s="79" t="s">
        <v>221</v>
      </c>
      <c r="BL9" s="79" t="s">
        <v>221</v>
      </c>
      <c r="BM9" s="79" t="s">
        <v>221</v>
      </c>
      <c r="BN9" s="79" t="s">
        <v>221</v>
      </c>
      <c r="BO9" s="79" t="s">
        <v>221</v>
      </c>
      <c r="BP9" s="79" t="s">
        <v>221</v>
      </c>
      <c r="BQ9" s="79" t="s">
        <v>221</v>
      </c>
      <c r="BR9" s="79" t="s">
        <v>221</v>
      </c>
      <c r="BS9" s="79" t="s">
        <v>221</v>
      </c>
      <c r="BT9" s="79" t="s">
        <v>221</v>
      </c>
      <c r="BU9" s="79" t="s">
        <v>221</v>
      </c>
      <c r="BV9" s="79" t="s">
        <v>221</v>
      </c>
      <c r="BW9" s="79" t="s">
        <v>221</v>
      </c>
      <c r="BX9" s="79" t="s">
        <v>221</v>
      </c>
      <c r="BY9" s="79" t="s">
        <v>221</v>
      </c>
      <c r="BZ9" s="79" t="s">
        <v>221</v>
      </c>
      <c r="CA9" s="79" t="s">
        <v>221</v>
      </c>
      <c r="CB9" s="79" t="s">
        <v>221</v>
      </c>
      <c r="CC9" s="79" t="s">
        <v>221</v>
      </c>
      <c r="CD9" s="79" t="s">
        <v>221</v>
      </c>
      <c r="CE9" s="79" t="s">
        <v>221</v>
      </c>
      <c r="CF9" s="79" t="s">
        <v>221</v>
      </c>
      <c r="CG9" s="79" t="s">
        <v>221</v>
      </c>
      <c r="CH9" s="79" t="s">
        <v>221</v>
      </c>
      <c r="CI9" s="79" t="s">
        <v>221</v>
      </c>
      <c r="CJ9" s="79" t="s">
        <v>221</v>
      </c>
      <c r="CK9" s="79" t="s">
        <v>221</v>
      </c>
      <c r="CL9" s="79" t="s">
        <v>221</v>
      </c>
      <c r="CM9" s="79" t="s">
        <v>221</v>
      </c>
      <c r="CN9" s="79" t="s">
        <v>221</v>
      </c>
      <c r="CO9" s="79" t="s">
        <v>221</v>
      </c>
      <c r="CP9" s="79" t="s">
        <v>221</v>
      </c>
      <c r="CQ9" s="79" t="s">
        <v>221</v>
      </c>
      <c r="CR9" s="79" t="s">
        <v>221</v>
      </c>
      <c r="CS9" s="79" t="s">
        <v>221</v>
      </c>
      <c r="CT9" s="79" t="s">
        <v>221</v>
      </c>
      <c r="CU9" s="79" t="s">
        <v>221</v>
      </c>
      <c r="CV9" s="79" t="s">
        <v>221</v>
      </c>
      <c r="CW9" s="79" t="s">
        <v>221</v>
      </c>
      <c r="CX9" s="79" t="s">
        <v>221</v>
      </c>
      <c r="CY9" s="79" t="s">
        <v>221</v>
      </c>
      <c r="CZ9" s="79" t="s">
        <v>221</v>
      </c>
      <c r="DA9" s="79" t="s">
        <v>221</v>
      </c>
      <c r="DB9" s="79" t="s">
        <v>221</v>
      </c>
      <c r="DC9" s="79" t="s">
        <v>221</v>
      </c>
      <c r="DD9" s="79" t="s">
        <v>221</v>
      </c>
      <c r="DE9" s="79" t="s">
        <v>221</v>
      </c>
      <c r="DF9" s="79" t="s">
        <v>221</v>
      </c>
      <c r="DG9" s="79" t="s">
        <v>221</v>
      </c>
      <c r="DH9" s="79" t="s">
        <v>221</v>
      </c>
      <c r="DI9" s="79" t="s">
        <v>221</v>
      </c>
      <c r="DJ9" s="79" t="s">
        <v>221</v>
      </c>
      <c r="DK9" s="79" t="s">
        <v>221</v>
      </c>
      <c r="DL9" s="79" t="s">
        <v>221</v>
      </c>
      <c r="DM9" s="79" t="s">
        <v>221</v>
      </c>
      <c r="DN9" s="79" t="s">
        <v>221</v>
      </c>
      <c r="DO9" s="79" t="s">
        <v>221</v>
      </c>
      <c r="DP9" s="79" t="s">
        <v>221</v>
      </c>
      <c r="DQ9" s="79" t="s">
        <v>221</v>
      </c>
      <c r="DR9" s="79" t="s">
        <v>221</v>
      </c>
      <c r="DS9" s="79" t="s">
        <v>221</v>
      </c>
      <c r="DT9" s="79" t="s">
        <v>221</v>
      </c>
      <c r="DU9" s="79" t="s">
        <v>221</v>
      </c>
      <c r="DV9" s="79" t="s">
        <v>221</v>
      </c>
      <c r="DW9" s="79" t="s">
        <v>221</v>
      </c>
      <c r="DX9" s="79" t="s">
        <v>221</v>
      </c>
      <c r="DY9" s="79" t="s">
        <v>221</v>
      </c>
      <c r="DZ9" s="79" t="s">
        <v>221</v>
      </c>
      <c r="EA9" s="79" t="s">
        <v>221</v>
      </c>
      <c r="EB9" s="79" t="s">
        <v>221</v>
      </c>
      <c r="EC9" s="79" t="s">
        <v>221</v>
      </c>
      <c r="ED9" s="79" t="s">
        <v>221</v>
      </c>
      <c r="EE9" s="79" t="s">
        <v>221</v>
      </c>
      <c r="EF9" s="79" t="s">
        <v>221</v>
      </c>
      <c r="EG9" s="79" t="s">
        <v>221</v>
      </c>
      <c r="EH9" s="79" t="s">
        <v>221</v>
      </c>
      <c r="EI9" s="79" t="s">
        <v>221</v>
      </c>
      <c r="EJ9" s="79" t="s">
        <v>221</v>
      </c>
      <c r="EK9" s="79" t="s">
        <v>221</v>
      </c>
      <c r="EL9" s="79" t="s">
        <v>221</v>
      </c>
      <c r="EM9" s="79" t="s">
        <v>221</v>
      </c>
      <c r="EN9" s="79" t="s">
        <v>221</v>
      </c>
      <c r="EO9" s="79" t="s">
        <v>221</v>
      </c>
      <c r="EP9" s="79" t="s">
        <v>221</v>
      </c>
      <c r="EQ9" s="79" t="s">
        <v>221</v>
      </c>
      <c r="ER9" s="79" t="s">
        <v>221</v>
      </c>
      <c r="ES9" s="79" t="s">
        <v>221</v>
      </c>
      <c r="ET9" s="79" t="s">
        <v>221</v>
      </c>
      <c r="EU9" s="79" t="s">
        <v>221</v>
      </c>
      <c r="EV9" s="79" t="s">
        <v>221</v>
      </c>
      <c r="EW9" s="79" t="s">
        <v>221</v>
      </c>
      <c r="EX9" s="79" t="s">
        <v>221</v>
      </c>
      <c r="EY9" s="79" t="s">
        <v>221</v>
      </c>
      <c r="EZ9" s="79" t="s">
        <v>221</v>
      </c>
      <c r="FA9" s="79" t="s">
        <v>221</v>
      </c>
      <c r="FB9" s="79" t="s">
        <v>221</v>
      </c>
      <c r="FC9" s="79" t="s">
        <v>221</v>
      </c>
      <c r="FD9" s="79" t="s">
        <v>221</v>
      </c>
      <c r="FE9" s="79" t="s">
        <v>221</v>
      </c>
      <c r="FF9" s="79" t="s">
        <v>221</v>
      </c>
      <c r="FG9" s="79" t="s">
        <v>221</v>
      </c>
      <c r="FH9" s="79" t="s">
        <v>221</v>
      </c>
      <c r="FI9" s="79" t="s">
        <v>221</v>
      </c>
      <c r="FJ9" s="79" t="s">
        <v>221</v>
      </c>
      <c r="FK9" s="79" t="s">
        <v>221</v>
      </c>
      <c r="FL9" s="79" t="s">
        <v>221</v>
      </c>
      <c r="FM9" s="79" t="s">
        <v>221</v>
      </c>
      <c r="FN9" s="79" t="s">
        <v>221</v>
      </c>
      <c r="FO9" s="79" t="s">
        <v>221</v>
      </c>
      <c r="FP9" s="79" t="s">
        <v>221</v>
      </c>
      <c r="FQ9" s="79" t="s">
        <v>221</v>
      </c>
      <c r="FR9" s="79" t="s">
        <v>221</v>
      </c>
      <c r="FS9" s="79" t="s">
        <v>221</v>
      </c>
      <c r="FT9" s="79" t="s">
        <v>221</v>
      </c>
      <c r="FU9" s="79" t="s">
        <v>221</v>
      </c>
      <c r="FV9" s="79" t="s">
        <v>221</v>
      </c>
      <c r="FW9" s="79" t="s">
        <v>221</v>
      </c>
      <c r="FX9" s="79" t="s">
        <v>221</v>
      </c>
      <c r="FY9" s="79" t="s">
        <v>221</v>
      </c>
      <c r="FZ9" s="79" t="s">
        <v>221</v>
      </c>
      <c r="GA9" s="79" t="s">
        <v>221</v>
      </c>
      <c r="GB9" s="79" t="s">
        <v>221</v>
      </c>
      <c r="GC9" s="79" t="s">
        <v>221</v>
      </c>
      <c r="GD9" s="79" t="s">
        <v>221</v>
      </c>
      <c r="GE9" s="79" t="s">
        <v>221</v>
      </c>
      <c r="GF9" s="45" t="s">
        <v>259</v>
      </c>
      <c r="GG9" s="76">
        <v>44714</v>
      </c>
      <c r="GH9" s="42" t="s">
        <v>222</v>
      </c>
      <c r="GI9" s="50" t="s">
        <v>233</v>
      </c>
      <c r="GJ9" s="72">
        <v>44678</v>
      </c>
      <c r="GK9" s="72" t="s">
        <v>221</v>
      </c>
      <c r="GL9" s="72" t="s">
        <v>221</v>
      </c>
      <c r="GM9" s="84" t="str">
        <f t="shared" si="1"/>
        <v>N/A</v>
      </c>
      <c r="GN9" s="84" t="str">
        <f t="shared" si="2"/>
        <v>N/A</v>
      </c>
      <c r="GO9" s="84" t="str">
        <f t="shared" si="3"/>
        <v>N/A</v>
      </c>
      <c r="GP9" s="84" t="str">
        <f t="shared" si="4"/>
        <v>N/A</v>
      </c>
      <c r="GQ9" s="84">
        <f t="shared" si="5"/>
        <v>0</v>
      </c>
      <c r="GR9" s="84" t="str">
        <f t="shared" si="6"/>
        <v>N/A</v>
      </c>
      <c r="GS9" s="84" t="str">
        <f t="shared" si="7"/>
        <v>N/A</v>
      </c>
      <c r="GT9" s="84" t="str">
        <f t="shared" si="8"/>
        <v>N/A</v>
      </c>
      <c r="GU9" s="84" t="str">
        <f t="shared" si="9"/>
        <v>N/A</v>
      </c>
      <c r="GV9" s="84" t="str">
        <f t="shared" si="10"/>
        <v>N/A</v>
      </c>
      <c r="GW9" s="84" t="str">
        <f t="shared" si="11"/>
        <v>N/A</v>
      </c>
      <c r="GX9" s="84" t="str">
        <f t="shared" si="12"/>
        <v>N/A</v>
      </c>
      <c r="GY9" s="84" t="str">
        <f t="shared" si="13"/>
        <v>N/A</v>
      </c>
      <c r="GZ9" s="84" t="str">
        <f t="shared" si="14"/>
        <v>N/A</v>
      </c>
      <c r="HA9" s="84" t="str">
        <f t="shared" si="15"/>
        <v>N/A</v>
      </c>
      <c r="HB9" s="84" t="str">
        <f t="shared" si="16"/>
        <v>N/A</v>
      </c>
      <c r="HC9" s="84">
        <f t="shared" si="17"/>
        <v>2.1</v>
      </c>
      <c r="HD9" s="84">
        <f t="shared" si="18"/>
        <v>0.9</v>
      </c>
      <c r="HE9" s="84" t="str">
        <f t="shared" si="19"/>
        <v>N/A</v>
      </c>
      <c r="HF9" s="85">
        <f t="shared" si="20"/>
        <v>2.1</v>
      </c>
      <c r="HG9" s="85" cm="1">
        <f t="array" ref="HG9">INDEX($HB9:$HD9,MATCH(TRUE,INDEX(ISNUMBER($HB9:$HD9),0),0))</f>
        <v>2.1</v>
      </c>
      <c r="HH9" s="82">
        <f t="shared" si="21"/>
        <v>0</v>
      </c>
      <c r="HI9" s="82">
        <f t="shared" si="22"/>
        <v>1</v>
      </c>
      <c r="HJ9" s="82">
        <f t="shared" si="23"/>
        <v>1</v>
      </c>
      <c r="HK9" s="117" t="str">
        <f t="shared" si="24"/>
        <v>1</v>
      </c>
    </row>
    <row r="10" spans="1:219" ht="15" customHeight="1" x14ac:dyDescent="0.3">
      <c r="A10" s="48">
        <v>4860516370</v>
      </c>
      <c r="B10" s="46" t="s">
        <v>220</v>
      </c>
      <c r="C10" s="42" t="s">
        <v>221</v>
      </c>
      <c r="D10" s="43" t="s">
        <v>222</v>
      </c>
      <c r="E10" s="48" t="s">
        <v>221</v>
      </c>
      <c r="F10" s="48" t="s">
        <v>221</v>
      </c>
      <c r="G10" s="48" t="s">
        <v>221</v>
      </c>
      <c r="H10" s="72" t="s">
        <v>221</v>
      </c>
      <c r="I10" t="s">
        <v>326</v>
      </c>
      <c r="J10" s="48" t="s">
        <v>221</v>
      </c>
      <c r="K10" s="72" t="s">
        <v>221</v>
      </c>
      <c r="L10" s="48" t="s">
        <v>327</v>
      </c>
      <c r="M10" s="48" t="s">
        <v>328</v>
      </c>
      <c r="N10" s="48" t="s">
        <v>284</v>
      </c>
      <c r="O10" s="48" t="s">
        <v>329</v>
      </c>
      <c r="P10" s="74">
        <v>44847</v>
      </c>
      <c r="Q10" s="42" t="s">
        <v>228</v>
      </c>
      <c r="R10" s="50" t="s">
        <v>328</v>
      </c>
      <c r="S10" s="48" t="s">
        <v>226</v>
      </c>
      <c r="T10" s="48" t="s">
        <v>329</v>
      </c>
      <c r="U10" s="74">
        <v>44847</v>
      </c>
      <c r="V10" s="42" t="s">
        <v>228</v>
      </c>
      <c r="W10" s="43" t="s">
        <v>221</v>
      </c>
      <c r="X10" s="43" t="s">
        <v>221</v>
      </c>
      <c r="Y10" s="43" t="s">
        <v>221</v>
      </c>
      <c r="Z10" s="75" t="s">
        <v>221</v>
      </c>
      <c r="AA10" s="43" t="s">
        <v>221</v>
      </c>
      <c r="AB10" s="43" t="s">
        <v>221</v>
      </c>
      <c r="AC10" s="43" t="s">
        <v>221</v>
      </c>
      <c r="AD10" s="43" t="s">
        <v>221</v>
      </c>
      <c r="AE10" s="75" t="s">
        <v>221</v>
      </c>
      <c r="AF10" s="43" t="s">
        <v>221</v>
      </c>
      <c r="AG10" s="43" t="s">
        <v>221</v>
      </c>
      <c r="AH10" s="43" t="s">
        <v>221</v>
      </c>
      <c r="AI10" s="43" t="s">
        <v>221</v>
      </c>
      <c r="AJ10" s="75" t="s">
        <v>221</v>
      </c>
      <c r="AK10" s="43" t="s">
        <v>221</v>
      </c>
      <c r="AL10" s="50" t="s">
        <v>221</v>
      </c>
      <c r="AM10" s="48" t="s">
        <v>221</v>
      </c>
      <c r="AN10" s="48" t="s">
        <v>221</v>
      </c>
      <c r="AO10" s="74" t="s">
        <v>221</v>
      </c>
      <c r="AP10" s="42" t="s">
        <v>221</v>
      </c>
      <c r="AQ10" s="50" t="s">
        <v>230</v>
      </c>
      <c r="AR10" s="72">
        <v>21608</v>
      </c>
      <c r="AS10" s="74">
        <v>43328</v>
      </c>
      <c r="AT10" s="67">
        <f t="shared" si="0"/>
        <v>59</v>
      </c>
      <c r="AU10" s="51" t="s">
        <v>231</v>
      </c>
      <c r="AV10" s="42" t="s">
        <v>232</v>
      </c>
      <c r="AW10" s="43" t="s">
        <v>221</v>
      </c>
      <c r="AX10" s="48" t="s">
        <v>221</v>
      </c>
      <c r="AY10" s="48" t="s">
        <v>221</v>
      </c>
      <c r="AZ10" s="48" t="s">
        <v>292</v>
      </c>
      <c r="BA10" s="48" t="s">
        <v>330</v>
      </c>
      <c r="BB10" s="48" t="s">
        <v>331</v>
      </c>
      <c r="BC10" s="49">
        <v>2</v>
      </c>
      <c r="BD10" s="45" t="s">
        <v>236</v>
      </c>
      <c r="BE10" s="51" t="s">
        <v>332</v>
      </c>
      <c r="BF10" s="42" t="s">
        <v>222</v>
      </c>
      <c r="BG10" s="79" t="s">
        <v>221</v>
      </c>
      <c r="BH10" s="44" t="s">
        <v>241</v>
      </c>
      <c r="BI10" s="48" t="s">
        <v>333</v>
      </c>
      <c r="BJ10" s="72">
        <v>43368</v>
      </c>
      <c r="BK10" s="72">
        <v>43368</v>
      </c>
      <c r="BL10" s="48" t="s">
        <v>233</v>
      </c>
      <c r="BM10" s="44" t="s">
        <v>334</v>
      </c>
      <c r="BN10" s="48" t="s">
        <v>335</v>
      </c>
      <c r="BO10" s="48" t="s">
        <v>250</v>
      </c>
      <c r="BP10" s="44" t="s">
        <v>245</v>
      </c>
      <c r="BQ10" s="48" t="s">
        <v>336</v>
      </c>
      <c r="BR10" s="48" t="s">
        <v>255</v>
      </c>
      <c r="BS10" s="44" t="s">
        <v>221</v>
      </c>
      <c r="BT10" s="44" t="s">
        <v>221</v>
      </c>
      <c r="BU10" s="44" t="s">
        <v>221</v>
      </c>
      <c r="BV10" s="44" t="s">
        <v>221</v>
      </c>
      <c r="BW10" s="44" t="s">
        <v>221</v>
      </c>
      <c r="BX10" s="44" t="s">
        <v>221</v>
      </c>
      <c r="BY10" s="44" t="s">
        <v>221</v>
      </c>
      <c r="BZ10" s="44" t="s">
        <v>221</v>
      </c>
      <c r="CA10" s="44" t="s">
        <v>221</v>
      </c>
      <c r="CB10" s="44" t="s">
        <v>221</v>
      </c>
      <c r="CC10" s="44" t="s">
        <v>221</v>
      </c>
      <c r="CD10" s="44" t="s">
        <v>221</v>
      </c>
      <c r="CE10" s="44" t="s">
        <v>221</v>
      </c>
      <c r="CF10" s="44" t="s">
        <v>221</v>
      </c>
      <c r="CG10" s="44" t="s">
        <v>221</v>
      </c>
      <c r="CH10" s="44" t="s">
        <v>221</v>
      </c>
      <c r="CI10" s="44" t="s">
        <v>221</v>
      </c>
      <c r="CJ10" s="44" t="s">
        <v>221</v>
      </c>
      <c r="CK10" s="44" t="s">
        <v>221</v>
      </c>
      <c r="CL10" s="44" t="s">
        <v>221</v>
      </c>
      <c r="CM10" s="44" t="s">
        <v>221</v>
      </c>
      <c r="CN10" s="44" t="s">
        <v>221</v>
      </c>
      <c r="CO10" s="44" t="s">
        <v>221</v>
      </c>
      <c r="CP10" s="44" t="s">
        <v>221</v>
      </c>
      <c r="CQ10" s="44" t="s">
        <v>221</v>
      </c>
      <c r="CR10" s="44" t="s">
        <v>221</v>
      </c>
      <c r="CS10" s="44" t="s">
        <v>221</v>
      </c>
      <c r="CT10" s="44" t="s">
        <v>221</v>
      </c>
      <c r="CU10" s="44" t="s">
        <v>221</v>
      </c>
      <c r="CV10" s="44" t="s">
        <v>221</v>
      </c>
      <c r="CW10" s="44" t="s">
        <v>221</v>
      </c>
      <c r="CX10" s="44" t="s">
        <v>221</v>
      </c>
      <c r="CY10" s="44" t="s">
        <v>221</v>
      </c>
      <c r="CZ10" s="44" t="s">
        <v>221</v>
      </c>
      <c r="DA10" s="44" t="s">
        <v>221</v>
      </c>
      <c r="DB10" s="44" t="s">
        <v>221</v>
      </c>
      <c r="DC10" s="44" t="s">
        <v>221</v>
      </c>
      <c r="DD10" s="44" t="s">
        <v>221</v>
      </c>
      <c r="DE10" s="44" t="s">
        <v>221</v>
      </c>
      <c r="DF10" s="44" t="s">
        <v>221</v>
      </c>
      <c r="DG10" s="44" t="s">
        <v>221</v>
      </c>
      <c r="DH10" s="44" t="s">
        <v>221</v>
      </c>
      <c r="DI10" s="44" t="s">
        <v>221</v>
      </c>
      <c r="DJ10" s="44" t="s">
        <v>221</v>
      </c>
      <c r="DK10" s="44" t="s">
        <v>221</v>
      </c>
      <c r="DL10" s="44" t="s">
        <v>221</v>
      </c>
      <c r="DM10" s="44" t="s">
        <v>221</v>
      </c>
      <c r="DN10" s="44" t="s">
        <v>221</v>
      </c>
      <c r="DO10" s="44" t="s">
        <v>221</v>
      </c>
      <c r="DP10" s="44" t="s">
        <v>221</v>
      </c>
      <c r="DQ10" s="44" t="s">
        <v>221</v>
      </c>
      <c r="DR10" s="44" t="s">
        <v>221</v>
      </c>
      <c r="DS10" s="44" t="s">
        <v>221</v>
      </c>
      <c r="DT10" s="44" t="s">
        <v>221</v>
      </c>
      <c r="DU10" s="44" t="s">
        <v>221</v>
      </c>
      <c r="DV10" s="44" t="s">
        <v>221</v>
      </c>
      <c r="DW10" s="44" t="s">
        <v>221</v>
      </c>
      <c r="DX10" s="44" t="s">
        <v>221</v>
      </c>
      <c r="DY10" s="44" t="s">
        <v>221</v>
      </c>
      <c r="DZ10" s="44" t="s">
        <v>221</v>
      </c>
      <c r="EA10" s="44" t="s">
        <v>221</v>
      </c>
      <c r="EB10" s="44" t="s">
        <v>221</v>
      </c>
      <c r="EC10" s="44" t="s">
        <v>221</v>
      </c>
      <c r="ED10" s="44" t="s">
        <v>221</v>
      </c>
      <c r="EE10" s="44" t="s">
        <v>221</v>
      </c>
      <c r="EF10" s="44" t="s">
        <v>221</v>
      </c>
      <c r="EG10" s="44" t="s">
        <v>221</v>
      </c>
      <c r="EH10" s="44" t="s">
        <v>221</v>
      </c>
      <c r="EI10" s="72">
        <v>43774</v>
      </c>
      <c r="EJ10" s="48" t="s">
        <v>337</v>
      </c>
      <c r="EK10" s="44" t="s">
        <v>334</v>
      </c>
      <c r="EL10" s="48" t="s">
        <v>338</v>
      </c>
      <c r="EM10" s="72">
        <v>43797</v>
      </c>
      <c r="EN10" s="72">
        <v>44831</v>
      </c>
      <c r="EO10" s="48" t="s">
        <v>278</v>
      </c>
      <c r="EP10" s="44" t="s">
        <v>221</v>
      </c>
      <c r="EQ10" s="48" t="s">
        <v>221</v>
      </c>
      <c r="ER10" s="48" t="s">
        <v>221</v>
      </c>
      <c r="ES10" s="48" t="s">
        <v>221</v>
      </c>
      <c r="ET10" s="48" t="s">
        <v>221</v>
      </c>
      <c r="EU10" s="48" t="s">
        <v>221</v>
      </c>
      <c r="EV10" s="48" t="s">
        <v>221</v>
      </c>
      <c r="EW10" s="48" t="s">
        <v>221</v>
      </c>
      <c r="EX10" s="48" t="s">
        <v>221</v>
      </c>
      <c r="EY10" s="48" t="s">
        <v>221</v>
      </c>
      <c r="EZ10" s="48" t="s">
        <v>221</v>
      </c>
      <c r="FA10" s="48" t="s">
        <v>221</v>
      </c>
      <c r="FB10" s="48" t="s">
        <v>221</v>
      </c>
      <c r="FC10" s="48" t="s">
        <v>221</v>
      </c>
      <c r="FD10" s="48" t="s">
        <v>221</v>
      </c>
      <c r="FE10" s="48" t="s">
        <v>221</v>
      </c>
      <c r="FF10" s="48" t="s">
        <v>221</v>
      </c>
      <c r="FG10" s="48" t="s">
        <v>221</v>
      </c>
      <c r="FH10" s="48" t="s">
        <v>221</v>
      </c>
      <c r="FI10" s="48" t="s">
        <v>221</v>
      </c>
      <c r="FJ10" s="48" t="s">
        <v>221</v>
      </c>
      <c r="FK10" s="48" t="s">
        <v>221</v>
      </c>
      <c r="FL10" s="48" t="s">
        <v>221</v>
      </c>
      <c r="FM10" s="48" t="s">
        <v>221</v>
      </c>
      <c r="FN10" s="48" t="s">
        <v>221</v>
      </c>
      <c r="FO10" s="48" t="s">
        <v>221</v>
      </c>
      <c r="FP10" s="48" t="s">
        <v>221</v>
      </c>
      <c r="FQ10" s="48" t="s">
        <v>221</v>
      </c>
      <c r="FR10" s="48" t="s">
        <v>221</v>
      </c>
      <c r="FS10" s="48" t="s">
        <v>221</v>
      </c>
      <c r="FT10" s="48" t="s">
        <v>221</v>
      </c>
      <c r="FU10" s="48" t="s">
        <v>221</v>
      </c>
      <c r="FV10" s="48" t="s">
        <v>221</v>
      </c>
      <c r="FW10" s="48" t="s">
        <v>221</v>
      </c>
      <c r="FX10" s="48" t="s">
        <v>221</v>
      </c>
      <c r="FY10" s="48" t="s">
        <v>221</v>
      </c>
      <c r="FZ10" s="48" t="s">
        <v>221</v>
      </c>
      <c r="GA10" s="48" t="s">
        <v>221</v>
      </c>
      <c r="GB10" s="48" t="s">
        <v>221</v>
      </c>
      <c r="GC10" s="48" t="s">
        <v>221</v>
      </c>
      <c r="GD10" s="48" t="s">
        <v>221</v>
      </c>
      <c r="GE10" s="48" t="s">
        <v>221</v>
      </c>
      <c r="GF10" s="45" t="s">
        <v>259</v>
      </c>
      <c r="GG10" s="76">
        <v>44986</v>
      </c>
      <c r="GH10" s="42" t="s">
        <v>222</v>
      </c>
      <c r="GI10" s="50" t="s">
        <v>233</v>
      </c>
      <c r="GJ10" s="72">
        <v>44911</v>
      </c>
      <c r="GK10" s="72" t="s">
        <v>221</v>
      </c>
      <c r="GL10" s="72" t="s">
        <v>221</v>
      </c>
      <c r="GM10" s="84">
        <f t="shared" si="1"/>
        <v>1.3333333333333333</v>
      </c>
      <c r="GN10" s="84">
        <f t="shared" si="2"/>
        <v>1.3333333333333333</v>
      </c>
      <c r="GO10" s="84" t="str">
        <f t="shared" si="3"/>
        <v>N/A</v>
      </c>
      <c r="GP10" s="84" t="str">
        <f t="shared" si="4"/>
        <v>N/A</v>
      </c>
      <c r="GQ10" s="84">
        <f t="shared" si="5"/>
        <v>50.633333333333333</v>
      </c>
      <c r="GR10" s="84">
        <f t="shared" si="6"/>
        <v>50.633333333333333</v>
      </c>
      <c r="GS10" s="84" t="str">
        <f t="shared" si="7"/>
        <v>N/A</v>
      </c>
      <c r="GT10" s="84" t="str">
        <f t="shared" si="8"/>
        <v>N/A</v>
      </c>
      <c r="GU10" s="84" t="str">
        <f t="shared" si="9"/>
        <v>N/A</v>
      </c>
      <c r="GV10" s="84" t="str">
        <f t="shared" si="10"/>
        <v>N/A</v>
      </c>
      <c r="GW10" s="84" t="str">
        <f t="shared" si="11"/>
        <v>N/A</v>
      </c>
      <c r="GX10" s="84" t="str">
        <f t="shared" si="12"/>
        <v>N/A</v>
      </c>
      <c r="GY10" s="84">
        <f t="shared" si="13"/>
        <v>14.866666666666667</v>
      </c>
      <c r="GZ10" s="84">
        <f t="shared" si="14"/>
        <v>15.633333333333333</v>
      </c>
      <c r="HA10" s="84">
        <f t="shared" si="15"/>
        <v>50.1</v>
      </c>
      <c r="HB10" s="84">
        <f t="shared" si="16"/>
        <v>14.866666666666667</v>
      </c>
      <c r="HC10" s="84">
        <f t="shared" si="17"/>
        <v>55.266666666666666</v>
      </c>
      <c r="HD10" s="84">
        <f t="shared" si="18"/>
        <v>52.766666666666666</v>
      </c>
      <c r="HE10" s="84" t="str">
        <f t="shared" si="19"/>
        <v>N/A</v>
      </c>
      <c r="HF10" s="85">
        <f t="shared" si="20"/>
        <v>55.266666666666666</v>
      </c>
      <c r="HG10" s="85" cm="1">
        <f t="array" ref="HG10">INDEX($HB10:$HD10,MATCH(TRUE,INDEX(ISNUMBER($HB10:$HD10),0),0))</f>
        <v>14.866666666666667</v>
      </c>
      <c r="HH10" s="82">
        <f t="shared" si="21"/>
        <v>1</v>
      </c>
      <c r="HI10" s="82">
        <f t="shared" si="22"/>
        <v>1</v>
      </c>
      <c r="HJ10" s="82">
        <f t="shared" si="23"/>
        <v>1</v>
      </c>
      <c r="HK10" s="117" t="str">
        <f t="shared" si="24"/>
        <v>1</v>
      </c>
    </row>
    <row r="11" spans="1:219" ht="15" customHeight="1" x14ac:dyDescent="0.3">
      <c r="A11" s="48">
        <v>4582709389</v>
      </c>
      <c r="B11" s="46" t="s">
        <v>220</v>
      </c>
      <c r="C11" s="42" t="s">
        <v>221</v>
      </c>
      <c r="D11" s="43" t="s">
        <v>222</v>
      </c>
      <c r="E11" s="48" t="s">
        <v>221</v>
      </c>
      <c r="F11" s="48" t="s">
        <v>221</v>
      </c>
      <c r="G11" s="48" t="s">
        <v>221</v>
      </c>
      <c r="H11" s="72" t="s">
        <v>221</v>
      </c>
      <c r="I11" s="48" t="s">
        <v>339</v>
      </c>
      <c r="J11" s="48" t="s">
        <v>221</v>
      </c>
      <c r="K11" s="72">
        <v>44013</v>
      </c>
      <c r="L11" s="48" t="s">
        <v>340</v>
      </c>
      <c r="M11" s="48" t="s">
        <v>341</v>
      </c>
      <c r="N11" s="48" t="s">
        <v>266</v>
      </c>
      <c r="O11" s="48" t="s">
        <v>342</v>
      </c>
      <c r="P11" s="74">
        <v>45120</v>
      </c>
      <c r="Q11" s="42" t="s">
        <v>286</v>
      </c>
      <c r="R11" s="83" t="s">
        <v>221</v>
      </c>
      <c r="S11" s="83" t="s">
        <v>221</v>
      </c>
      <c r="T11" s="83" t="s">
        <v>221</v>
      </c>
      <c r="U11" s="83" t="s">
        <v>221</v>
      </c>
      <c r="V11" s="83" t="s">
        <v>221</v>
      </c>
      <c r="W11" s="43" t="s">
        <v>221</v>
      </c>
      <c r="X11" s="43" t="s">
        <v>221</v>
      </c>
      <c r="Y11" s="43" t="s">
        <v>221</v>
      </c>
      <c r="Z11" s="75" t="s">
        <v>221</v>
      </c>
      <c r="AA11" s="43" t="s">
        <v>221</v>
      </c>
      <c r="AB11" s="43" t="s">
        <v>221</v>
      </c>
      <c r="AC11" s="43" t="s">
        <v>221</v>
      </c>
      <c r="AD11" s="43" t="s">
        <v>221</v>
      </c>
      <c r="AE11" s="75" t="s">
        <v>221</v>
      </c>
      <c r="AF11" s="43" t="s">
        <v>221</v>
      </c>
      <c r="AG11" s="43" t="s">
        <v>221</v>
      </c>
      <c r="AH11" s="43" t="s">
        <v>221</v>
      </c>
      <c r="AI11" s="43" t="s">
        <v>221</v>
      </c>
      <c r="AJ11" s="75" t="s">
        <v>221</v>
      </c>
      <c r="AK11" s="43" t="s">
        <v>221</v>
      </c>
      <c r="AL11" s="50" t="s">
        <v>221</v>
      </c>
      <c r="AM11" s="48" t="s">
        <v>221</v>
      </c>
      <c r="AN11" s="48" t="s">
        <v>221</v>
      </c>
      <c r="AO11" s="74" t="s">
        <v>221</v>
      </c>
      <c r="AP11" s="42" t="s">
        <v>221</v>
      </c>
      <c r="AQ11" s="50" t="s">
        <v>230</v>
      </c>
      <c r="AR11" s="72">
        <v>19883</v>
      </c>
      <c r="AS11" s="74">
        <v>43983</v>
      </c>
      <c r="AT11" s="67">
        <f t="shared" si="0"/>
        <v>65</v>
      </c>
      <c r="AU11" s="51" t="s">
        <v>343</v>
      </c>
      <c r="AV11" s="42" t="s">
        <v>232</v>
      </c>
      <c r="AW11" s="43" t="s">
        <v>222</v>
      </c>
      <c r="AX11" s="48">
        <v>2</v>
      </c>
      <c r="AY11" s="48">
        <v>0</v>
      </c>
      <c r="AZ11" s="48" t="s">
        <v>233</v>
      </c>
      <c r="BA11" s="48">
        <v>0</v>
      </c>
      <c r="BB11" s="48" t="s">
        <v>344</v>
      </c>
      <c r="BC11" s="49">
        <v>3</v>
      </c>
      <c r="BD11" s="45" t="s">
        <v>236</v>
      </c>
      <c r="BE11" s="51" t="s">
        <v>345</v>
      </c>
      <c r="BF11" s="42" t="s">
        <v>220</v>
      </c>
      <c r="BG11" s="79" t="s">
        <v>221</v>
      </c>
      <c r="BH11" s="79" t="s">
        <v>221</v>
      </c>
      <c r="BI11" s="79" t="s">
        <v>221</v>
      </c>
      <c r="BJ11" s="79" t="s">
        <v>221</v>
      </c>
      <c r="BK11" s="79" t="s">
        <v>221</v>
      </c>
      <c r="BL11" s="79" t="s">
        <v>221</v>
      </c>
      <c r="BM11" s="79" t="s">
        <v>221</v>
      </c>
      <c r="BN11" s="79" t="s">
        <v>221</v>
      </c>
      <c r="BO11" s="79" t="s">
        <v>221</v>
      </c>
      <c r="BP11" s="79" t="s">
        <v>221</v>
      </c>
      <c r="BQ11" s="79" t="s">
        <v>221</v>
      </c>
      <c r="BR11" s="79" t="s">
        <v>221</v>
      </c>
      <c r="BS11" s="79" t="s">
        <v>221</v>
      </c>
      <c r="BT11" s="79" t="s">
        <v>221</v>
      </c>
      <c r="BU11" s="79" t="s">
        <v>221</v>
      </c>
      <c r="BV11" s="79" t="s">
        <v>221</v>
      </c>
      <c r="BW11" s="79" t="s">
        <v>221</v>
      </c>
      <c r="BX11" s="79" t="s">
        <v>221</v>
      </c>
      <c r="BY11" s="79" t="s">
        <v>221</v>
      </c>
      <c r="BZ11" s="79" t="s">
        <v>221</v>
      </c>
      <c r="CA11" s="79" t="s">
        <v>221</v>
      </c>
      <c r="CB11" s="79" t="s">
        <v>221</v>
      </c>
      <c r="CC11" s="79" t="s">
        <v>221</v>
      </c>
      <c r="CD11" s="79" t="s">
        <v>221</v>
      </c>
      <c r="CE11" s="79" t="s">
        <v>221</v>
      </c>
      <c r="CF11" s="79" t="s">
        <v>221</v>
      </c>
      <c r="CG11" s="79" t="s">
        <v>221</v>
      </c>
      <c r="CH11" s="79" t="s">
        <v>221</v>
      </c>
      <c r="CI11" s="79" t="s">
        <v>221</v>
      </c>
      <c r="CJ11" s="79" t="s">
        <v>221</v>
      </c>
      <c r="CK11" s="79" t="s">
        <v>221</v>
      </c>
      <c r="CL11" s="79" t="s">
        <v>221</v>
      </c>
      <c r="CM11" s="79" t="s">
        <v>221</v>
      </c>
      <c r="CN11" s="44" t="s">
        <v>221</v>
      </c>
      <c r="CO11" s="44" t="s">
        <v>221</v>
      </c>
      <c r="CP11" s="44" t="s">
        <v>221</v>
      </c>
      <c r="CQ11" s="44" t="s">
        <v>221</v>
      </c>
      <c r="CR11" s="44" t="s">
        <v>221</v>
      </c>
      <c r="CS11" s="44" t="s">
        <v>221</v>
      </c>
      <c r="CT11" s="44" t="s">
        <v>221</v>
      </c>
      <c r="CU11" s="44" t="s">
        <v>221</v>
      </c>
      <c r="CV11" s="44" t="s">
        <v>221</v>
      </c>
      <c r="CW11" s="44" t="s">
        <v>221</v>
      </c>
      <c r="CX11" s="44" t="s">
        <v>221</v>
      </c>
      <c r="CY11" s="44" t="s">
        <v>221</v>
      </c>
      <c r="CZ11" s="44" t="s">
        <v>221</v>
      </c>
      <c r="DA11" s="44" t="s">
        <v>221</v>
      </c>
      <c r="DB11" s="44" t="s">
        <v>221</v>
      </c>
      <c r="DC11" s="44" t="s">
        <v>221</v>
      </c>
      <c r="DD11" s="44" t="s">
        <v>221</v>
      </c>
      <c r="DE11" s="44" t="s">
        <v>221</v>
      </c>
      <c r="DF11" s="44" t="s">
        <v>221</v>
      </c>
      <c r="DG11" s="44" t="s">
        <v>221</v>
      </c>
      <c r="DH11" s="44" t="s">
        <v>221</v>
      </c>
      <c r="DI11" s="44" t="s">
        <v>221</v>
      </c>
      <c r="DJ11" s="44" t="s">
        <v>221</v>
      </c>
      <c r="DK11" s="44" t="s">
        <v>221</v>
      </c>
      <c r="DL11" s="44" t="s">
        <v>221</v>
      </c>
      <c r="DM11" s="44" t="s">
        <v>221</v>
      </c>
      <c r="DN11" s="44" t="s">
        <v>221</v>
      </c>
      <c r="DO11" s="44" t="s">
        <v>221</v>
      </c>
      <c r="DP11" s="44" t="s">
        <v>221</v>
      </c>
      <c r="DQ11" s="44" t="s">
        <v>221</v>
      </c>
      <c r="DR11" s="44" t="s">
        <v>221</v>
      </c>
      <c r="DS11" s="44" t="s">
        <v>221</v>
      </c>
      <c r="DT11" s="44" t="s">
        <v>221</v>
      </c>
      <c r="DU11" s="44" t="s">
        <v>221</v>
      </c>
      <c r="DV11" s="44" t="s">
        <v>221</v>
      </c>
      <c r="DW11" s="44" t="s">
        <v>221</v>
      </c>
      <c r="DX11" s="44" t="s">
        <v>221</v>
      </c>
      <c r="DY11" s="44" t="s">
        <v>221</v>
      </c>
      <c r="DZ11" s="44" t="s">
        <v>221</v>
      </c>
      <c r="EA11" s="44" t="s">
        <v>221</v>
      </c>
      <c r="EB11" s="44" t="s">
        <v>221</v>
      </c>
      <c r="EC11" s="44" t="s">
        <v>221</v>
      </c>
      <c r="ED11" s="44" t="s">
        <v>221</v>
      </c>
      <c r="EE11" s="44" t="s">
        <v>221</v>
      </c>
      <c r="EF11" s="44" t="s">
        <v>221</v>
      </c>
      <c r="EG11" s="44" t="s">
        <v>221</v>
      </c>
      <c r="EH11" s="44" t="s">
        <v>221</v>
      </c>
      <c r="EI11" s="72">
        <v>45100</v>
      </c>
      <c r="EJ11" s="48" t="s">
        <v>346</v>
      </c>
      <c r="EK11" s="44" t="s">
        <v>221</v>
      </c>
      <c r="EL11" s="44" t="s">
        <v>221</v>
      </c>
      <c r="EM11" s="44" t="s">
        <v>221</v>
      </c>
      <c r="EN11" s="44" t="s">
        <v>221</v>
      </c>
      <c r="EO11" s="44" t="s">
        <v>221</v>
      </c>
      <c r="EP11" s="44" t="s">
        <v>221</v>
      </c>
      <c r="EQ11" s="44" t="s">
        <v>221</v>
      </c>
      <c r="ER11" s="44" t="s">
        <v>221</v>
      </c>
      <c r="ES11" s="44" t="s">
        <v>221</v>
      </c>
      <c r="ET11" s="44" t="s">
        <v>221</v>
      </c>
      <c r="EU11" s="44" t="s">
        <v>221</v>
      </c>
      <c r="EV11" s="44" t="s">
        <v>221</v>
      </c>
      <c r="EW11" s="44" t="s">
        <v>221</v>
      </c>
      <c r="EX11" s="44" t="s">
        <v>221</v>
      </c>
      <c r="EY11" s="44" t="s">
        <v>221</v>
      </c>
      <c r="EZ11" s="44" t="s">
        <v>221</v>
      </c>
      <c r="FA11" s="44" t="s">
        <v>221</v>
      </c>
      <c r="FB11" s="44" t="s">
        <v>221</v>
      </c>
      <c r="FC11" s="44" t="s">
        <v>221</v>
      </c>
      <c r="FD11" s="44" t="s">
        <v>221</v>
      </c>
      <c r="FE11" s="44" t="s">
        <v>221</v>
      </c>
      <c r="FF11" s="44" t="s">
        <v>221</v>
      </c>
      <c r="FG11" s="44" t="s">
        <v>221</v>
      </c>
      <c r="FH11" s="44" t="s">
        <v>221</v>
      </c>
      <c r="FI11" s="44" t="s">
        <v>221</v>
      </c>
      <c r="FJ11" s="44" t="s">
        <v>221</v>
      </c>
      <c r="FK11" s="44" t="s">
        <v>221</v>
      </c>
      <c r="FL11" s="44" t="s">
        <v>221</v>
      </c>
      <c r="FM11" s="44" t="s">
        <v>221</v>
      </c>
      <c r="FN11" s="44" t="s">
        <v>221</v>
      </c>
      <c r="FO11" s="44" t="s">
        <v>221</v>
      </c>
      <c r="FP11" s="44" t="s">
        <v>221</v>
      </c>
      <c r="FQ11" s="44" t="s">
        <v>221</v>
      </c>
      <c r="FR11" s="44" t="s">
        <v>221</v>
      </c>
      <c r="FS11" s="44" t="s">
        <v>221</v>
      </c>
      <c r="FT11" s="44" t="s">
        <v>221</v>
      </c>
      <c r="FU11" s="44" t="s">
        <v>221</v>
      </c>
      <c r="FV11" s="44" t="s">
        <v>221</v>
      </c>
      <c r="FW11" s="44" t="s">
        <v>221</v>
      </c>
      <c r="FX11" s="44" t="s">
        <v>221</v>
      </c>
      <c r="FY11" s="44" t="s">
        <v>221</v>
      </c>
      <c r="FZ11" s="44" t="s">
        <v>221</v>
      </c>
      <c r="GA11" s="44" t="s">
        <v>221</v>
      </c>
      <c r="GB11" s="44" t="s">
        <v>221</v>
      </c>
      <c r="GC11" s="44" t="s">
        <v>221</v>
      </c>
      <c r="GD11" s="44" t="s">
        <v>221</v>
      </c>
      <c r="GE11" s="44" t="s">
        <v>221</v>
      </c>
      <c r="GF11" s="45" t="s">
        <v>259</v>
      </c>
      <c r="GG11" s="76">
        <v>45123</v>
      </c>
      <c r="GH11" s="42" t="s">
        <v>222</v>
      </c>
      <c r="GI11" s="50" t="s">
        <v>347</v>
      </c>
      <c r="GJ11" s="72">
        <v>45120</v>
      </c>
      <c r="GK11" s="72" t="s">
        <v>221</v>
      </c>
      <c r="GL11" s="72" t="s">
        <v>348</v>
      </c>
      <c r="GM11" s="84" t="str">
        <f t="shared" si="1"/>
        <v>N/A</v>
      </c>
      <c r="GN11" s="84" t="str">
        <f t="shared" si="2"/>
        <v>N/A</v>
      </c>
      <c r="GO11" s="84" t="str">
        <f t="shared" si="3"/>
        <v>N/A</v>
      </c>
      <c r="GP11" s="84">
        <f t="shared" si="4"/>
        <v>1</v>
      </c>
      <c r="GQ11" s="84">
        <f t="shared" si="5"/>
        <v>37.9</v>
      </c>
      <c r="GR11" s="84" t="str">
        <f t="shared" si="6"/>
        <v>N/A</v>
      </c>
      <c r="GS11" s="84" t="str">
        <f t="shared" si="7"/>
        <v>N/A</v>
      </c>
      <c r="GT11" s="84" t="str">
        <f t="shared" si="8"/>
        <v>N/A</v>
      </c>
      <c r="GU11" s="84" t="str">
        <f t="shared" si="9"/>
        <v>N/A</v>
      </c>
      <c r="GV11" s="84" t="str">
        <f t="shared" si="10"/>
        <v>N/A</v>
      </c>
      <c r="GW11" s="84" t="str">
        <f t="shared" si="11"/>
        <v>N/A</v>
      </c>
      <c r="GX11" s="84" t="str">
        <f t="shared" si="12"/>
        <v>N/A</v>
      </c>
      <c r="GY11" s="84">
        <f t="shared" si="13"/>
        <v>37.233333333333334</v>
      </c>
      <c r="GZ11" s="84" t="str">
        <f t="shared" si="14"/>
        <v>N/A</v>
      </c>
      <c r="HA11" s="84" t="str">
        <f t="shared" si="15"/>
        <v>N/A</v>
      </c>
      <c r="HB11" s="84">
        <f t="shared" si="16"/>
        <v>37.233333333333334</v>
      </c>
      <c r="HC11" s="84">
        <f t="shared" si="17"/>
        <v>38</v>
      </c>
      <c r="HD11" s="84">
        <f t="shared" si="18"/>
        <v>37.9</v>
      </c>
      <c r="HE11" s="84" t="str">
        <f t="shared" si="19"/>
        <v>N/A</v>
      </c>
      <c r="HF11" s="85">
        <f t="shared" si="20"/>
        <v>38</v>
      </c>
      <c r="HG11" s="85" cm="1">
        <f t="array" ref="HG11">INDEX($HB11:$HD11,MATCH(TRUE,INDEX(ISNUMBER($HB11:$HD11),0),0))</f>
        <v>37.233333333333334</v>
      </c>
      <c r="HH11" s="82">
        <f t="shared" si="21"/>
        <v>1</v>
      </c>
      <c r="HI11" s="82">
        <f t="shared" si="22"/>
        <v>1</v>
      </c>
      <c r="HJ11" s="82">
        <f t="shared" si="23"/>
        <v>1</v>
      </c>
      <c r="HK11" s="117" t="str">
        <f t="shared" si="24"/>
        <v>1</v>
      </c>
    </row>
    <row r="12" spans="1:219" ht="15" customHeight="1" x14ac:dyDescent="0.3">
      <c r="A12" s="48">
        <v>6144924469</v>
      </c>
      <c r="B12" s="46" t="s">
        <v>220</v>
      </c>
      <c r="C12" s="42" t="s">
        <v>221</v>
      </c>
      <c r="D12" s="43" t="s">
        <v>222</v>
      </c>
      <c r="E12" s="48" t="s">
        <v>221</v>
      </c>
      <c r="F12" s="48" t="s">
        <v>221</v>
      </c>
      <c r="G12" s="48" t="s">
        <v>221</v>
      </c>
      <c r="H12" s="72" t="s">
        <v>221</v>
      </c>
      <c r="I12" s="48" t="s">
        <v>349</v>
      </c>
      <c r="J12" s="48" t="s">
        <v>221</v>
      </c>
      <c r="K12" s="72">
        <v>44337</v>
      </c>
      <c r="L12" s="48" t="s">
        <v>327</v>
      </c>
      <c r="M12" s="48" t="s">
        <v>350</v>
      </c>
      <c r="N12" s="48" t="s">
        <v>266</v>
      </c>
      <c r="O12" s="48" t="s">
        <v>351</v>
      </c>
      <c r="P12" s="74">
        <v>45222</v>
      </c>
      <c r="Q12" s="42" t="s">
        <v>228</v>
      </c>
      <c r="R12" s="83" t="s">
        <v>221</v>
      </c>
      <c r="S12" s="83" t="s">
        <v>221</v>
      </c>
      <c r="T12" s="83" t="s">
        <v>221</v>
      </c>
      <c r="U12" s="83" t="s">
        <v>221</v>
      </c>
      <c r="V12" s="83" t="s">
        <v>221</v>
      </c>
      <c r="W12" s="43" t="s">
        <v>221</v>
      </c>
      <c r="X12" s="43" t="s">
        <v>221</v>
      </c>
      <c r="Y12" s="43" t="s">
        <v>221</v>
      </c>
      <c r="Z12" s="75" t="s">
        <v>221</v>
      </c>
      <c r="AA12" s="43" t="s">
        <v>221</v>
      </c>
      <c r="AB12" s="43" t="s">
        <v>221</v>
      </c>
      <c r="AC12" s="43" t="s">
        <v>221</v>
      </c>
      <c r="AD12" s="43" t="s">
        <v>221</v>
      </c>
      <c r="AE12" s="75" t="s">
        <v>221</v>
      </c>
      <c r="AF12" s="43" t="s">
        <v>221</v>
      </c>
      <c r="AG12" s="43" t="s">
        <v>221</v>
      </c>
      <c r="AH12" s="43" t="s">
        <v>221</v>
      </c>
      <c r="AI12" s="43" t="s">
        <v>221</v>
      </c>
      <c r="AJ12" s="75" t="s">
        <v>221</v>
      </c>
      <c r="AK12" s="43" t="s">
        <v>221</v>
      </c>
      <c r="AL12" s="50" t="s">
        <v>221</v>
      </c>
      <c r="AM12" s="48" t="s">
        <v>221</v>
      </c>
      <c r="AN12" s="48" t="s">
        <v>221</v>
      </c>
      <c r="AO12" s="74" t="s">
        <v>221</v>
      </c>
      <c r="AP12" s="42" t="s">
        <v>221</v>
      </c>
      <c r="AQ12" s="50" t="s">
        <v>230</v>
      </c>
      <c r="AR12" s="72">
        <v>23948</v>
      </c>
      <c r="AS12" s="74">
        <v>44294</v>
      </c>
      <c r="AT12" s="67">
        <f t="shared" si="0"/>
        <v>55</v>
      </c>
      <c r="AU12" s="51" t="s">
        <v>231</v>
      </c>
      <c r="AV12" s="42" t="s">
        <v>232</v>
      </c>
      <c r="AW12" s="43" t="s">
        <v>222</v>
      </c>
      <c r="AX12" s="48">
        <v>2</v>
      </c>
      <c r="AY12" s="48" t="s">
        <v>352</v>
      </c>
      <c r="AZ12" s="48" t="s">
        <v>233</v>
      </c>
      <c r="BA12" s="48">
        <v>0</v>
      </c>
      <c r="BB12" s="48" t="s">
        <v>353</v>
      </c>
      <c r="BC12" s="49">
        <v>2</v>
      </c>
      <c r="BD12" s="45" t="s">
        <v>236</v>
      </c>
      <c r="BE12" s="51" t="s">
        <v>237</v>
      </c>
      <c r="BF12" s="42" t="s">
        <v>220</v>
      </c>
      <c r="BG12" s="79" t="s">
        <v>221</v>
      </c>
      <c r="BH12" s="79" t="s">
        <v>221</v>
      </c>
      <c r="BI12" s="79" t="s">
        <v>221</v>
      </c>
      <c r="BJ12" s="79" t="s">
        <v>221</v>
      </c>
      <c r="BK12" s="79" t="s">
        <v>221</v>
      </c>
      <c r="BL12" s="79" t="s">
        <v>221</v>
      </c>
      <c r="BM12" s="79" t="s">
        <v>221</v>
      </c>
      <c r="BN12" s="79" t="s">
        <v>221</v>
      </c>
      <c r="BO12" s="79" t="s">
        <v>221</v>
      </c>
      <c r="BP12" s="79" t="s">
        <v>221</v>
      </c>
      <c r="BQ12" s="79" t="s">
        <v>221</v>
      </c>
      <c r="BR12" s="79" t="s">
        <v>221</v>
      </c>
      <c r="BS12" s="79" t="s">
        <v>221</v>
      </c>
      <c r="BT12" s="79" t="s">
        <v>221</v>
      </c>
      <c r="BU12" s="79" t="s">
        <v>221</v>
      </c>
      <c r="BV12" s="79" t="s">
        <v>221</v>
      </c>
      <c r="BW12" s="79" t="s">
        <v>221</v>
      </c>
      <c r="BX12" s="79" t="s">
        <v>221</v>
      </c>
      <c r="BY12" s="79" t="s">
        <v>221</v>
      </c>
      <c r="BZ12" s="79" t="s">
        <v>221</v>
      </c>
      <c r="CA12" s="79" t="s">
        <v>221</v>
      </c>
      <c r="CB12" s="79" t="s">
        <v>221</v>
      </c>
      <c r="CC12" s="79" t="s">
        <v>221</v>
      </c>
      <c r="CD12" s="79" t="s">
        <v>221</v>
      </c>
      <c r="CE12" s="79" t="s">
        <v>221</v>
      </c>
      <c r="CF12" s="79" t="s">
        <v>221</v>
      </c>
      <c r="CG12" s="79" t="s">
        <v>221</v>
      </c>
      <c r="CH12" s="79" t="s">
        <v>221</v>
      </c>
      <c r="CI12" s="79" t="s">
        <v>221</v>
      </c>
      <c r="CJ12" s="79" t="s">
        <v>221</v>
      </c>
      <c r="CK12" s="79" t="s">
        <v>221</v>
      </c>
      <c r="CL12" s="79" t="s">
        <v>221</v>
      </c>
      <c r="CM12" s="79" t="s">
        <v>221</v>
      </c>
      <c r="CN12" s="44" t="s">
        <v>238</v>
      </c>
      <c r="CO12" s="48" t="s">
        <v>239</v>
      </c>
      <c r="CP12" s="72">
        <v>44396</v>
      </c>
      <c r="CQ12" s="72">
        <v>44452</v>
      </c>
      <c r="CR12" s="48" t="s">
        <v>221</v>
      </c>
      <c r="CS12" s="44" t="s">
        <v>238</v>
      </c>
      <c r="CT12" s="48" t="s">
        <v>240</v>
      </c>
      <c r="CU12" s="48" t="s">
        <v>221</v>
      </c>
      <c r="CV12" s="44" t="s">
        <v>241</v>
      </c>
      <c r="CW12" s="48" t="s">
        <v>354</v>
      </c>
      <c r="CX12" s="48" t="s">
        <v>221</v>
      </c>
      <c r="CY12" s="44" t="s">
        <v>243</v>
      </c>
      <c r="CZ12" s="48" t="s">
        <v>355</v>
      </c>
      <c r="DA12" s="48" t="s">
        <v>221</v>
      </c>
      <c r="DB12" s="44" t="s">
        <v>245</v>
      </c>
      <c r="DC12" s="48" t="s">
        <v>356</v>
      </c>
      <c r="DD12" s="44" t="s">
        <v>221</v>
      </c>
      <c r="DE12" s="44" t="s">
        <v>221</v>
      </c>
      <c r="DF12" s="44" t="s">
        <v>221</v>
      </c>
      <c r="DG12" s="44" t="s">
        <v>221</v>
      </c>
      <c r="DH12" s="44" t="s">
        <v>221</v>
      </c>
      <c r="DI12" s="44" t="s">
        <v>221</v>
      </c>
      <c r="DJ12" s="44" t="s">
        <v>221</v>
      </c>
      <c r="DK12" s="44" t="s">
        <v>221</v>
      </c>
      <c r="DL12" s="44" t="s">
        <v>221</v>
      </c>
      <c r="DM12" s="44" t="s">
        <v>221</v>
      </c>
      <c r="DN12" s="44" t="s">
        <v>221</v>
      </c>
      <c r="DO12" s="44" t="s">
        <v>221</v>
      </c>
      <c r="DP12" s="44" t="s">
        <v>221</v>
      </c>
      <c r="DQ12" s="44" t="s">
        <v>221</v>
      </c>
      <c r="DR12" s="44" t="s">
        <v>221</v>
      </c>
      <c r="DS12" s="44" t="s">
        <v>221</v>
      </c>
      <c r="DT12" s="44" t="s">
        <v>221</v>
      </c>
      <c r="DU12" s="44" t="s">
        <v>221</v>
      </c>
      <c r="DV12" s="44" t="s">
        <v>221</v>
      </c>
      <c r="DW12" s="44" t="s">
        <v>221</v>
      </c>
      <c r="DX12" s="44" t="s">
        <v>221</v>
      </c>
      <c r="DY12" s="44" t="s">
        <v>221</v>
      </c>
      <c r="DZ12" s="44" t="s">
        <v>221</v>
      </c>
      <c r="EA12" s="44" t="s">
        <v>221</v>
      </c>
      <c r="EB12" s="44" t="s">
        <v>221</v>
      </c>
      <c r="EC12" s="44" t="s">
        <v>221</v>
      </c>
      <c r="ED12" s="44" t="s">
        <v>221</v>
      </c>
      <c r="EE12" s="44" t="s">
        <v>221</v>
      </c>
      <c r="EF12" s="44" t="s">
        <v>221</v>
      </c>
      <c r="EG12" s="44" t="s">
        <v>221</v>
      </c>
      <c r="EH12" s="44" t="s">
        <v>221</v>
      </c>
      <c r="EI12" s="72">
        <v>45208</v>
      </c>
      <c r="EJ12" s="48" t="s">
        <v>357</v>
      </c>
      <c r="EK12" s="44" t="s">
        <v>334</v>
      </c>
      <c r="EL12" s="48" t="s">
        <v>358</v>
      </c>
      <c r="EM12" s="72">
        <v>45216</v>
      </c>
      <c r="EN12" s="72">
        <v>45216</v>
      </c>
      <c r="EO12" s="48" t="s">
        <v>233</v>
      </c>
      <c r="EP12" s="44" t="s">
        <v>241</v>
      </c>
      <c r="EQ12" s="48" t="s">
        <v>359</v>
      </c>
      <c r="ER12" s="48" t="s">
        <v>233</v>
      </c>
      <c r="ES12" s="44" t="s">
        <v>334</v>
      </c>
      <c r="ET12" s="48" t="s">
        <v>360</v>
      </c>
      <c r="EU12" s="48" t="s">
        <v>278</v>
      </c>
      <c r="EV12" s="44" t="s">
        <v>334</v>
      </c>
      <c r="EW12" s="48" t="s">
        <v>361</v>
      </c>
      <c r="EX12" s="48" t="s">
        <v>233</v>
      </c>
      <c r="EY12" s="44" t="s">
        <v>221</v>
      </c>
      <c r="EZ12" s="44" t="s">
        <v>221</v>
      </c>
      <c r="FA12" s="44" t="s">
        <v>221</v>
      </c>
      <c r="FB12" s="44" t="s">
        <v>221</v>
      </c>
      <c r="FC12" s="44" t="s">
        <v>221</v>
      </c>
      <c r="FD12" s="44" t="s">
        <v>221</v>
      </c>
      <c r="FE12" s="44" t="s">
        <v>221</v>
      </c>
      <c r="FF12" s="44" t="s">
        <v>221</v>
      </c>
      <c r="FG12" s="44" t="s">
        <v>221</v>
      </c>
      <c r="FH12" s="44" t="s">
        <v>221</v>
      </c>
      <c r="FI12" s="44" t="s">
        <v>221</v>
      </c>
      <c r="FJ12" s="44" t="s">
        <v>221</v>
      </c>
      <c r="FK12" s="44" t="s">
        <v>221</v>
      </c>
      <c r="FL12" s="44" t="s">
        <v>221</v>
      </c>
      <c r="FM12" s="44" t="s">
        <v>221</v>
      </c>
      <c r="FN12" s="44" t="s">
        <v>221</v>
      </c>
      <c r="FO12" s="44" t="s">
        <v>221</v>
      </c>
      <c r="FP12" s="44" t="s">
        <v>221</v>
      </c>
      <c r="FQ12" s="44" t="s">
        <v>221</v>
      </c>
      <c r="FR12" s="44" t="s">
        <v>221</v>
      </c>
      <c r="FS12" s="44" t="s">
        <v>221</v>
      </c>
      <c r="FT12" s="44" t="s">
        <v>221</v>
      </c>
      <c r="FU12" s="44" t="s">
        <v>221</v>
      </c>
      <c r="FV12" s="44" t="s">
        <v>221</v>
      </c>
      <c r="FW12" s="44" t="s">
        <v>221</v>
      </c>
      <c r="FX12" s="44" t="s">
        <v>221</v>
      </c>
      <c r="FY12" s="44" t="s">
        <v>221</v>
      </c>
      <c r="FZ12" s="44" t="s">
        <v>221</v>
      </c>
      <c r="GA12" s="44" t="s">
        <v>221</v>
      </c>
      <c r="GB12" s="44" t="s">
        <v>221</v>
      </c>
      <c r="GC12" s="44" t="s">
        <v>221</v>
      </c>
      <c r="GD12" s="44" t="s">
        <v>221</v>
      </c>
      <c r="GE12" s="44" t="s">
        <v>221</v>
      </c>
      <c r="GF12" s="45" t="s">
        <v>259</v>
      </c>
      <c r="GG12" s="76">
        <v>45898</v>
      </c>
      <c r="GH12" s="42" t="s">
        <v>222</v>
      </c>
      <c r="GI12" s="50" t="s">
        <v>233</v>
      </c>
      <c r="GJ12" s="72">
        <v>45875</v>
      </c>
      <c r="GK12" s="72" t="s">
        <v>221</v>
      </c>
      <c r="GL12" s="72" t="s">
        <v>221</v>
      </c>
      <c r="GM12" s="84" t="str">
        <f t="shared" si="1"/>
        <v>N/A</v>
      </c>
      <c r="GN12" s="84" t="str">
        <f t="shared" si="2"/>
        <v>N/A</v>
      </c>
      <c r="GO12" s="84" t="str">
        <f t="shared" si="3"/>
        <v>N/A</v>
      </c>
      <c r="GP12" s="84">
        <f t="shared" si="4"/>
        <v>1.4333333333333333</v>
      </c>
      <c r="GQ12" s="84">
        <f t="shared" si="5"/>
        <v>30.933333333333334</v>
      </c>
      <c r="GR12" s="84" t="str">
        <f t="shared" si="6"/>
        <v>N/A</v>
      </c>
      <c r="GS12" s="84" t="str">
        <f t="shared" si="7"/>
        <v>N/A</v>
      </c>
      <c r="GT12" s="84" t="str">
        <f t="shared" si="8"/>
        <v>N/A</v>
      </c>
      <c r="GU12" s="84" t="str">
        <f t="shared" si="9"/>
        <v>N/A</v>
      </c>
      <c r="GV12" s="84" t="str">
        <f t="shared" si="10"/>
        <v>N/A</v>
      </c>
      <c r="GW12" s="84">
        <f t="shared" si="11"/>
        <v>3.4</v>
      </c>
      <c r="GX12" s="84">
        <f t="shared" si="12"/>
        <v>5.2666666666666666</v>
      </c>
      <c r="GY12" s="84">
        <f t="shared" si="13"/>
        <v>30.466666666666665</v>
      </c>
      <c r="GZ12" s="84">
        <f t="shared" si="14"/>
        <v>30.733333333333334</v>
      </c>
      <c r="HA12" s="84">
        <f t="shared" si="15"/>
        <v>30.733333333333334</v>
      </c>
      <c r="HB12" s="84">
        <f t="shared" si="16"/>
        <v>30.466666666666665</v>
      </c>
      <c r="HC12" s="84">
        <f t="shared" si="17"/>
        <v>53.466666666666669</v>
      </c>
      <c r="HD12" s="84">
        <f t="shared" si="18"/>
        <v>52.7</v>
      </c>
      <c r="HE12" s="84" t="str">
        <f t="shared" si="19"/>
        <v>N/A</v>
      </c>
      <c r="HF12" s="85">
        <f t="shared" si="20"/>
        <v>53.466666666666669</v>
      </c>
      <c r="HG12" s="85" cm="1">
        <f t="array" ref="HG12">INDEX($HB12:$HD12,MATCH(TRUE,INDEX(ISNUMBER($HB12:$HD12),0),0))</f>
        <v>30.466666666666665</v>
      </c>
      <c r="HH12" s="82">
        <f t="shared" si="21"/>
        <v>1</v>
      </c>
      <c r="HI12" s="82">
        <f t="shared" si="22"/>
        <v>1</v>
      </c>
      <c r="HJ12" s="82">
        <f t="shared" si="23"/>
        <v>1</v>
      </c>
      <c r="HK12" s="117" t="str">
        <f t="shared" si="24"/>
        <v>1</v>
      </c>
    </row>
    <row r="13" spans="1:219" ht="15" customHeight="1" x14ac:dyDescent="0.3">
      <c r="A13" s="48">
        <v>4069551794</v>
      </c>
      <c r="B13" s="46" t="s">
        <v>220</v>
      </c>
      <c r="C13" s="42" t="s">
        <v>221</v>
      </c>
      <c r="D13" s="43" t="s">
        <v>220</v>
      </c>
      <c r="E13" s="48" t="s">
        <v>221</v>
      </c>
      <c r="F13" s="48" t="s">
        <v>221</v>
      </c>
      <c r="G13" s="48" t="s">
        <v>221</v>
      </c>
      <c r="H13" s="72" t="s">
        <v>221</v>
      </c>
      <c r="I13" s="48" t="s">
        <v>362</v>
      </c>
      <c r="J13" s="48" t="s">
        <v>221</v>
      </c>
      <c r="K13" s="72" t="s">
        <v>221</v>
      </c>
      <c r="L13" s="48" t="s">
        <v>363</v>
      </c>
      <c r="M13" s="48" t="s">
        <v>364</v>
      </c>
      <c r="N13" s="48" t="s">
        <v>284</v>
      </c>
      <c r="O13" s="48" t="s">
        <v>365</v>
      </c>
      <c r="P13" s="74">
        <v>45345</v>
      </c>
      <c r="Q13" s="42" t="s">
        <v>286</v>
      </c>
      <c r="R13" s="83" t="s">
        <v>221</v>
      </c>
      <c r="S13" s="83" t="s">
        <v>221</v>
      </c>
      <c r="T13" s="83" t="s">
        <v>221</v>
      </c>
      <c r="U13" s="83" t="s">
        <v>221</v>
      </c>
      <c r="V13" s="83" t="s">
        <v>221</v>
      </c>
      <c r="W13" s="43" t="s">
        <v>221</v>
      </c>
      <c r="X13" s="43" t="s">
        <v>221</v>
      </c>
      <c r="Y13" s="43" t="s">
        <v>221</v>
      </c>
      <c r="Z13" s="75" t="s">
        <v>221</v>
      </c>
      <c r="AA13" s="43" t="s">
        <v>221</v>
      </c>
      <c r="AB13" s="43" t="s">
        <v>221</v>
      </c>
      <c r="AC13" s="43" t="s">
        <v>221</v>
      </c>
      <c r="AD13" s="43" t="s">
        <v>221</v>
      </c>
      <c r="AE13" s="75" t="s">
        <v>221</v>
      </c>
      <c r="AF13" s="43" t="s">
        <v>221</v>
      </c>
      <c r="AG13" s="43" t="s">
        <v>221</v>
      </c>
      <c r="AH13" s="43" t="s">
        <v>221</v>
      </c>
      <c r="AI13" s="43" t="s">
        <v>221</v>
      </c>
      <c r="AJ13" s="75" t="s">
        <v>221</v>
      </c>
      <c r="AK13" s="43" t="s">
        <v>221</v>
      </c>
      <c r="AL13" s="50" t="s">
        <v>221</v>
      </c>
      <c r="AM13" s="48" t="s">
        <v>221</v>
      </c>
      <c r="AN13" s="48" t="s">
        <v>221</v>
      </c>
      <c r="AO13" s="74" t="s">
        <v>221</v>
      </c>
      <c r="AP13" s="42" t="s">
        <v>221</v>
      </c>
      <c r="AQ13" s="50" t="s">
        <v>230</v>
      </c>
      <c r="AR13" s="72">
        <v>26843</v>
      </c>
      <c r="AS13" s="74">
        <v>45345</v>
      </c>
      <c r="AT13" s="67">
        <f t="shared" si="0"/>
        <v>50</v>
      </c>
      <c r="AU13" s="51" t="s">
        <v>366</v>
      </c>
      <c r="AV13" s="42" t="s">
        <v>290</v>
      </c>
      <c r="AW13" s="43" t="s">
        <v>221</v>
      </c>
      <c r="AX13" s="48" t="s">
        <v>221</v>
      </c>
      <c r="AY13" s="48" t="s">
        <v>221</v>
      </c>
      <c r="AZ13" s="48" t="s">
        <v>292</v>
      </c>
      <c r="BA13" s="48" t="s">
        <v>367</v>
      </c>
      <c r="BB13" s="48" t="s">
        <v>368</v>
      </c>
      <c r="BC13" s="49" t="s">
        <v>233</v>
      </c>
      <c r="BD13" s="45" t="s">
        <v>236</v>
      </c>
      <c r="BE13" s="51" t="s">
        <v>294</v>
      </c>
      <c r="BF13" s="42" t="s">
        <v>220</v>
      </c>
      <c r="BG13" s="79" t="s">
        <v>221</v>
      </c>
      <c r="BH13" s="79" t="s">
        <v>221</v>
      </c>
      <c r="BI13" s="79" t="s">
        <v>221</v>
      </c>
      <c r="BJ13" s="79" t="s">
        <v>221</v>
      </c>
      <c r="BK13" s="79" t="s">
        <v>221</v>
      </c>
      <c r="BL13" s="79" t="s">
        <v>221</v>
      </c>
      <c r="BM13" s="79" t="s">
        <v>221</v>
      </c>
      <c r="BN13" s="79" t="s">
        <v>221</v>
      </c>
      <c r="BO13" s="79" t="s">
        <v>221</v>
      </c>
      <c r="BP13" s="79" t="s">
        <v>221</v>
      </c>
      <c r="BQ13" s="79" t="s">
        <v>221</v>
      </c>
      <c r="BR13" s="79" t="s">
        <v>221</v>
      </c>
      <c r="BS13" s="79" t="s">
        <v>221</v>
      </c>
      <c r="BT13" s="79" t="s">
        <v>221</v>
      </c>
      <c r="BU13" s="79" t="s">
        <v>221</v>
      </c>
      <c r="BV13" s="79" t="s">
        <v>221</v>
      </c>
      <c r="BW13" s="79" t="s">
        <v>221</v>
      </c>
      <c r="BX13" s="79" t="s">
        <v>221</v>
      </c>
      <c r="BY13" s="79" t="s">
        <v>221</v>
      </c>
      <c r="BZ13" s="79" t="s">
        <v>221</v>
      </c>
      <c r="CA13" s="79" t="s">
        <v>221</v>
      </c>
      <c r="CB13" s="79" t="s">
        <v>221</v>
      </c>
      <c r="CC13" s="79" t="s">
        <v>221</v>
      </c>
      <c r="CD13" s="79" t="s">
        <v>221</v>
      </c>
      <c r="CE13" s="79" t="s">
        <v>221</v>
      </c>
      <c r="CF13" s="79" t="s">
        <v>221</v>
      </c>
      <c r="CG13" s="79" t="s">
        <v>221</v>
      </c>
      <c r="CH13" s="79" t="s">
        <v>221</v>
      </c>
      <c r="CI13" s="79" t="s">
        <v>221</v>
      </c>
      <c r="CJ13" s="79" t="s">
        <v>221</v>
      </c>
      <c r="CK13" s="79" t="s">
        <v>221</v>
      </c>
      <c r="CL13" s="79" t="s">
        <v>221</v>
      </c>
      <c r="CM13" s="79" t="s">
        <v>221</v>
      </c>
      <c r="CN13" s="79" t="s">
        <v>221</v>
      </c>
      <c r="CO13" s="79" t="s">
        <v>221</v>
      </c>
      <c r="CP13" s="79" t="s">
        <v>221</v>
      </c>
      <c r="CQ13" s="79" t="s">
        <v>221</v>
      </c>
      <c r="CR13" s="79" t="s">
        <v>221</v>
      </c>
      <c r="CS13" s="79" t="s">
        <v>221</v>
      </c>
      <c r="CT13" s="79" t="s">
        <v>221</v>
      </c>
      <c r="CU13" s="79" t="s">
        <v>221</v>
      </c>
      <c r="CV13" s="79" t="s">
        <v>221</v>
      </c>
      <c r="CW13" s="79" t="s">
        <v>221</v>
      </c>
      <c r="CX13" s="79" t="s">
        <v>221</v>
      </c>
      <c r="CY13" s="79" t="s">
        <v>221</v>
      </c>
      <c r="CZ13" s="79" t="s">
        <v>221</v>
      </c>
      <c r="DA13" s="79" t="s">
        <v>221</v>
      </c>
      <c r="DB13" s="79" t="s">
        <v>221</v>
      </c>
      <c r="DC13" s="79" t="s">
        <v>221</v>
      </c>
      <c r="DD13" s="79" t="s">
        <v>221</v>
      </c>
      <c r="DE13" s="79" t="s">
        <v>221</v>
      </c>
      <c r="DF13" s="79" t="s">
        <v>221</v>
      </c>
      <c r="DG13" s="79" t="s">
        <v>221</v>
      </c>
      <c r="DH13" s="79" t="s">
        <v>221</v>
      </c>
      <c r="DI13" s="79" t="s">
        <v>221</v>
      </c>
      <c r="DJ13" s="79" t="s">
        <v>221</v>
      </c>
      <c r="DK13" s="79" t="s">
        <v>221</v>
      </c>
      <c r="DL13" s="79" t="s">
        <v>221</v>
      </c>
      <c r="DM13" s="79" t="s">
        <v>221</v>
      </c>
      <c r="DN13" s="79" t="s">
        <v>221</v>
      </c>
      <c r="DO13" s="79" t="s">
        <v>221</v>
      </c>
      <c r="DP13" s="79" t="s">
        <v>221</v>
      </c>
      <c r="DQ13" s="79" t="s">
        <v>221</v>
      </c>
      <c r="DR13" s="79" t="s">
        <v>221</v>
      </c>
      <c r="DS13" s="79" t="s">
        <v>221</v>
      </c>
      <c r="DT13" s="79" t="s">
        <v>221</v>
      </c>
      <c r="DU13" s="79" t="s">
        <v>221</v>
      </c>
      <c r="DV13" s="79" t="s">
        <v>221</v>
      </c>
      <c r="DW13" s="79" t="s">
        <v>221</v>
      </c>
      <c r="DX13" s="79" t="s">
        <v>221</v>
      </c>
      <c r="DY13" s="79" t="s">
        <v>221</v>
      </c>
      <c r="DZ13" s="79" t="s">
        <v>221</v>
      </c>
      <c r="EA13" s="79" t="s">
        <v>221</v>
      </c>
      <c r="EB13" s="79" t="s">
        <v>221</v>
      </c>
      <c r="EC13" s="79" t="s">
        <v>221</v>
      </c>
      <c r="ED13" s="79" t="s">
        <v>221</v>
      </c>
      <c r="EE13" s="79" t="s">
        <v>221</v>
      </c>
      <c r="EF13" s="79" t="s">
        <v>221</v>
      </c>
      <c r="EG13" s="79" t="s">
        <v>221</v>
      </c>
      <c r="EH13" s="79" t="s">
        <v>221</v>
      </c>
      <c r="EI13" s="79" t="s">
        <v>221</v>
      </c>
      <c r="EJ13" s="79" t="s">
        <v>221</v>
      </c>
      <c r="EK13" s="79" t="s">
        <v>221</v>
      </c>
      <c r="EL13" s="79" t="s">
        <v>221</v>
      </c>
      <c r="EM13" s="79" t="s">
        <v>221</v>
      </c>
      <c r="EN13" s="79" t="s">
        <v>221</v>
      </c>
      <c r="EO13" s="79" t="s">
        <v>221</v>
      </c>
      <c r="EP13" s="79" t="s">
        <v>221</v>
      </c>
      <c r="EQ13" s="79" t="s">
        <v>221</v>
      </c>
      <c r="ER13" s="79" t="s">
        <v>221</v>
      </c>
      <c r="ES13" s="79" t="s">
        <v>221</v>
      </c>
      <c r="ET13" s="79" t="s">
        <v>221</v>
      </c>
      <c r="EU13" s="79" t="s">
        <v>221</v>
      </c>
      <c r="EV13" s="79" t="s">
        <v>221</v>
      </c>
      <c r="EW13" s="79" t="s">
        <v>221</v>
      </c>
      <c r="EX13" s="79" t="s">
        <v>221</v>
      </c>
      <c r="EY13" s="79" t="s">
        <v>221</v>
      </c>
      <c r="EZ13" s="79" t="s">
        <v>221</v>
      </c>
      <c r="FA13" s="79" t="s">
        <v>221</v>
      </c>
      <c r="FB13" s="79" t="s">
        <v>221</v>
      </c>
      <c r="FC13" s="79" t="s">
        <v>221</v>
      </c>
      <c r="FD13" s="79" t="s">
        <v>221</v>
      </c>
      <c r="FE13" s="79" t="s">
        <v>221</v>
      </c>
      <c r="FF13" s="79" t="s">
        <v>221</v>
      </c>
      <c r="FG13" s="79" t="s">
        <v>221</v>
      </c>
      <c r="FH13" s="79" t="s">
        <v>221</v>
      </c>
      <c r="FI13" s="79" t="s">
        <v>221</v>
      </c>
      <c r="FJ13" s="79" t="s">
        <v>221</v>
      </c>
      <c r="FK13" s="79" t="s">
        <v>221</v>
      </c>
      <c r="FL13" s="79" t="s">
        <v>221</v>
      </c>
      <c r="FM13" s="79" t="s">
        <v>221</v>
      </c>
      <c r="FN13" s="79" t="s">
        <v>221</v>
      </c>
      <c r="FO13" s="79" t="s">
        <v>221</v>
      </c>
      <c r="FP13" s="79" t="s">
        <v>221</v>
      </c>
      <c r="FQ13" s="79" t="s">
        <v>221</v>
      </c>
      <c r="FR13" s="79" t="s">
        <v>221</v>
      </c>
      <c r="FS13" s="79" t="s">
        <v>221</v>
      </c>
      <c r="FT13" s="79" t="s">
        <v>221</v>
      </c>
      <c r="FU13" s="79" t="s">
        <v>221</v>
      </c>
      <c r="FV13" s="79" t="s">
        <v>221</v>
      </c>
      <c r="FW13" s="79" t="s">
        <v>221</v>
      </c>
      <c r="FX13" s="79" t="s">
        <v>221</v>
      </c>
      <c r="FY13" s="79" t="s">
        <v>221</v>
      </c>
      <c r="FZ13" s="79" t="s">
        <v>221</v>
      </c>
      <c r="GA13" s="79" t="s">
        <v>221</v>
      </c>
      <c r="GB13" s="79" t="s">
        <v>221</v>
      </c>
      <c r="GC13" s="79" t="s">
        <v>221</v>
      </c>
      <c r="GD13" s="79" t="s">
        <v>221</v>
      </c>
      <c r="GE13" s="79" t="s">
        <v>221</v>
      </c>
      <c r="GF13" s="45" t="s">
        <v>259</v>
      </c>
      <c r="GG13" s="76">
        <v>45531</v>
      </c>
      <c r="GH13" s="42" t="s">
        <v>222</v>
      </c>
      <c r="GI13" s="50" t="s">
        <v>233</v>
      </c>
      <c r="GJ13" s="72">
        <v>45468</v>
      </c>
      <c r="GK13" s="72" t="s">
        <v>221</v>
      </c>
      <c r="GL13" s="72" t="s">
        <v>221</v>
      </c>
      <c r="GM13" s="84" t="str">
        <f t="shared" si="1"/>
        <v>N/A</v>
      </c>
      <c r="GN13" s="84" t="str">
        <f t="shared" si="2"/>
        <v>N/A</v>
      </c>
      <c r="GO13" s="84" t="str">
        <f t="shared" si="3"/>
        <v>N/A</v>
      </c>
      <c r="GP13" s="84" t="str">
        <f t="shared" si="4"/>
        <v>N/A</v>
      </c>
      <c r="GQ13" s="84">
        <f t="shared" si="5"/>
        <v>0</v>
      </c>
      <c r="GR13" s="84" t="str">
        <f t="shared" si="6"/>
        <v>N/A</v>
      </c>
      <c r="GS13" s="84" t="str">
        <f t="shared" si="7"/>
        <v>N/A</v>
      </c>
      <c r="GT13" s="84" t="str">
        <f t="shared" si="8"/>
        <v>N/A</v>
      </c>
      <c r="GU13" s="84" t="str">
        <f t="shared" si="9"/>
        <v>N/A</v>
      </c>
      <c r="GV13" s="84" t="str">
        <f t="shared" si="10"/>
        <v>N/A</v>
      </c>
      <c r="GW13" s="84" t="str">
        <f t="shared" si="11"/>
        <v>N/A</v>
      </c>
      <c r="GX13" s="84" t="str">
        <f t="shared" si="12"/>
        <v>N/A</v>
      </c>
      <c r="GY13" s="84" t="str">
        <f t="shared" si="13"/>
        <v>N/A</v>
      </c>
      <c r="GZ13" s="84" t="str">
        <f t="shared" si="14"/>
        <v>N/A</v>
      </c>
      <c r="HA13" s="84" t="str">
        <f t="shared" si="15"/>
        <v>N/A</v>
      </c>
      <c r="HB13" s="84" t="str">
        <f t="shared" si="16"/>
        <v>N/A</v>
      </c>
      <c r="HC13" s="84">
        <f t="shared" si="17"/>
        <v>6.2</v>
      </c>
      <c r="HD13" s="84">
        <f t="shared" si="18"/>
        <v>4.0999999999999996</v>
      </c>
      <c r="HE13" s="84" t="str">
        <f t="shared" si="19"/>
        <v>N/A</v>
      </c>
      <c r="HF13" s="85">
        <f t="shared" si="20"/>
        <v>6.2</v>
      </c>
      <c r="HG13" s="85" cm="1">
        <f t="array" ref="HG13">INDEX($HB13:$HD13,MATCH(TRUE,INDEX(ISNUMBER($HB13:$HD13),0),0))</f>
        <v>6.2</v>
      </c>
      <c r="HH13" s="82">
        <f t="shared" si="21"/>
        <v>0</v>
      </c>
      <c r="HI13" s="82">
        <f t="shared" si="22"/>
        <v>1</v>
      </c>
      <c r="HJ13" s="82">
        <f t="shared" si="23"/>
        <v>1</v>
      </c>
      <c r="HK13" s="117" t="str">
        <f t="shared" si="24"/>
        <v>1</v>
      </c>
    </row>
    <row r="14" spans="1:219" ht="15" customHeight="1" x14ac:dyDescent="0.3">
      <c r="A14" s="48">
        <v>4087508404</v>
      </c>
      <c r="B14" s="46" t="s">
        <v>220</v>
      </c>
      <c r="C14" s="42" t="s">
        <v>221</v>
      </c>
      <c r="D14" s="43" t="s">
        <v>222</v>
      </c>
      <c r="E14" s="48" t="s">
        <v>221</v>
      </c>
      <c r="F14" s="48" t="s">
        <v>221</v>
      </c>
      <c r="G14" s="48" t="s">
        <v>221</v>
      </c>
      <c r="H14" s="72" t="s">
        <v>221</v>
      </c>
      <c r="I14" s="48" t="s">
        <v>369</v>
      </c>
      <c r="J14" s="48" t="s">
        <v>221</v>
      </c>
      <c r="K14" s="72">
        <v>43790</v>
      </c>
      <c r="L14" s="48" t="s">
        <v>327</v>
      </c>
      <c r="M14" s="48" t="s">
        <v>370</v>
      </c>
      <c r="N14" s="48" t="s">
        <v>284</v>
      </c>
      <c r="O14" s="48" t="s">
        <v>371</v>
      </c>
      <c r="P14" s="74">
        <v>45393</v>
      </c>
      <c r="Q14" s="42" t="s">
        <v>228</v>
      </c>
      <c r="R14" s="83" t="s">
        <v>221</v>
      </c>
      <c r="S14" s="83" t="s">
        <v>221</v>
      </c>
      <c r="T14" s="83" t="s">
        <v>221</v>
      </c>
      <c r="U14" s="83" t="s">
        <v>221</v>
      </c>
      <c r="V14" s="83" t="s">
        <v>221</v>
      </c>
      <c r="W14" s="43" t="s">
        <v>221</v>
      </c>
      <c r="X14" s="43" t="s">
        <v>221</v>
      </c>
      <c r="Y14" s="43" t="s">
        <v>221</v>
      </c>
      <c r="Z14" s="75" t="s">
        <v>221</v>
      </c>
      <c r="AA14" s="43" t="s">
        <v>221</v>
      </c>
      <c r="AB14" s="43" t="s">
        <v>221</v>
      </c>
      <c r="AC14" s="43" t="s">
        <v>221</v>
      </c>
      <c r="AD14" s="43" t="s">
        <v>221</v>
      </c>
      <c r="AE14" s="75" t="s">
        <v>221</v>
      </c>
      <c r="AF14" s="43" t="s">
        <v>221</v>
      </c>
      <c r="AG14" s="43" t="s">
        <v>221</v>
      </c>
      <c r="AH14" s="43" t="s">
        <v>221</v>
      </c>
      <c r="AI14" s="43" t="s">
        <v>221</v>
      </c>
      <c r="AJ14" s="75" t="s">
        <v>221</v>
      </c>
      <c r="AK14" s="43" t="s">
        <v>221</v>
      </c>
      <c r="AL14" s="50" t="s">
        <v>221</v>
      </c>
      <c r="AM14" s="48" t="s">
        <v>221</v>
      </c>
      <c r="AN14" s="48" t="s">
        <v>221</v>
      </c>
      <c r="AO14" s="74" t="s">
        <v>221</v>
      </c>
      <c r="AP14" s="42" t="s">
        <v>221</v>
      </c>
      <c r="AQ14" s="50" t="s">
        <v>230</v>
      </c>
      <c r="AR14" s="72">
        <v>32296</v>
      </c>
      <c r="AS14" s="74">
        <v>43747</v>
      </c>
      <c r="AT14" s="67">
        <f t="shared" si="0"/>
        <v>31</v>
      </c>
      <c r="AU14" s="51" t="s">
        <v>231</v>
      </c>
      <c r="AV14" s="42" t="s">
        <v>232</v>
      </c>
      <c r="AW14" s="43" t="s">
        <v>220</v>
      </c>
      <c r="AX14" s="48">
        <v>2</v>
      </c>
      <c r="AY14" s="48" t="s">
        <v>372</v>
      </c>
      <c r="AZ14" s="48" t="s">
        <v>233</v>
      </c>
      <c r="BA14" s="48">
        <v>0</v>
      </c>
      <c r="BB14" s="48" t="s">
        <v>373</v>
      </c>
      <c r="BC14" s="49">
        <v>3</v>
      </c>
      <c r="BD14" s="45" t="s">
        <v>236</v>
      </c>
      <c r="BE14" s="51" t="s">
        <v>345</v>
      </c>
      <c r="BF14" s="42" t="s">
        <v>220</v>
      </c>
      <c r="BG14" s="79" t="s">
        <v>221</v>
      </c>
      <c r="BH14" s="79" t="s">
        <v>221</v>
      </c>
      <c r="BI14" s="79" t="s">
        <v>221</v>
      </c>
      <c r="BJ14" s="79" t="s">
        <v>221</v>
      </c>
      <c r="BK14" s="79" t="s">
        <v>221</v>
      </c>
      <c r="BL14" s="79" t="s">
        <v>221</v>
      </c>
      <c r="BM14" s="79" t="s">
        <v>221</v>
      </c>
      <c r="BN14" s="79" t="s">
        <v>221</v>
      </c>
      <c r="BO14" s="79" t="s">
        <v>221</v>
      </c>
      <c r="BP14" s="79" t="s">
        <v>221</v>
      </c>
      <c r="BQ14" s="79" t="s">
        <v>221</v>
      </c>
      <c r="BR14" s="79" t="s">
        <v>221</v>
      </c>
      <c r="BS14" s="79" t="s">
        <v>221</v>
      </c>
      <c r="BT14" s="79" t="s">
        <v>221</v>
      </c>
      <c r="BU14" s="79" t="s">
        <v>221</v>
      </c>
      <c r="BV14" s="79" t="s">
        <v>221</v>
      </c>
      <c r="BW14" s="79" t="s">
        <v>221</v>
      </c>
      <c r="BX14" s="79" t="s">
        <v>221</v>
      </c>
      <c r="BY14" s="79" t="s">
        <v>221</v>
      </c>
      <c r="BZ14" s="79" t="s">
        <v>221</v>
      </c>
      <c r="CA14" s="79" t="s">
        <v>221</v>
      </c>
      <c r="CB14" s="79" t="s">
        <v>221</v>
      </c>
      <c r="CC14" s="79" t="s">
        <v>221</v>
      </c>
      <c r="CD14" s="79" t="s">
        <v>221</v>
      </c>
      <c r="CE14" s="79" t="s">
        <v>221</v>
      </c>
      <c r="CF14" s="79" t="s">
        <v>221</v>
      </c>
      <c r="CG14" s="79" t="s">
        <v>221</v>
      </c>
      <c r="CH14" s="79" t="s">
        <v>221</v>
      </c>
      <c r="CI14" s="79" t="s">
        <v>221</v>
      </c>
      <c r="CJ14" s="79" t="s">
        <v>221</v>
      </c>
      <c r="CK14" s="79" t="s">
        <v>221</v>
      </c>
      <c r="CL14" s="79" t="s">
        <v>221</v>
      </c>
      <c r="CM14" s="79" t="s">
        <v>221</v>
      </c>
      <c r="CN14" s="44" t="s">
        <v>238</v>
      </c>
      <c r="CO14" s="48" t="s">
        <v>239</v>
      </c>
      <c r="CP14" s="72">
        <v>43846</v>
      </c>
      <c r="CQ14" s="72">
        <v>43888</v>
      </c>
      <c r="CR14" s="48" t="s">
        <v>221</v>
      </c>
      <c r="CS14" s="44" t="s">
        <v>238</v>
      </c>
      <c r="CT14" s="48" t="s">
        <v>374</v>
      </c>
      <c r="CU14" s="48" t="s">
        <v>221</v>
      </c>
      <c r="CV14" s="44" t="s">
        <v>241</v>
      </c>
      <c r="CW14" s="48" t="s">
        <v>375</v>
      </c>
      <c r="CX14" s="48" t="s">
        <v>221</v>
      </c>
      <c r="CY14" s="44" t="s">
        <v>243</v>
      </c>
      <c r="CZ14" s="48" t="s">
        <v>376</v>
      </c>
      <c r="DA14" s="48" t="s">
        <v>221</v>
      </c>
      <c r="DB14" s="44" t="s">
        <v>221</v>
      </c>
      <c r="DC14" s="44" t="s">
        <v>221</v>
      </c>
      <c r="DD14" s="44" t="s">
        <v>221</v>
      </c>
      <c r="DE14" s="44" t="s">
        <v>221</v>
      </c>
      <c r="DF14" s="44" t="s">
        <v>221</v>
      </c>
      <c r="DG14" s="44" t="s">
        <v>221</v>
      </c>
      <c r="DH14" s="44" t="s">
        <v>221</v>
      </c>
      <c r="DI14" s="44" t="s">
        <v>221</v>
      </c>
      <c r="DJ14" s="44" t="s">
        <v>221</v>
      </c>
      <c r="DK14" s="44" t="s">
        <v>221</v>
      </c>
      <c r="DL14" s="44" t="s">
        <v>221</v>
      </c>
      <c r="DM14" s="44" t="s">
        <v>221</v>
      </c>
      <c r="DN14" s="44" t="s">
        <v>221</v>
      </c>
      <c r="DO14" s="44" t="s">
        <v>221</v>
      </c>
      <c r="DP14" s="44" t="s">
        <v>221</v>
      </c>
      <c r="DQ14" s="44" t="s">
        <v>221</v>
      </c>
      <c r="DR14" s="44" t="s">
        <v>221</v>
      </c>
      <c r="DS14" s="44" t="s">
        <v>221</v>
      </c>
      <c r="DT14" s="44" t="s">
        <v>221</v>
      </c>
      <c r="DU14" s="44" t="s">
        <v>221</v>
      </c>
      <c r="DV14" s="44" t="s">
        <v>221</v>
      </c>
      <c r="DW14" s="44" t="s">
        <v>221</v>
      </c>
      <c r="DX14" s="44" t="s">
        <v>221</v>
      </c>
      <c r="DY14" s="44" t="s">
        <v>221</v>
      </c>
      <c r="DZ14" s="44" t="s">
        <v>221</v>
      </c>
      <c r="EA14" s="44" t="s">
        <v>221</v>
      </c>
      <c r="EB14" s="44" t="s">
        <v>221</v>
      </c>
      <c r="EC14" s="44" t="s">
        <v>221</v>
      </c>
      <c r="ED14" s="44" t="s">
        <v>221</v>
      </c>
      <c r="EE14" s="44" t="s">
        <v>221</v>
      </c>
      <c r="EF14" s="44" t="s">
        <v>221</v>
      </c>
      <c r="EG14" s="44" t="s">
        <v>221</v>
      </c>
      <c r="EH14" s="44" t="s">
        <v>221</v>
      </c>
      <c r="EI14" s="72">
        <v>45202</v>
      </c>
      <c r="EJ14" s="48" t="s">
        <v>377</v>
      </c>
      <c r="EK14" s="44" t="s">
        <v>241</v>
      </c>
      <c r="EL14" s="48" t="s">
        <v>310</v>
      </c>
      <c r="EM14" s="72">
        <v>45203</v>
      </c>
      <c r="EN14" s="72">
        <v>45203</v>
      </c>
      <c r="EO14" s="48" t="s">
        <v>233</v>
      </c>
      <c r="EP14" s="44" t="s">
        <v>334</v>
      </c>
      <c r="EQ14" s="48" t="s">
        <v>378</v>
      </c>
      <c r="ER14" s="48" t="s">
        <v>233</v>
      </c>
      <c r="ES14" s="44" t="s">
        <v>334</v>
      </c>
      <c r="ET14" s="48" t="s">
        <v>379</v>
      </c>
      <c r="EU14" s="48" t="s">
        <v>278</v>
      </c>
      <c r="EV14" s="44" t="s">
        <v>221</v>
      </c>
      <c r="EW14" s="44" t="s">
        <v>221</v>
      </c>
      <c r="EX14" s="44" t="s">
        <v>221</v>
      </c>
      <c r="EY14" s="44" t="s">
        <v>221</v>
      </c>
      <c r="EZ14" s="44" t="s">
        <v>221</v>
      </c>
      <c r="FA14" s="44" t="s">
        <v>221</v>
      </c>
      <c r="FB14" s="44" t="s">
        <v>221</v>
      </c>
      <c r="FC14" s="44" t="s">
        <v>221</v>
      </c>
      <c r="FD14" s="44" t="s">
        <v>221</v>
      </c>
      <c r="FE14" s="44" t="s">
        <v>221</v>
      </c>
      <c r="FF14" s="44" t="s">
        <v>221</v>
      </c>
      <c r="FG14" s="44" t="s">
        <v>221</v>
      </c>
      <c r="FH14" s="44" t="s">
        <v>221</v>
      </c>
      <c r="FI14" s="44" t="s">
        <v>221</v>
      </c>
      <c r="FJ14" s="44" t="s">
        <v>221</v>
      </c>
      <c r="FK14" s="44" t="s">
        <v>221</v>
      </c>
      <c r="FL14" s="44" t="s">
        <v>221</v>
      </c>
      <c r="FM14" s="44" t="s">
        <v>221</v>
      </c>
      <c r="FN14" s="44" t="s">
        <v>221</v>
      </c>
      <c r="FO14" s="44" t="s">
        <v>221</v>
      </c>
      <c r="FP14" s="44" t="s">
        <v>221</v>
      </c>
      <c r="FQ14" s="44" t="s">
        <v>221</v>
      </c>
      <c r="FR14" s="44" t="s">
        <v>221</v>
      </c>
      <c r="FS14" s="44" t="s">
        <v>221</v>
      </c>
      <c r="FT14" s="44" t="s">
        <v>221</v>
      </c>
      <c r="FU14" s="44" t="s">
        <v>221</v>
      </c>
      <c r="FV14" s="44" t="s">
        <v>221</v>
      </c>
      <c r="FW14" s="44" t="s">
        <v>221</v>
      </c>
      <c r="FX14" s="44" t="s">
        <v>221</v>
      </c>
      <c r="FY14" s="44" t="s">
        <v>221</v>
      </c>
      <c r="FZ14" s="44" t="s">
        <v>221</v>
      </c>
      <c r="GA14" s="44" t="s">
        <v>221</v>
      </c>
      <c r="GB14" s="44" t="s">
        <v>221</v>
      </c>
      <c r="GC14" s="44" t="s">
        <v>221</v>
      </c>
      <c r="GD14" s="44" t="s">
        <v>221</v>
      </c>
      <c r="GE14" s="44" t="s">
        <v>221</v>
      </c>
      <c r="GF14" s="45" t="s">
        <v>259</v>
      </c>
      <c r="GG14" s="76">
        <v>45469</v>
      </c>
      <c r="GH14" s="42" t="s">
        <v>222</v>
      </c>
      <c r="GI14" s="50" t="s">
        <v>380</v>
      </c>
      <c r="GJ14" s="72">
        <v>45455</v>
      </c>
      <c r="GK14" s="72" t="s">
        <v>221</v>
      </c>
      <c r="GL14" s="72" t="s">
        <v>221</v>
      </c>
      <c r="GM14" s="84" t="str">
        <f t="shared" si="1"/>
        <v>N/A</v>
      </c>
      <c r="GN14" s="84" t="str">
        <f t="shared" si="2"/>
        <v>N/A</v>
      </c>
      <c r="GO14" s="84" t="str">
        <f t="shared" si="3"/>
        <v>N/A</v>
      </c>
      <c r="GP14" s="84">
        <f t="shared" si="4"/>
        <v>1.4333333333333333</v>
      </c>
      <c r="GQ14" s="84">
        <f t="shared" si="5"/>
        <v>54.866666666666667</v>
      </c>
      <c r="GR14" s="84" t="str">
        <f t="shared" si="6"/>
        <v>N/A</v>
      </c>
      <c r="GS14" s="84" t="str">
        <f t="shared" si="7"/>
        <v>N/A</v>
      </c>
      <c r="GT14" s="84" t="str">
        <f t="shared" si="8"/>
        <v>N/A</v>
      </c>
      <c r="GU14" s="84" t="str">
        <f t="shared" si="9"/>
        <v>N/A</v>
      </c>
      <c r="GV14" s="84" t="str">
        <f t="shared" si="10"/>
        <v>N/A</v>
      </c>
      <c r="GW14" s="84">
        <f t="shared" si="11"/>
        <v>3.3</v>
      </c>
      <c r="GX14" s="84">
        <f t="shared" si="12"/>
        <v>4.7</v>
      </c>
      <c r="GY14" s="84">
        <f t="shared" si="13"/>
        <v>48.5</v>
      </c>
      <c r="GZ14" s="84">
        <f t="shared" si="14"/>
        <v>48.533333333333331</v>
      </c>
      <c r="HA14" s="84">
        <f t="shared" si="15"/>
        <v>48.533333333333331</v>
      </c>
      <c r="HB14" s="84">
        <f t="shared" si="16"/>
        <v>48.5</v>
      </c>
      <c r="HC14" s="84">
        <f t="shared" si="17"/>
        <v>57.4</v>
      </c>
      <c r="HD14" s="84">
        <f t="shared" si="18"/>
        <v>56.93333333333333</v>
      </c>
      <c r="HE14" s="84" t="str">
        <f t="shared" si="19"/>
        <v>N/A</v>
      </c>
      <c r="HF14" s="85">
        <f t="shared" si="20"/>
        <v>57.4</v>
      </c>
      <c r="HG14" s="85" cm="1">
        <f t="array" ref="HG14">INDEX($HB14:$HD14,MATCH(TRUE,INDEX(ISNUMBER($HB14:$HD14),0),0))</f>
        <v>48.5</v>
      </c>
      <c r="HH14" s="82">
        <f t="shared" si="21"/>
        <v>1</v>
      </c>
      <c r="HI14" s="82">
        <f t="shared" si="22"/>
        <v>1</v>
      </c>
      <c r="HJ14" s="82">
        <f t="shared" si="23"/>
        <v>1</v>
      </c>
      <c r="HK14" s="117" t="str">
        <f t="shared" si="24"/>
        <v>1</v>
      </c>
    </row>
    <row r="15" spans="1:219" ht="15" customHeight="1" x14ac:dyDescent="0.3">
      <c r="A15" s="48">
        <v>4643830778</v>
      </c>
      <c r="B15" s="46" t="s">
        <v>220</v>
      </c>
      <c r="C15" s="42" t="s">
        <v>221</v>
      </c>
      <c r="D15" s="43" t="s">
        <v>220</v>
      </c>
      <c r="E15" s="48" t="s">
        <v>221</v>
      </c>
      <c r="F15" s="48" t="s">
        <v>221</v>
      </c>
      <c r="G15" s="48" t="s">
        <v>221</v>
      </c>
      <c r="H15" s="72" t="s">
        <v>221</v>
      </c>
      <c r="I15" s="48" t="s">
        <v>381</v>
      </c>
      <c r="J15" s="48" t="s">
        <v>221</v>
      </c>
      <c r="K15" s="72" t="s">
        <v>221</v>
      </c>
      <c r="L15" s="48" t="s">
        <v>282</v>
      </c>
      <c r="M15" s="48" t="s">
        <v>382</v>
      </c>
      <c r="N15" s="48" t="s">
        <v>383</v>
      </c>
      <c r="O15" s="48" t="s">
        <v>384</v>
      </c>
      <c r="P15" s="74">
        <v>45426</v>
      </c>
      <c r="Q15" s="42" t="s">
        <v>228</v>
      </c>
      <c r="R15" s="83" t="s">
        <v>221</v>
      </c>
      <c r="S15" s="83" t="s">
        <v>221</v>
      </c>
      <c r="T15" s="83" t="s">
        <v>221</v>
      </c>
      <c r="U15" s="83" t="s">
        <v>221</v>
      </c>
      <c r="V15" s="83" t="s">
        <v>221</v>
      </c>
      <c r="W15" s="43" t="s">
        <v>221</v>
      </c>
      <c r="X15" s="43" t="s">
        <v>221</v>
      </c>
      <c r="Y15" s="43" t="s">
        <v>221</v>
      </c>
      <c r="Z15" s="75" t="s">
        <v>221</v>
      </c>
      <c r="AA15" s="43" t="s">
        <v>221</v>
      </c>
      <c r="AB15" s="43" t="s">
        <v>221</v>
      </c>
      <c r="AC15" s="43" t="s">
        <v>221</v>
      </c>
      <c r="AD15" s="43" t="s">
        <v>221</v>
      </c>
      <c r="AE15" s="75" t="s">
        <v>221</v>
      </c>
      <c r="AF15" s="43" t="s">
        <v>221</v>
      </c>
      <c r="AG15" s="43" t="s">
        <v>221</v>
      </c>
      <c r="AH15" s="43" t="s">
        <v>221</v>
      </c>
      <c r="AI15" s="43" t="s">
        <v>221</v>
      </c>
      <c r="AJ15" s="75" t="s">
        <v>221</v>
      </c>
      <c r="AK15" s="43" t="s">
        <v>221</v>
      </c>
      <c r="AL15" s="50" t="s">
        <v>221</v>
      </c>
      <c r="AM15" s="48" t="s">
        <v>221</v>
      </c>
      <c r="AN15" s="48" t="s">
        <v>221</v>
      </c>
      <c r="AO15" s="74" t="s">
        <v>221</v>
      </c>
      <c r="AP15" s="42" t="s">
        <v>221</v>
      </c>
      <c r="AQ15" s="50" t="s">
        <v>288</v>
      </c>
      <c r="AR15" s="72">
        <v>13439</v>
      </c>
      <c r="AS15" s="74">
        <v>45216</v>
      </c>
      <c r="AT15" s="67">
        <f t="shared" si="0"/>
        <v>87</v>
      </c>
      <c r="AU15" s="51" t="s">
        <v>385</v>
      </c>
      <c r="AV15" s="42" t="s">
        <v>290</v>
      </c>
      <c r="AW15" s="43" t="s">
        <v>221</v>
      </c>
      <c r="AX15" s="48" t="s">
        <v>221</v>
      </c>
      <c r="AY15" s="48" t="s">
        <v>221</v>
      </c>
      <c r="AZ15" s="48" t="s">
        <v>292</v>
      </c>
      <c r="BA15" s="48" t="s">
        <v>292</v>
      </c>
      <c r="BB15" s="48" t="s">
        <v>386</v>
      </c>
      <c r="BC15" s="49" t="s">
        <v>233</v>
      </c>
      <c r="BD15" s="45" t="s">
        <v>236</v>
      </c>
      <c r="BE15" s="51" t="s">
        <v>294</v>
      </c>
      <c r="BF15" s="42" t="s">
        <v>222</v>
      </c>
      <c r="BG15" s="79" t="s">
        <v>221</v>
      </c>
      <c r="BH15" s="44" t="s">
        <v>243</v>
      </c>
      <c r="BI15" s="48" t="s">
        <v>387</v>
      </c>
      <c r="BJ15" s="72">
        <v>45216</v>
      </c>
      <c r="BK15" s="76">
        <v>45537</v>
      </c>
      <c r="BL15" s="48" t="s">
        <v>388</v>
      </c>
      <c r="BM15" s="44" t="s">
        <v>241</v>
      </c>
      <c r="BN15" s="48" t="s">
        <v>389</v>
      </c>
      <c r="BO15" s="48" t="s">
        <v>233</v>
      </c>
      <c r="BP15" s="44" t="s">
        <v>221</v>
      </c>
      <c r="BQ15" s="44" t="s">
        <v>221</v>
      </c>
      <c r="BR15" s="44" t="s">
        <v>221</v>
      </c>
      <c r="BS15" s="44" t="s">
        <v>221</v>
      </c>
      <c r="BT15" s="44" t="s">
        <v>221</v>
      </c>
      <c r="BU15" s="44" t="s">
        <v>221</v>
      </c>
      <c r="BV15" s="44" t="s">
        <v>221</v>
      </c>
      <c r="BW15" s="44" t="s">
        <v>221</v>
      </c>
      <c r="BX15" s="44" t="s">
        <v>221</v>
      </c>
      <c r="BY15" s="44" t="s">
        <v>221</v>
      </c>
      <c r="BZ15" s="44" t="s">
        <v>221</v>
      </c>
      <c r="CA15" s="44" t="s">
        <v>221</v>
      </c>
      <c r="CB15" s="44" t="s">
        <v>221</v>
      </c>
      <c r="CC15" s="44" t="s">
        <v>221</v>
      </c>
      <c r="CD15" s="44" t="s">
        <v>221</v>
      </c>
      <c r="CE15" s="44" t="s">
        <v>221</v>
      </c>
      <c r="CF15" s="44" t="s">
        <v>221</v>
      </c>
      <c r="CG15" s="44" t="s">
        <v>221</v>
      </c>
      <c r="CH15" s="44" t="s">
        <v>221</v>
      </c>
      <c r="CI15" s="44" t="s">
        <v>221</v>
      </c>
      <c r="CJ15" s="44" t="s">
        <v>221</v>
      </c>
      <c r="CK15" s="44" t="s">
        <v>221</v>
      </c>
      <c r="CL15" s="44" t="s">
        <v>221</v>
      </c>
      <c r="CM15" s="44" t="s">
        <v>221</v>
      </c>
      <c r="CN15" s="44" t="s">
        <v>221</v>
      </c>
      <c r="CO15" s="44" t="s">
        <v>221</v>
      </c>
      <c r="CP15" s="44" t="s">
        <v>221</v>
      </c>
      <c r="CQ15" s="44" t="s">
        <v>221</v>
      </c>
      <c r="CR15" s="44" t="s">
        <v>221</v>
      </c>
      <c r="CS15" s="44" t="s">
        <v>221</v>
      </c>
      <c r="CT15" s="44" t="s">
        <v>221</v>
      </c>
      <c r="CU15" s="44" t="s">
        <v>221</v>
      </c>
      <c r="CV15" s="44" t="s">
        <v>221</v>
      </c>
      <c r="CW15" s="44" t="s">
        <v>221</v>
      </c>
      <c r="CX15" s="44" t="s">
        <v>221</v>
      </c>
      <c r="CY15" s="44" t="s">
        <v>221</v>
      </c>
      <c r="CZ15" s="44" t="s">
        <v>221</v>
      </c>
      <c r="DA15" s="44" t="s">
        <v>221</v>
      </c>
      <c r="DB15" s="44" t="s">
        <v>221</v>
      </c>
      <c r="DC15" s="44" t="s">
        <v>221</v>
      </c>
      <c r="DD15" s="44" t="s">
        <v>221</v>
      </c>
      <c r="DE15" s="44" t="s">
        <v>221</v>
      </c>
      <c r="DF15" s="44" t="s">
        <v>221</v>
      </c>
      <c r="DG15" s="44" t="s">
        <v>221</v>
      </c>
      <c r="DH15" s="44" t="s">
        <v>221</v>
      </c>
      <c r="DI15" s="44" t="s">
        <v>221</v>
      </c>
      <c r="DJ15" s="44" t="s">
        <v>221</v>
      </c>
      <c r="DK15" s="44" t="s">
        <v>221</v>
      </c>
      <c r="DL15" s="44" t="s">
        <v>221</v>
      </c>
      <c r="DM15" s="44" t="s">
        <v>221</v>
      </c>
      <c r="DN15" s="44" t="s">
        <v>221</v>
      </c>
      <c r="DO15" s="44" t="s">
        <v>221</v>
      </c>
      <c r="DP15" s="44" t="s">
        <v>221</v>
      </c>
      <c r="DQ15" s="44" t="s">
        <v>221</v>
      </c>
      <c r="DR15" s="44" t="s">
        <v>221</v>
      </c>
      <c r="DS15" s="44" t="s">
        <v>221</v>
      </c>
      <c r="DT15" s="44" t="s">
        <v>221</v>
      </c>
      <c r="DU15" s="44" t="s">
        <v>221</v>
      </c>
      <c r="DV15" s="44" t="s">
        <v>221</v>
      </c>
      <c r="DW15" s="44" t="s">
        <v>221</v>
      </c>
      <c r="DX15" s="44" t="s">
        <v>221</v>
      </c>
      <c r="DY15" s="44" t="s">
        <v>221</v>
      </c>
      <c r="DZ15" s="44" t="s">
        <v>221</v>
      </c>
      <c r="EA15" s="44" t="s">
        <v>221</v>
      </c>
      <c r="EB15" s="44" t="s">
        <v>221</v>
      </c>
      <c r="EC15" s="44" t="s">
        <v>221</v>
      </c>
      <c r="ED15" s="44" t="s">
        <v>221</v>
      </c>
      <c r="EE15" s="44" t="s">
        <v>221</v>
      </c>
      <c r="EF15" s="44" t="s">
        <v>221</v>
      </c>
      <c r="EG15" s="44" t="s">
        <v>221</v>
      </c>
      <c r="EH15" s="44" t="s">
        <v>221</v>
      </c>
      <c r="EI15" s="72">
        <v>45518</v>
      </c>
      <c r="EJ15" s="48" t="s">
        <v>390</v>
      </c>
      <c r="EK15" s="44" t="s">
        <v>221</v>
      </c>
      <c r="EL15" s="44" t="s">
        <v>221</v>
      </c>
      <c r="EM15" s="44" t="s">
        <v>221</v>
      </c>
      <c r="EN15" s="44" t="s">
        <v>221</v>
      </c>
      <c r="EO15" s="44" t="s">
        <v>221</v>
      </c>
      <c r="EP15" s="44" t="s">
        <v>221</v>
      </c>
      <c r="EQ15" s="44" t="s">
        <v>221</v>
      </c>
      <c r="ER15" s="44" t="s">
        <v>221</v>
      </c>
      <c r="ES15" s="44" t="s">
        <v>221</v>
      </c>
      <c r="ET15" s="44" t="s">
        <v>221</v>
      </c>
      <c r="EU15" s="44" t="s">
        <v>221</v>
      </c>
      <c r="EV15" s="44" t="s">
        <v>221</v>
      </c>
      <c r="EW15" s="44" t="s">
        <v>221</v>
      </c>
      <c r="EX15" s="44" t="s">
        <v>221</v>
      </c>
      <c r="EY15" s="44" t="s">
        <v>221</v>
      </c>
      <c r="EZ15" s="44" t="s">
        <v>221</v>
      </c>
      <c r="FA15" s="44" t="s">
        <v>221</v>
      </c>
      <c r="FB15" s="44" t="s">
        <v>221</v>
      </c>
      <c r="FC15" s="44" t="s">
        <v>221</v>
      </c>
      <c r="FD15" s="44" t="s">
        <v>221</v>
      </c>
      <c r="FE15" s="44" t="s">
        <v>221</v>
      </c>
      <c r="FF15" s="44" t="s">
        <v>221</v>
      </c>
      <c r="FG15" s="44" t="s">
        <v>221</v>
      </c>
      <c r="FH15" s="44" t="s">
        <v>221</v>
      </c>
      <c r="FI15" s="44" t="s">
        <v>221</v>
      </c>
      <c r="FJ15" s="44" t="s">
        <v>221</v>
      </c>
      <c r="FK15" s="44" t="s">
        <v>221</v>
      </c>
      <c r="FL15" s="44" t="s">
        <v>221</v>
      </c>
      <c r="FM15" s="44" t="s">
        <v>221</v>
      </c>
      <c r="FN15" s="44" t="s">
        <v>221</v>
      </c>
      <c r="FO15" s="44" t="s">
        <v>221</v>
      </c>
      <c r="FP15" s="44" t="s">
        <v>221</v>
      </c>
      <c r="FQ15" s="44" t="s">
        <v>221</v>
      </c>
      <c r="FR15" s="44" t="s">
        <v>221</v>
      </c>
      <c r="FS15" s="44" t="s">
        <v>221</v>
      </c>
      <c r="FT15" s="44" t="s">
        <v>221</v>
      </c>
      <c r="FU15" s="44" t="s">
        <v>221</v>
      </c>
      <c r="FV15" s="44" t="s">
        <v>221</v>
      </c>
      <c r="FW15" s="44" t="s">
        <v>221</v>
      </c>
      <c r="FX15" s="44" t="s">
        <v>221</v>
      </c>
      <c r="FY15" s="44" t="s">
        <v>221</v>
      </c>
      <c r="FZ15" s="44" t="s">
        <v>221</v>
      </c>
      <c r="GA15" s="44" t="s">
        <v>221</v>
      </c>
      <c r="GB15" s="44" t="s">
        <v>221</v>
      </c>
      <c r="GC15" s="44" t="s">
        <v>221</v>
      </c>
      <c r="GD15" s="44" t="s">
        <v>221</v>
      </c>
      <c r="GE15" s="44" t="s">
        <v>221</v>
      </c>
      <c r="GF15" s="45" t="s">
        <v>259</v>
      </c>
      <c r="GG15" s="76">
        <v>45537</v>
      </c>
      <c r="GH15" s="42" t="s">
        <v>222</v>
      </c>
      <c r="GI15" s="50" t="s">
        <v>233</v>
      </c>
      <c r="GJ15" s="72">
        <v>45518</v>
      </c>
      <c r="GK15" s="72" t="s">
        <v>221</v>
      </c>
      <c r="GL15" s="72" t="s">
        <v>221</v>
      </c>
      <c r="GM15" s="84">
        <f t="shared" si="1"/>
        <v>0</v>
      </c>
      <c r="GN15" s="84">
        <f t="shared" si="2"/>
        <v>10.7</v>
      </c>
      <c r="GO15" s="84" t="str">
        <f t="shared" si="3"/>
        <v>N/A</v>
      </c>
      <c r="GP15" s="84" t="str">
        <f t="shared" si="4"/>
        <v>N/A</v>
      </c>
      <c r="GQ15" s="84">
        <f t="shared" si="5"/>
        <v>7</v>
      </c>
      <c r="GR15" s="84" t="str">
        <f t="shared" si="6"/>
        <v>N/A</v>
      </c>
      <c r="GS15" s="84" t="str">
        <f t="shared" si="7"/>
        <v>N/A</v>
      </c>
      <c r="GT15" s="84" t="str">
        <f t="shared" si="8"/>
        <v>N/A</v>
      </c>
      <c r="GU15" s="84" t="str">
        <f t="shared" si="9"/>
        <v>N/A</v>
      </c>
      <c r="GV15" s="84" t="str">
        <f t="shared" si="10"/>
        <v>N/A</v>
      </c>
      <c r="GW15" s="84" t="str">
        <f t="shared" si="11"/>
        <v>N/A</v>
      </c>
      <c r="GX15" s="84" t="str">
        <f t="shared" si="12"/>
        <v>N/A</v>
      </c>
      <c r="GY15" s="84">
        <f t="shared" si="13"/>
        <v>10.066666666666666</v>
      </c>
      <c r="GZ15" s="84" t="str">
        <f t="shared" si="14"/>
        <v>N/A</v>
      </c>
      <c r="HA15" s="84" t="str">
        <f t="shared" si="15"/>
        <v>N/A</v>
      </c>
      <c r="HB15" s="84">
        <f t="shared" si="16"/>
        <v>10.066666666666666</v>
      </c>
      <c r="HC15" s="84">
        <f t="shared" si="17"/>
        <v>10.7</v>
      </c>
      <c r="HD15" s="84">
        <f t="shared" si="18"/>
        <v>10.066666666666666</v>
      </c>
      <c r="HE15" s="84" t="str">
        <f t="shared" si="19"/>
        <v>N/A</v>
      </c>
      <c r="HF15" s="85">
        <f t="shared" si="20"/>
        <v>10.7</v>
      </c>
      <c r="HG15" s="85" cm="1">
        <f t="array" ref="HG15">INDEX($HB15:$HD15,MATCH(TRUE,INDEX(ISNUMBER($HB15:$HD15),0),0))</f>
        <v>10.066666666666666</v>
      </c>
      <c r="HH15" s="82">
        <f t="shared" si="21"/>
        <v>1</v>
      </c>
      <c r="HI15" s="82">
        <f t="shared" si="22"/>
        <v>1</v>
      </c>
      <c r="HJ15" s="82">
        <f t="shared" si="23"/>
        <v>1</v>
      </c>
      <c r="HK15" s="117" t="str">
        <f t="shared" si="24"/>
        <v>1</v>
      </c>
    </row>
    <row r="16" spans="1:219" ht="15" customHeight="1" x14ac:dyDescent="0.3">
      <c r="A16" s="48">
        <v>4509210248</v>
      </c>
      <c r="B16" s="46" t="s">
        <v>220</v>
      </c>
      <c r="C16" s="42" t="s">
        <v>221</v>
      </c>
      <c r="D16" s="43" t="s">
        <v>222</v>
      </c>
      <c r="E16" s="48" t="s">
        <v>221</v>
      </c>
      <c r="F16" s="48" t="s">
        <v>221</v>
      </c>
      <c r="G16" s="48" t="s">
        <v>221</v>
      </c>
      <c r="H16" s="72" t="s">
        <v>221</v>
      </c>
      <c r="I16" s="48" t="s">
        <v>391</v>
      </c>
      <c r="J16" s="48" t="s">
        <v>221</v>
      </c>
      <c r="K16" s="72">
        <v>43676</v>
      </c>
      <c r="L16" s="48" t="s">
        <v>392</v>
      </c>
      <c r="M16" s="48" t="s">
        <v>393</v>
      </c>
      <c r="N16" s="48" t="s">
        <v>284</v>
      </c>
      <c r="O16" s="48" t="s">
        <v>394</v>
      </c>
      <c r="P16" s="74">
        <v>45610</v>
      </c>
      <c r="Q16" s="42" t="s">
        <v>228</v>
      </c>
      <c r="R16" s="50" t="s">
        <v>393</v>
      </c>
      <c r="S16" s="48" t="s">
        <v>395</v>
      </c>
      <c r="T16" s="48" t="s">
        <v>394</v>
      </c>
      <c r="U16" s="74">
        <v>45610</v>
      </c>
      <c r="V16" s="42" t="s">
        <v>228</v>
      </c>
      <c r="W16" s="43" t="s">
        <v>221</v>
      </c>
      <c r="X16" s="43" t="s">
        <v>221</v>
      </c>
      <c r="Y16" s="43" t="s">
        <v>221</v>
      </c>
      <c r="Z16" s="75" t="s">
        <v>221</v>
      </c>
      <c r="AA16" s="43" t="s">
        <v>221</v>
      </c>
      <c r="AB16" s="43" t="s">
        <v>221</v>
      </c>
      <c r="AC16" s="43" t="s">
        <v>221</v>
      </c>
      <c r="AD16" s="43" t="s">
        <v>221</v>
      </c>
      <c r="AE16" s="75" t="s">
        <v>221</v>
      </c>
      <c r="AF16" s="43" t="s">
        <v>221</v>
      </c>
      <c r="AG16" s="43" t="s">
        <v>221</v>
      </c>
      <c r="AH16" s="43" t="s">
        <v>221</v>
      </c>
      <c r="AI16" s="43" t="s">
        <v>221</v>
      </c>
      <c r="AJ16" s="75" t="s">
        <v>221</v>
      </c>
      <c r="AK16" s="43" t="s">
        <v>221</v>
      </c>
      <c r="AL16" s="50" t="s">
        <v>221</v>
      </c>
      <c r="AM16" s="48" t="s">
        <v>221</v>
      </c>
      <c r="AN16" s="48" t="s">
        <v>221</v>
      </c>
      <c r="AO16" s="74" t="s">
        <v>221</v>
      </c>
      <c r="AP16" s="42" t="s">
        <v>221</v>
      </c>
      <c r="AQ16" s="50" t="s">
        <v>288</v>
      </c>
      <c r="AR16" s="72">
        <v>18553</v>
      </c>
      <c r="AS16" s="74">
        <v>43655</v>
      </c>
      <c r="AT16" s="67">
        <f t="shared" si="0"/>
        <v>68</v>
      </c>
      <c r="AU16" s="51" t="s">
        <v>396</v>
      </c>
      <c r="AV16" s="42" t="s">
        <v>232</v>
      </c>
      <c r="AW16" s="43" t="s">
        <v>220</v>
      </c>
      <c r="AX16" s="48" t="s">
        <v>397</v>
      </c>
      <c r="AY16" s="48">
        <v>1</v>
      </c>
      <c r="AZ16" s="48" t="s">
        <v>233</v>
      </c>
      <c r="BA16" s="48">
        <v>0</v>
      </c>
      <c r="BB16" s="48" t="s">
        <v>398</v>
      </c>
      <c r="BC16" s="49" t="s">
        <v>233</v>
      </c>
      <c r="BD16" s="45" t="s">
        <v>236</v>
      </c>
      <c r="BE16" s="51" t="s">
        <v>399</v>
      </c>
      <c r="BF16" s="42" t="s">
        <v>220</v>
      </c>
      <c r="BG16" s="79" t="s">
        <v>221</v>
      </c>
      <c r="BH16" s="79" t="s">
        <v>221</v>
      </c>
      <c r="BI16" s="79" t="s">
        <v>221</v>
      </c>
      <c r="BJ16" s="79" t="s">
        <v>221</v>
      </c>
      <c r="BK16" s="79" t="s">
        <v>221</v>
      </c>
      <c r="BL16" s="79" t="s">
        <v>221</v>
      </c>
      <c r="BM16" s="79" t="s">
        <v>221</v>
      </c>
      <c r="BN16" s="79" t="s">
        <v>221</v>
      </c>
      <c r="BO16" s="79" t="s">
        <v>221</v>
      </c>
      <c r="BP16" s="79" t="s">
        <v>221</v>
      </c>
      <c r="BQ16" s="79" t="s">
        <v>221</v>
      </c>
      <c r="BR16" s="79" t="s">
        <v>221</v>
      </c>
      <c r="BS16" s="79" t="s">
        <v>221</v>
      </c>
      <c r="BT16" s="79" t="s">
        <v>221</v>
      </c>
      <c r="BU16" s="79" t="s">
        <v>221</v>
      </c>
      <c r="BV16" s="79" t="s">
        <v>221</v>
      </c>
      <c r="BW16" s="79" t="s">
        <v>221</v>
      </c>
      <c r="BX16" s="79" t="s">
        <v>221</v>
      </c>
      <c r="BY16" s="79" t="s">
        <v>221</v>
      </c>
      <c r="BZ16" s="79" t="s">
        <v>221</v>
      </c>
      <c r="CA16" s="79" t="s">
        <v>221</v>
      </c>
      <c r="CB16" s="79" t="s">
        <v>221</v>
      </c>
      <c r="CC16" s="79" t="s">
        <v>221</v>
      </c>
      <c r="CD16" s="79" t="s">
        <v>221</v>
      </c>
      <c r="CE16" s="79" t="s">
        <v>221</v>
      </c>
      <c r="CF16" s="79" t="s">
        <v>221</v>
      </c>
      <c r="CG16" s="79" t="s">
        <v>221</v>
      </c>
      <c r="CH16" s="79" t="s">
        <v>221</v>
      </c>
      <c r="CI16" s="79" t="s">
        <v>221</v>
      </c>
      <c r="CJ16" s="79" t="s">
        <v>221</v>
      </c>
      <c r="CK16" s="79" t="s">
        <v>221</v>
      </c>
      <c r="CL16" s="79" t="s">
        <v>221</v>
      </c>
      <c r="CM16" s="79" t="s">
        <v>221</v>
      </c>
      <c r="CN16" s="44" t="s">
        <v>241</v>
      </c>
      <c r="CO16" s="48" t="s">
        <v>400</v>
      </c>
      <c r="CP16" s="72">
        <v>43727</v>
      </c>
      <c r="CQ16" s="72">
        <v>43748</v>
      </c>
      <c r="CR16" s="48" t="s">
        <v>221</v>
      </c>
      <c r="CS16" s="48" t="s">
        <v>221</v>
      </c>
      <c r="CT16" s="48" t="s">
        <v>221</v>
      </c>
      <c r="CU16" s="48" t="s">
        <v>221</v>
      </c>
      <c r="CV16" s="48" t="s">
        <v>221</v>
      </c>
      <c r="CW16" s="48" t="s">
        <v>221</v>
      </c>
      <c r="CX16" s="48" t="s">
        <v>221</v>
      </c>
      <c r="CY16" s="48" t="s">
        <v>221</v>
      </c>
      <c r="CZ16" s="48" t="s">
        <v>221</v>
      </c>
      <c r="DA16" s="48" t="s">
        <v>221</v>
      </c>
      <c r="DB16" s="48" t="s">
        <v>221</v>
      </c>
      <c r="DC16" s="48" t="s">
        <v>221</v>
      </c>
      <c r="DD16" s="48" t="s">
        <v>221</v>
      </c>
      <c r="DE16" s="48" t="s">
        <v>221</v>
      </c>
      <c r="DF16" s="48" t="s">
        <v>221</v>
      </c>
      <c r="DG16" s="48" t="s">
        <v>221</v>
      </c>
      <c r="DH16" s="48" t="s">
        <v>221</v>
      </c>
      <c r="DI16" s="48" t="s">
        <v>221</v>
      </c>
      <c r="DJ16" s="48" t="s">
        <v>221</v>
      </c>
      <c r="DK16" s="48" t="s">
        <v>221</v>
      </c>
      <c r="DL16" s="48" t="s">
        <v>221</v>
      </c>
      <c r="DM16" s="48" t="s">
        <v>221</v>
      </c>
      <c r="DN16" s="48" t="s">
        <v>221</v>
      </c>
      <c r="DO16" s="48" t="s">
        <v>221</v>
      </c>
      <c r="DP16" s="48" t="s">
        <v>221</v>
      </c>
      <c r="DQ16" s="48" t="s">
        <v>221</v>
      </c>
      <c r="DR16" s="48" t="s">
        <v>221</v>
      </c>
      <c r="DS16" s="48" t="s">
        <v>221</v>
      </c>
      <c r="DT16" s="48" t="s">
        <v>221</v>
      </c>
      <c r="DU16" s="48" t="s">
        <v>221</v>
      </c>
      <c r="DV16" s="48" t="s">
        <v>221</v>
      </c>
      <c r="DW16" s="48" t="s">
        <v>221</v>
      </c>
      <c r="DX16" s="48" t="s">
        <v>221</v>
      </c>
      <c r="DY16" s="48" t="s">
        <v>221</v>
      </c>
      <c r="DZ16" s="48" t="s">
        <v>221</v>
      </c>
      <c r="EA16" s="48" t="s">
        <v>221</v>
      </c>
      <c r="EB16" s="48" t="s">
        <v>221</v>
      </c>
      <c r="EC16" s="48" t="s">
        <v>221</v>
      </c>
      <c r="ED16" s="48" t="s">
        <v>221</v>
      </c>
      <c r="EE16" s="48" t="s">
        <v>221</v>
      </c>
      <c r="EF16" s="48" t="s">
        <v>221</v>
      </c>
      <c r="EG16" s="48" t="s">
        <v>221</v>
      </c>
      <c r="EH16" s="48" t="s">
        <v>221</v>
      </c>
      <c r="EI16" s="72">
        <v>45533</v>
      </c>
      <c r="EJ16" s="48" t="s">
        <v>247</v>
      </c>
      <c r="EK16" s="44" t="s">
        <v>241</v>
      </c>
      <c r="EL16" s="48" t="s">
        <v>401</v>
      </c>
      <c r="EM16" s="72">
        <v>45335</v>
      </c>
      <c r="EN16" s="72">
        <v>45341</v>
      </c>
      <c r="EO16" s="48" t="s">
        <v>250</v>
      </c>
      <c r="EP16" s="44" t="s">
        <v>241</v>
      </c>
      <c r="EQ16" s="48" t="s">
        <v>402</v>
      </c>
      <c r="ER16" s="48" t="s">
        <v>250</v>
      </c>
      <c r="ES16" s="44" t="s">
        <v>241</v>
      </c>
      <c r="ET16" s="48" t="s">
        <v>258</v>
      </c>
      <c r="EU16" s="48" t="s">
        <v>233</v>
      </c>
      <c r="EV16" s="44" t="s">
        <v>221</v>
      </c>
      <c r="EW16" s="44" t="s">
        <v>221</v>
      </c>
      <c r="EX16" s="44" t="s">
        <v>221</v>
      </c>
      <c r="EY16" s="44" t="s">
        <v>221</v>
      </c>
      <c r="EZ16" s="44" t="s">
        <v>221</v>
      </c>
      <c r="FA16" s="44" t="s">
        <v>221</v>
      </c>
      <c r="FB16" s="44" t="s">
        <v>221</v>
      </c>
      <c r="FC16" s="44" t="s">
        <v>221</v>
      </c>
      <c r="FD16" s="44" t="s">
        <v>221</v>
      </c>
      <c r="FE16" s="44" t="s">
        <v>221</v>
      </c>
      <c r="FF16" s="44" t="s">
        <v>221</v>
      </c>
      <c r="FG16" s="44" t="s">
        <v>221</v>
      </c>
      <c r="FH16" s="44" t="s">
        <v>221</v>
      </c>
      <c r="FI16" s="44" t="s">
        <v>221</v>
      </c>
      <c r="FJ16" s="44" t="s">
        <v>221</v>
      </c>
      <c r="FK16" s="44" t="s">
        <v>221</v>
      </c>
      <c r="FL16" s="44" t="s">
        <v>221</v>
      </c>
      <c r="FM16" s="44" t="s">
        <v>221</v>
      </c>
      <c r="FN16" s="44" t="s">
        <v>221</v>
      </c>
      <c r="FO16" s="44" t="s">
        <v>221</v>
      </c>
      <c r="FP16" s="44" t="s">
        <v>221</v>
      </c>
      <c r="FQ16" s="44" t="s">
        <v>221</v>
      </c>
      <c r="FR16" s="44" t="s">
        <v>221</v>
      </c>
      <c r="FS16" s="44" t="s">
        <v>221</v>
      </c>
      <c r="FT16" s="44" t="s">
        <v>221</v>
      </c>
      <c r="FU16" s="44" t="s">
        <v>221</v>
      </c>
      <c r="FV16" s="44" t="s">
        <v>221</v>
      </c>
      <c r="FW16" s="44" t="s">
        <v>221</v>
      </c>
      <c r="FX16" s="44" t="s">
        <v>221</v>
      </c>
      <c r="FY16" s="44" t="s">
        <v>221</v>
      </c>
      <c r="FZ16" s="44" t="s">
        <v>221</v>
      </c>
      <c r="GA16" s="44" t="s">
        <v>221</v>
      </c>
      <c r="GB16" s="44" t="s">
        <v>221</v>
      </c>
      <c r="GC16" s="44" t="s">
        <v>221</v>
      </c>
      <c r="GD16" s="44" t="s">
        <v>221</v>
      </c>
      <c r="GE16" s="44" t="s">
        <v>221</v>
      </c>
      <c r="GF16" s="45" t="s">
        <v>299</v>
      </c>
      <c r="GG16" s="76" t="s">
        <v>221</v>
      </c>
      <c r="GH16" s="76" t="s">
        <v>221</v>
      </c>
      <c r="GI16" s="76" t="s">
        <v>221</v>
      </c>
      <c r="GJ16" s="72">
        <v>46061</v>
      </c>
      <c r="GK16" s="72">
        <v>46085</v>
      </c>
      <c r="GL16" s="72" t="s">
        <v>221</v>
      </c>
      <c r="GM16" s="84" t="str">
        <f t="shared" si="1"/>
        <v>N/A</v>
      </c>
      <c r="GN16" s="84" t="str">
        <f t="shared" si="2"/>
        <v>N/A</v>
      </c>
      <c r="GO16" s="84" t="str">
        <f t="shared" si="3"/>
        <v>N/A</v>
      </c>
      <c r="GP16" s="84">
        <f t="shared" si="4"/>
        <v>0.7</v>
      </c>
      <c r="GQ16" s="84">
        <f t="shared" si="5"/>
        <v>65.166666666666671</v>
      </c>
      <c r="GR16" s="84">
        <f t="shared" si="6"/>
        <v>65.166666666666671</v>
      </c>
      <c r="GS16" s="84" t="str">
        <f t="shared" si="7"/>
        <v>N/A</v>
      </c>
      <c r="GT16" s="84" t="str">
        <f t="shared" si="8"/>
        <v>N/A</v>
      </c>
      <c r="GU16" s="84" t="str">
        <f t="shared" si="9"/>
        <v>N/A</v>
      </c>
      <c r="GV16" s="84" t="str">
        <f t="shared" si="10"/>
        <v>N/A</v>
      </c>
      <c r="GW16" s="84">
        <f t="shared" si="11"/>
        <v>2.4</v>
      </c>
      <c r="GX16" s="84">
        <f t="shared" si="12"/>
        <v>3.1</v>
      </c>
      <c r="GY16" s="84">
        <f t="shared" si="13"/>
        <v>62.6</v>
      </c>
      <c r="GZ16" s="84">
        <f t="shared" si="14"/>
        <v>56</v>
      </c>
      <c r="HA16" s="84">
        <f t="shared" si="15"/>
        <v>56.2</v>
      </c>
      <c r="HB16" s="84">
        <f t="shared" si="16"/>
        <v>62.6</v>
      </c>
      <c r="HC16" s="84" t="str">
        <f t="shared" si="17"/>
        <v>N/A</v>
      </c>
      <c r="HD16" s="84">
        <f t="shared" si="18"/>
        <v>80.2</v>
      </c>
      <c r="HE16" s="84">
        <f t="shared" si="19"/>
        <v>81</v>
      </c>
      <c r="HF16" s="85">
        <f t="shared" si="20"/>
        <v>81</v>
      </c>
      <c r="HG16" s="85" cm="1">
        <f t="array" ref="HG16">INDEX($HB16:$HD16,MATCH(TRUE,INDEX(ISNUMBER($HB16:$HD16),0),0))</f>
        <v>62.6</v>
      </c>
      <c r="HH16" s="82">
        <f t="shared" si="21"/>
        <v>1</v>
      </c>
      <c r="HI16" s="82">
        <f t="shared" si="22"/>
        <v>0</v>
      </c>
      <c r="HJ16" s="82">
        <f t="shared" si="23"/>
        <v>0</v>
      </c>
      <c r="HK16" s="117" t="str">
        <f t="shared" si="24"/>
        <v>1</v>
      </c>
    </row>
    <row r="17" spans="1:219" ht="15" customHeight="1" x14ac:dyDescent="0.3">
      <c r="A17" s="48">
        <v>6505808795</v>
      </c>
      <c r="B17" s="46" t="s">
        <v>220</v>
      </c>
      <c r="C17" s="42" t="s">
        <v>221</v>
      </c>
      <c r="D17" s="43" t="s">
        <v>222</v>
      </c>
      <c r="E17" s="48" t="s">
        <v>221</v>
      </c>
      <c r="F17" s="48" t="s">
        <v>221</v>
      </c>
      <c r="G17" s="48" t="s">
        <v>221</v>
      </c>
      <c r="H17" s="72" t="s">
        <v>221</v>
      </c>
      <c r="I17" s="48" t="s">
        <v>403</v>
      </c>
      <c r="J17" s="48" t="s">
        <v>221</v>
      </c>
      <c r="K17" s="72" t="s">
        <v>221</v>
      </c>
      <c r="L17" s="48" t="s">
        <v>404</v>
      </c>
      <c r="M17" s="48" t="s">
        <v>405</v>
      </c>
      <c r="N17" s="48" t="s">
        <v>284</v>
      </c>
      <c r="O17" s="48" t="s">
        <v>406</v>
      </c>
      <c r="P17" s="74">
        <v>45699</v>
      </c>
      <c r="Q17" s="42" t="s">
        <v>228</v>
      </c>
      <c r="R17" s="83" t="s">
        <v>221</v>
      </c>
      <c r="S17" s="83" t="s">
        <v>221</v>
      </c>
      <c r="T17" s="83" t="s">
        <v>221</v>
      </c>
      <c r="U17" s="83" t="s">
        <v>221</v>
      </c>
      <c r="V17" s="83" t="s">
        <v>221</v>
      </c>
      <c r="W17" s="43" t="s">
        <v>221</v>
      </c>
      <c r="X17" s="43" t="s">
        <v>221</v>
      </c>
      <c r="Y17" s="43" t="s">
        <v>221</v>
      </c>
      <c r="Z17" s="75" t="s">
        <v>221</v>
      </c>
      <c r="AA17" s="43" t="s">
        <v>221</v>
      </c>
      <c r="AB17" s="43" t="s">
        <v>221</v>
      </c>
      <c r="AC17" s="43" t="s">
        <v>221</v>
      </c>
      <c r="AD17" s="43" t="s">
        <v>221</v>
      </c>
      <c r="AE17" s="75" t="s">
        <v>221</v>
      </c>
      <c r="AF17" s="43" t="s">
        <v>221</v>
      </c>
      <c r="AG17" s="43" t="s">
        <v>221</v>
      </c>
      <c r="AH17" s="43" t="s">
        <v>221</v>
      </c>
      <c r="AI17" s="43" t="s">
        <v>221</v>
      </c>
      <c r="AJ17" s="75" t="s">
        <v>221</v>
      </c>
      <c r="AK17" s="43" t="s">
        <v>221</v>
      </c>
      <c r="AL17" s="50" t="s">
        <v>221</v>
      </c>
      <c r="AM17" s="48" t="s">
        <v>221</v>
      </c>
      <c r="AN17" s="48" t="s">
        <v>221</v>
      </c>
      <c r="AO17" s="74" t="s">
        <v>221</v>
      </c>
      <c r="AP17" s="42" t="s">
        <v>221</v>
      </c>
      <c r="AQ17" s="50" t="s">
        <v>288</v>
      </c>
      <c r="AR17" s="72">
        <v>24838</v>
      </c>
      <c r="AS17" s="74">
        <v>45120</v>
      </c>
      <c r="AT17" s="67">
        <f t="shared" si="0"/>
        <v>55</v>
      </c>
      <c r="AU17" s="51" t="s">
        <v>407</v>
      </c>
      <c r="AV17" s="42" t="s">
        <v>232</v>
      </c>
      <c r="AW17" s="43" t="s">
        <v>221</v>
      </c>
      <c r="AX17" s="48" t="s">
        <v>221</v>
      </c>
      <c r="AY17" s="48" t="s">
        <v>221</v>
      </c>
      <c r="AZ17" s="48" t="s">
        <v>408</v>
      </c>
      <c r="BA17" s="48" t="s">
        <v>409</v>
      </c>
      <c r="BB17" s="48" t="s">
        <v>410</v>
      </c>
      <c r="BC17" s="49" t="s">
        <v>288</v>
      </c>
      <c r="BD17" s="45" t="s">
        <v>236</v>
      </c>
      <c r="BE17" s="51" t="s">
        <v>294</v>
      </c>
      <c r="BF17" s="42" t="s">
        <v>222</v>
      </c>
      <c r="BG17" s="79" t="s">
        <v>221</v>
      </c>
      <c r="BH17" s="44" t="s">
        <v>241</v>
      </c>
      <c r="BI17" s="48" t="s">
        <v>411</v>
      </c>
      <c r="BJ17" s="72">
        <v>45203</v>
      </c>
      <c r="BK17" s="72">
        <v>45209</v>
      </c>
      <c r="BL17" s="48" t="s">
        <v>233</v>
      </c>
      <c r="BM17" s="44" t="s">
        <v>238</v>
      </c>
      <c r="BN17" s="48" t="s">
        <v>412</v>
      </c>
      <c r="BO17" s="48" t="s">
        <v>278</v>
      </c>
      <c r="BP17" s="44" t="s">
        <v>221</v>
      </c>
      <c r="BQ17" s="44" t="s">
        <v>221</v>
      </c>
      <c r="BR17" s="44" t="s">
        <v>221</v>
      </c>
      <c r="BS17" s="44" t="s">
        <v>221</v>
      </c>
      <c r="BT17" s="44" t="s">
        <v>221</v>
      </c>
      <c r="BU17" s="44" t="s">
        <v>221</v>
      </c>
      <c r="BV17" s="44" t="s">
        <v>221</v>
      </c>
      <c r="BW17" s="44" t="s">
        <v>221</v>
      </c>
      <c r="BX17" s="44" t="s">
        <v>221</v>
      </c>
      <c r="BY17" s="44" t="s">
        <v>221</v>
      </c>
      <c r="BZ17" s="44" t="s">
        <v>221</v>
      </c>
      <c r="CA17" s="44" t="s">
        <v>221</v>
      </c>
      <c r="CB17" s="44" t="s">
        <v>221</v>
      </c>
      <c r="CC17" s="44" t="s">
        <v>221</v>
      </c>
      <c r="CD17" s="44" t="s">
        <v>221</v>
      </c>
      <c r="CE17" s="44" t="s">
        <v>221</v>
      </c>
      <c r="CF17" s="44" t="s">
        <v>221</v>
      </c>
      <c r="CG17" s="44" t="s">
        <v>221</v>
      </c>
      <c r="CH17" s="44" t="s">
        <v>221</v>
      </c>
      <c r="CI17" s="44" t="s">
        <v>221</v>
      </c>
      <c r="CJ17" s="44" t="s">
        <v>221</v>
      </c>
      <c r="CK17" s="44" t="s">
        <v>221</v>
      </c>
      <c r="CL17" s="44" t="s">
        <v>221</v>
      </c>
      <c r="CM17" s="44" t="s">
        <v>221</v>
      </c>
      <c r="CN17" s="44" t="s">
        <v>221</v>
      </c>
      <c r="CO17" s="44" t="s">
        <v>221</v>
      </c>
      <c r="CP17" s="44" t="s">
        <v>221</v>
      </c>
      <c r="CQ17" s="44" t="s">
        <v>221</v>
      </c>
      <c r="CR17" s="44" t="s">
        <v>221</v>
      </c>
      <c r="CS17" s="44" t="s">
        <v>221</v>
      </c>
      <c r="CT17" s="44" t="s">
        <v>221</v>
      </c>
      <c r="CU17" s="44" t="s">
        <v>221</v>
      </c>
      <c r="CV17" s="44" t="s">
        <v>221</v>
      </c>
      <c r="CW17" s="44" t="s">
        <v>221</v>
      </c>
      <c r="CX17" s="44" t="s">
        <v>221</v>
      </c>
      <c r="CY17" s="44" t="s">
        <v>221</v>
      </c>
      <c r="CZ17" s="44" t="s">
        <v>221</v>
      </c>
      <c r="DA17" s="44" t="s">
        <v>221</v>
      </c>
      <c r="DB17" s="44" t="s">
        <v>221</v>
      </c>
      <c r="DC17" s="44" t="s">
        <v>221</v>
      </c>
      <c r="DD17" s="44" t="s">
        <v>221</v>
      </c>
      <c r="DE17" s="44" t="s">
        <v>221</v>
      </c>
      <c r="DF17" s="44" t="s">
        <v>221</v>
      </c>
      <c r="DG17" s="44" t="s">
        <v>221</v>
      </c>
      <c r="DH17" s="44" t="s">
        <v>221</v>
      </c>
      <c r="DI17" s="44" t="s">
        <v>221</v>
      </c>
      <c r="DJ17" s="44" t="s">
        <v>221</v>
      </c>
      <c r="DK17" s="44" t="s">
        <v>221</v>
      </c>
      <c r="DL17" s="44" t="s">
        <v>221</v>
      </c>
      <c r="DM17" s="44" t="s">
        <v>221</v>
      </c>
      <c r="DN17" s="44" t="s">
        <v>221</v>
      </c>
      <c r="DO17" s="44" t="s">
        <v>221</v>
      </c>
      <c r="DP17" s="44" t="s">
        <v>221</v>
      </c>
      <c r="DQ17" s="44" t="s">
        <v>221</v>
      </c>
      <c r="DR17" s="44" t="s">
        <v>221</v>
      </c>
      <c r="DS17" s="44" t="s">
        <v>221</v>
      </c>
      <c r="DT17" s="44" t="s">
        <v>221</v>
      </c>
      <c r="DU17" s="44" t="s">
        <v>221</v>
      </c>
      <c r="DV17" s="44" t="s">
        <v>221</v>
      </c>
      <c r="DW17" s="44" t="s">
        <v>221</v>
      </c>
      <c r="DX17" s="44" t="s">
        <v>221</v>
      </c>
      <c r="DY17" s="44" t="s">
        <v>221</v>
      </c>
      <c r="DZ17" s="44" t="s">
        <v>221</v>
      </c>
      <c r="EA17" s="44" t="s">
        <v>221</v>
      </c>
      <c r="EB17" s="44" t="s">
        <v>221</v>
      </c>
      <c r="EC17" s="44" t="s">
        <v>221</v>
      </c>
      <c r="ED17" s="44" t="s">
        <v>221</v>
      </c>
      <c r="EE17" s="44" t="s">
        <v>221</v>
      </c>
      <c r="EF17" s="44" t="s">
        <v>221</v>
      </c>
      <c r="EG17" s="44" t="s">
        <v>221</v>
      </c>
      <c r="EH17" s="44" t="s">
        <v>221</v>
      </c>
      <c r="EI17" s="72">
        <v>45420</v>
      </c>
      <c r="EJ17" s="48" t="s">
        <v>413</v>
      </c>
      <c r="EK17" s="44" t="s">
        <v>238</v>
      </c>
      <c r="EL17" s="48" t="s">
        <v>414</v>
      </c>
      <c r="EM17" s="72">
        <v>45449</v>
      </c>
      <c r="EN17" s="72">
        <v>45463</v>
      </c>
      <c r="EO17" s="48" t="s">
        <v>233</v>
      </c>
      <c r="EP17" s="44" t="s">
        <v>238</v>
      </c>
      <c r="EQ17" s="48" t="s">
        <v>415</v>
      </c>
      <c r="ER17" s="48" t="s">
        <v>250</v>
      </c>
      <c r="ES17" s="44" t="s">
        <v>241</v>
      </c>
      <c r="ET17" s="48" t="s">
        <v>416</v>
      </c>
      <c r="EU17" s="48" t="s">
        <v>233</v>
      </c>
      <c r="EV17" s="44" t="s">
        <v>221</v>
      </c>
      <c r="EW17" s="44" t="s">
        <v>221</v>
      </c>
      <c r="EX17" s="44" t="s">
        <v>221</v>
      </c>
      <c r="EY17" s="44" t="s">
        <v>221</v>
      </c>
      <c r="EZ17" s="44" t="s">
        <v>221</v>
      </c>
      <c r="FA17" s="44" t="s">
        <v>221</v>
      </c>
      <c r="FB17" s="44" t="s">
        <v>221</v>
      </c>
      <c r="FC17" s="44" t="s">
        <v>221</v>
      </c>
      <c r="FD17" s="44" t="s">
        <v>221</v>
      </c>
      <c r="FE17" s="44" t="s">
        <v>221</v>
      </c>
      <c r="FF17" s="44" t="s">
        <v>221</v>
      </c>
      <c r="FG17" s="44" t="s">
        <v>221</v>
      </c>
      <c r="FH17" s="44" t="s">
        <v>221</v>
      </c>
      <c r="FI17" s="44" t="s">
        <v>221</v>
      </c>
      <c r="FJ17" s="44" t="s">
        <v>221</v>
      </c>
      <c r="FK17" s="44" t="s">
        <v>221</v>
      </c>
      <c r="FL17" s="44" t="s">
        <v>221</v>
      </c>
      <c r="FM17" s="44" t="s">
        <v>221</v>
      </c>
      <c r="FN17" s="44" t="s">
        <v>221</v>
      </c>
      <c r="FO17" s="44" t="s">
        <v>221</v>
      </c>
      <c r="FP17" s="44" t="s">
        <v>221</v>
      </c>
      <c r="FQ17" s="44" t="s">
        <v>221</v>
      </c>
      <c r="FR17" s="44" t="s">
        <v>221</v>
      </c>
      <c r="FS17" s="44" t="s">
        <v>221</v>
      </c>
      <c r="FT17" s="44" t="s">
        <v>221</v>
      </c>
      <c r="FU17" s="44" t="s">
        <v>221</v>
      </c>
      <c r="FV17" s="44" t="s">
        <v>221</v>
      </c>
      <c r="FW17" s="44" t="s">
        <v>221</v>
      </c>
      <c r="FX17" s="44" t="s">
        <v>221</v>
      </c>
      <c r="FY17" s="44" t="s">
        <v>221</v>
      </c>
      <c r="FZ17" s="44" t="s">
        <v>221</v>
      </c>
      <c r="GA17" s="44" t="s">
        <v>221</v>
      </c>
      <c r="GB17" s="44" t="s">
        <v>221</v>
      </c>
      <c r="GC17" s="44" t="s">
        <v>221</v>
      </c>
      <c r="GD17" s="44" t="s">
        <v>221</v>
      </c>
      <c r="GE17" s="44" t="s">
        <v>221</v>
      </c>
      <c r="GF17" s="45" t="s">
        <v>259</v>
      </c>
      <c r="GG17" s="76">
        <v>45792</v>
      </c>
      <c r="GH17" s="42" t="s">
        <v>222</v>
      </c>
      <c r="GI17" s="50" t="s">
        <v>233</v>
      </c>
      <c r="GJ17" s="72">
        <v>45713</v>
      </c>
      <c r="GK17" s="72" t="s">
        <v>221</v>
      </c>
      <c r="GL17" s="72" t="s">
        <v>417</v>
      </c>
      <c r="GM17" s="84">
        <f t="shared" si="1"/>
        <v>2.7666666666666666</v>
      </c>
      <c r="GN17" s="84">
        <f t="shared" si="2"/>
        <v>2.9666666666666668</v>
      </c>
      <c r="GO17" s="84" t="str">
        <f t="shared" si="3"/>
        <v>N/A</v>
      </c>
      <c r="GP17" s="84" t="str">
        <f t="shared" si="4"/>
        <v>N/A</v>
      </c>
      <c r="GQ17" s="84">
        <f t="shared" si="5"/>
        <v>19.3</v>
      </c>
      <c r="GR17" s="84" t="str">
        <f t="shared" si="6"/>
        <v>N/A</v>
      </c>
      <c r="GS17" s="84" t="str">
        <f t="shared" si="7"/>
        <v>N/A</v>
      </c>
      <c r="GT17" s="84" t="str">
        <f t="shared" si="8"/>
        <v>N/A</v>
      </c>
      <c r="GU17" s="84" t="str">
        <f t="shared" si="9"/>
        <v>N/A</v>
      </c>
      <c r="GV17" s="84" t="str">
        <f t="shared" si="10"/>
        <v>N/A</v>
      </c>
      <c r="GW17" s="84" t="str">
        <f t="shared" si="11"/>
        <v>N/A</v>
      </c>
      <c r="GX17" s="84" t="str">
        <f t="shared" si="12"/>
        <v>N/A</v>
      </c>
      <c r="GY17" s="84">
        <f t="shared" si="13"/>
        <v>10</v>
      </c>
      <c r="GZ17" s="84">
        <f t="shared" si="14"/>
        <v>10.966666666666667</v>
      </c>
      <c r="HA17" s="84">
        <f t="shared" si="15"/>
        <v>11.433333333333334</v>
      </c>
      <c r="HB17" s="84">
        <f t="shared" si="16"/>
        <v>10</v>
      </c>
      <c r="HC17" s="84">
        <f t="shared" si="17"/>
        <v>22.4</v>
      </c>
      <c r="HD17" s="84">
        <f t="shared" si="18"/>
        <v>19.766666666666666</v>
      </c>
      <c r="HE17" s="84" t="str">
        <f t="shared" si="19"/>
        <v>N/A</v>
      </c>
      <c r="HF17" s="85">
        <f t="shared" si="20"/>
        <v>22.4</v>
      </c>
      <c r="HG17" s="85" cm="1">
        <f t="array" ref="HG17">INDEX($HB17:$HD17,MATCH(TRUE,INDEX(ISNUMBER($HB17:$HD17),0),0))</f>
        <v>10</v>
      </c>
      <c r="HH17" s="82">
        <f t="shared" si="21"/>
        <v>1</v>
      </c>
      <c r="HI17" s="82">
        <f t="shared" si="22"/>
        <v>1</v>
      </c>
      <c r="HJ17" s="82">
        <f t="shared" si="23"/>
        <v>1</v>
      </c>
      <c r="HK17" s="117" t="str">
        <f t="shared" si="24"/>
        <v>1</v>
      </c>
    </row>
    <row r="18" spans="1:219" ht="15" customHeight="1" x14ac:dyDescent="0.3">
      <c r="A18" s="48">
        <v>4362000127</v>
      </c>
      <c r="B18" s="46" t="s">
        <v>220</v>
      </c>
      <c r="C18" s="42" t="s">
        <v>221</v>
      </c>
      <c r="D18" s="43" t="s">
        <v>220</v>
      </c>
      <c r="E18" s="48" t="s">
        <v>221</v>
      </c>
      <c r="F18" s="48" t="s">
        <v>221</v>
      </c>
      <c r="G18" s="48" t="s">
        <v>221</v>
      </c>
      <c r="H18" s="72" t="s">
        <v>221</v>
      </c>
      <c r="I18" s="48" t="s">
        <v>369</v>
      </c>
      <c r="J18" s="48" t="s">
        <v>221</v>
      </c>
      <c r="K18" s="72" t="s">
        <v>221</v>
      </c>
      <c r="L18" s="48" t="s">
        <v>363</v>
      </c>
      <c r="M18" s="48" t="s">
        <v>418</v>
      </c>
      <c r="N18" s="48" t="s">
        <v>419</v>
      </c>
      <c r="O18" s="48" t="s">
        <v>420</v>
      </c>
      <c r="P18" s="74">
        <v>45765</v>
      </c>
      <c r="Q18" s="42" t="s">
        <v>286</v>
      </c>
      <c r="R18" s="50" t="s">
        <v>418</v>
      </c>
      <c r="S18" s="48" t="s">
        <v>421</v>
      </c>
      <c r="T18" s="48" t="s">
        <v>420</v>
      </c>
      <c r="U18" s="74">
        <v>45765</v>
      </c>
      <c r="V18" s="42" t="s">
        <v>286</v>
      </c>
      <c r="W18" s="43" t="s">
        <v>221</v>
      </c>
      <c r="X18" s="43" t="s">
        <v>221</v>
      </c>
      <c r="Y18" s="43" t="s">
        <v>221</v>
      </c>
      <c r="Z18" s="75" t="s">
        <v>221</v>
      </c>
      <c r="AA18" s="43" t="s">
        <v>221</v>
      </c>
      <c r="AB18" s="43" t="s">
        <v>221</v>
      </c>
      <c r="AC18" s="43" t="s">
        <v>221</v>
      </c>
      <c r="AD18" s="43" t="s">
        <v>221</v>
      </c>
      <c r="AE18" s="75" t="s">
        <v>221</v>
      </c>
      <c r="AF18" s="43" t="s">
        <v>221</v>
      </c>
      <c r="AG18" s="43" t="s">
        <v>221</v>
      </c>
      <c r="AH18" s="43" t="s">
        <v>221</v>
      </c>
      <c r="AI18" s="43" t="s">
        <v>221</v>
      </c>
      <c r="AJ18" s="75" t="s">
        <v>221</v>
      </c>
      <c r="AK18" s="43" t="s">
        <v>221</v>
      </c>
      <c r="AL18" s="50" t="s">
        <v>221</v>
      </c>
      <c r="AM18" s="48" t="s">
        <v>221</v>
      </c>
      <c r="AN18" s="48" t="s">
        <v>221</v>
      </c>
      <c r="AO18" s="74" t="s">
        <v>221</v>
      </c>
      <c r="AP18" s="42" t="s">
        <v>221</v>
      </c>
      <c r="AQ18" s="50" t="s">
        <v>288</v>
      </c>
      <c r="AR18" s="72">
        <v>14387</v>
      </c>
      <c r="AS18" s="74">
        <v>45765</v>
      </c>
      <c r="AT18" s="67">
        <f t="shared" si="0"/>
        <v>85</v>
      </c>
      <c r="AU18" s="51" t="s">
        <v>422</v>
      </c>
      <c r="AV18" s="42" t="s">
        <v>290</v>
      </c>
      <c r="AW18" s="43" t="s">
        <v>221</v>
      </c>
      <c r="AX18" s="48" t="s">
        <v>221</v>
      </c>
      <c r="AY18" s="48" t="s">
        <v>221</v>
      </c>
      <c r="AZ18" s="48" t="s">
        <v>292</v>
      </c>
      <c r="BA18" s="48" t="s">
        <v>423</v>
      </c>
      <c r="BB18" s="48" t="s">
        <v>424</v>
      </c>
      <c r="BC18" s="49" t="s">
        <v>308</v>
      </c>
      <c r="BD18" s="45" t="s">
        <v>236</v>
      </c>
      <c r="BE18" s="51" t="s">
        <v>294</v>
      </c>
      <c r="BF18" s="42" t="s">
        <v>220</v>
      </c>
      <c r="BG18" s="79" t="s">
        <v>221</v>
      </c>
      <c r="BH18" s="44" t="s">
        <v>221</v>
      </c>
      <c r="BI18" s="44" t="s">
        <v>221</v>
      </c>
      <c r="BJ18" s="44" t="s">
        <v>221</v>
      </c>
      <c r="BK18" s="44" t="s">
        <v>221</v>
      </c>
      <c r="BL18" s="44" t="s">
        <v>221</v>
      </c>
      <c r="BM18" s="44" t="s">
        <v>221</v>
      </c>
      <c r="BN18" s="44" t="s">
        <v>221</v>
      </c>
      <c r="BO18" s="44" t="s">
        <v>221</v>
      </c>
      <c r="BP18" s="44" t="s">
        <v>221</v>
      </c>
      <c r="BQ18" s="44" t="s">
        <v>221</v>
      </c>
      <c r="BR18" s="44" t="s">
        <v>221</v>
      </c>
      <c r="BS18" s="44" t="s">
        <v>221</v>
      </c>
      <c r="BT18" s="44" t="s">
        <v>221</v>
      </c>
      <c r="BU18" s="44" t="s">
        <v>221</v>
      </c>
      <c r="BV18" s="44" t="s">
        <v>221</v>
      </c>
      <c r="BW18" s="44" t="s">
        <v>221</v>
      </c>
      <c r="BX18" s="44" t="s">
        <v>221</v>
      </c>
      <c r="BY18" s="44" t="s">
        <v>221</v>
      </c>
      <c r="BZ18" s="44" t="s">
        <v>221</v>
      </c>
      <c r="CA18" s="44" t="s">
        <v>221</v>
      </c>
      <c r="CB18" s="44" t="s">
        <v>221</v>
      </c>
      <c r="CC18" s="44" t="s">
        <v>221</v>
      </c>
      <c r="CD18" s="44" t="s">
        <v>221</v>
      </c>
      <c r="CE18" s="44" t="s">
        <v>221</v>
      </c>
      <c r="CF18" s="44" t="s">
        <v>221</v>
      </c>
      <c r="CG18" s="44" t="s">
        <v>221</v>
      </c>
      <c r="CH18" s="44" t="s">
        <v>221</v>
      </c>
      <c r="CI18" s="44" t="s">
        <v>221</v>
      </c>
      <c r="CJ18" s="44" t="s">
        <v>221</v>
      </c>
      <c r="CK18" s="44" t="s">
        <v>221</v>
      </c>
      <c r="CL18" s="44" t="s">
        <v>221</v>
      </c>
      <c r="CM18" s="44" t="s">
        <v>221</v>
      </c>
      <c r="CN18" s="44" t="s">
        <v>221</v>
      </c>
      <c r="CO18" s="44" t="s">
        <v>221</v>
      </c>
      <c r="CP18" s="44" t="s">
        <v>221</v>
      </c>
      <c r="CQ18" s="44" t="s">
        <v>221</v>
      </c>
      <c r="CR18" s="44" t="s">
        <v>221</v>
      </c>
      <c r="CS18" s="44" t="s">
        <v>221</v>
      </c>
      <c r="CT18" s="44" t="s">
        <v>221</v>
      </c>
      <c r="CU18" s="44" t="s">
        <v>221</v>
      </c>
      <c r="CV18" s="44" t="s">
        <v>221</v>
      </c>
      <c r="CW18" s="44" t="s">
        <v>221</v>
      </c>
      <c r="CX18" s="44" t="s">
        <v>221</v>
      </c>
      <c r="CY18" s="44" t="s">
        <v>221</v>
      </c>
      <c r="CZ18" s="44" t="s">
        <v>221</v>
      </c>
      <c r="DA18" s="44" t="s">
        <v>221</v>
      </c>
      <c r="DB18" s="44" t="s">
        <v>221</v>
      </c>
      <c r="DC18" s="44" t="s">
        <v>221</v>
      </c>
      <c r="DD18" s="44" t="s">
        <v>221</v>
      </c>
      <c r="DE18" s="44" t="s">
        <v>221</v>
      </c>
      <c r="DF18" s="44" t="s">
        <v>221</v>
      </c>
      <c r="DG18" s="44" t="s">
        <v>221</v>
      </c>
      <c r="DH18" s="44" t="s">
        <v>221</v>
      </c>
      <c r="DI18" s="44" t="s">
        <v>221</v>
      </c>
      <c r="DJ18" s="44" t="s">
        <v>221</v>
      </c>
      <c r="DK18" s="44" t="s">
        <v>221</v>
      </c>
      <c r="DL18" s="44" t="s">
        <v>221</v>
      </c>
      <c r="DM18" s="44" t="s">
        <v>221</v>
      </c>
      <c r="DN18" s="44" t="s">
        <v>221</v>
      </c>
      <c r="DO18" s="44" t="s">
        <v>221</v>
      </c>
      <c r="DP18" s="44" t="s">
        <v>221</v>
      </c>
      <c r="DQ18" s="44" t="s">
        <v>221</v>
      </c>
      <c r="DR18" s="44" t="s">
        <v>221</v>
      </c>
      <c r="DS18" s="44" t="s">
        <v>221</v>
      </c>
      <c r="DT18" s="44" t="s">
        <v>221</v>
      </c>
      <c r="DU18" s="44" t="s">
        <v>221</v>
      </c>
      <c r="DV18" s="44" t="s">
        <v>221</v>
      </c>
      <c r="DW18" s="44" t="s">
        <v>221</v>
      </c>
      <c r="DX18" s="44" t="s">
        <v>221</v>
      </c>
      <c r="DY18" s="44" t="s">
        <v>221</v>
      </c>
      <c r="DZ18" s="44" t="s">
        <v>221</v>
      </c>
      <c r="EA18" s="44" t="s">
        <v>221</v>
      </c>
      <c r="EB18" s="44" t="s">
        <v>221</v>
      </c>
      <c r="EC18" s="44" t="s">
        <v>221</v>
      </c>
      <c r="ED18" s="44" t="s">
        <v>221</v>
      </c>
      <c r="EE18" s="44" t="s">
        <v>221</v>
      </c>
      <c r="EF18" s="44" t="s">
        <v>221</v>
      </c>
      <c r="EG18" s="44" t="s">
        <v>221</v>
      </c>
      <c r="EH18" s="44" t="s">
        <v>221</v>
      </c>
      <c r="EI18" s="72" t="s">
        <v>221</v>
      </c>
      <c r="EJ18" s="72" t="s">
        <v>221</v>
      </c>
      <c r="EK18" s="72" t="s">
        <v>221</v>
      </c>
      <c r="EL18" s="72" t="s">
        <v>221</v>
      </c>
      <c r="EM18" s="72" t="s">
        <v>221</v>
      </c>
      <c r="EN18" s="72" t="s">
        <v>221</v>
      </c>
      <c r="EO18" s="72" t="s">
        <v>221</v>
      </c>
      <c r="EP18" s="72" t="s">
        <v>221</v>
      </c>
      <c r="EQ18" s="72" t="s">
        <v>221</v>
      </c>
      <c r="ER18" s="72" t="s">
        <v>221</v>
      </c>
      <c r="ES18" s="72" t="s">
        <v>221</v>
      </c>
      <c r="ET18" s="72" t="s">
        <v>221</v>
      </c>
      <c r="EU18" s="72" t="s">
        <v>221</v>
      </c>
      <c r="EV18" s="72" t="s">
        <v>221</v>
      </c>
      <c r="EW18" s="72" t="s">
        <v>221</v>
      </c>
      <c r="EX18" s="72" t="s">
        <v>221</v>
      </c>
      <c r="EY18" s="72" t="s">
        <v>221</v>
      </c>
      <c r="EZ18" s="72" t="s">
        <v>221</v>
      </c>
      <c r="FA18" s="72" t="s">
        <v>221</v>
      </c>
      <c r="FB18" s="72" t="s">
        <v>221</v>
      </c>
      <c r="FC18" s="72" t="s">
        <v>221</v>
      </c>
      <c r="FD18" s="72" t="s">
        <v>221</v>
      </c>
      <c r="FE18" s="72" t="s">
        <v>221</v>
      </c>
      <c r="FF18" s="72" t="s">
        <v>221</v>
      </c>
      <c r="FG18" s="72" t="s">
        <v>221</v>
      </c>
      <c r="FH18" s="72" t="s">
        <v>221</v>
      </c>
      <c r="FI18" s="72" t="s">
        <v>221</v>
      </c>
      <c r="FJ18" s="72" t="s">
        <v>221</v>
      </c>
      <c r="FK18" s="72" t="s">
        <v>221</v>
      </c>
      <c r="FL18" s="72" t="s">
        <v>221</v>
      </c>
      <c r="FM18" s="72" t="s">
        <v>221</v>
      </c>
      <c r="FN18" s="72" t="s">
        <v>221</v>
      </c>
      <c r="FO18" s="72" t="s">
        <v>221</v>
      </c>
      <c r="FP18" s="72" t="s">
        <v>221</v>
      </c>
      <c r="FQ18" s="72" t="s">
        <v>221</v>
      </c>
      <c r="FR18" s="72" t="s">
        <v>221</v>
      </c>
      <c r="FS18" s="72" t="s">
        <v>221</v>
      </c>
      <c r="FT18" s="72" t="s">
        <v>221</v>
      </c>
      <c r="FU18" s="72" t="s">
        <v>221</v>
      </c>
      <c r="FV18" s="72" t="s">
        <v>221</v>
      </c>
      <c r="FW18" s="72" t="s">
        <v>221</v>
      </c>
      <c r="FX18" s="72" t="s">
        <v>221</v>
      </c>
      <c r="FY18" s="72" t="s">
        <v>221</v>
      </c>
      <c r="FZ18" s="72" t="s">
        <v>221</v>
      </c>
      <c r="GA18" s="72" t="s">
        <v>221</v>
      </c>
      <c r="GB18" s="72" t="s">
        <v>221</v>
      </c>
      <c r="GC18" s="72" t="s">
        <v>221</v>
      </c>
      <c r="GD18" s="72" t="s">
        <v>221</v>
      </c>
      <c r="GE18" s="72" t="s">
        <v>221</v>
      </c>
      <c r="GF18" s="45" t="s">
        <v>259</v>
      </c>
      <c r="GG18" s="76">
        <v>45847</v>
      </c>
      <c r="GH18" s="42" t="s">
        <v>222</v>
      </c>
      <c r="GI18" s="50" t="s">
        <v>233</v>
      </c>
      <c r="GJ18" s="72">
        <v>45842</v>
      </c>
      <c r="GK18" s="72" t="s">
        <v>221</v>
      </c>
      <c r="GL18" s="72" t="s">
        <v>425</v>
      </c>
      <c r="GM18" s="84" t="str">
        <f t="shared" si="1"/>
        <v>N/A</v>
      </c>
      <c r="GN18" s="84" t="str">
        <f t="shared" si="2"/>
        <v>N/A</v>
      </c>
      <c r="GO18" s="84" t="str">
        <f t="shared" si="3"/>
        <v>N/A</v>
      </c>
      <c r="GP18" s="84" t="str">
        <f t="shared" si="4"/>
        <v>N/A</v>
      </c>
      <c r="GQ18" s="84">
        <f t="shared" si="5"/>
        <v>0</v>
      </c>
      <c r="GR18" s="84">
        <f t="shared" si="6"/>
        <v>0</v>
      </c>
      <c r="GS18" s="84" t="str">
        <f t="shared" si="7"/>
        <v>N/A</v>
      </c>
      <c r="GT18" s="84" t="str">
        <f t="shared" si="8"/>
        <v>N/A</v>
      </c>
      <c r="GU18" s="84" t="str">
        <f t="shared" si="9"/>
        <v>N/A</v>
      </c>
      <c r="GV18" s="84" t="str">
        <f t="shared" si="10"/>
        <v>N/A</v>
      </c>
      <c r="GW18" s="84" t="str">
        <f t="shared" si="11"/>
        <v>N/A</v>
      </c>
      <c r="GX18" s="84" t="str">
        <f t="shared" si="12"/>
        <v>N/A</v>
      </c>
      <c r="GY18" s="84" t="str">
        <f t="shared" si="13"/>
        <v>N/A</v>
      </c>
      <c r="GZ18" s="84" t="str">
        <f t="shared" si="14"/>
        <v>N/A</v>
      </c>
      <c r="HA18" s="84" t="str">
        <f t="shared" si="15"/>
        <v>N/A</v>
      </c>
      <c r="HB18" s="84" t="str">
        <f t="shared" si="16"/>
        <v>N/A</v>
      </c>
      <c r="HC18" s="84">
        <f t="shared" si="17"/>
        <v>2.7333333333333334</v>
      </c>
      <c r="HD18" s="84">
        <f t="shared" si="18"/>
        <v>2.5666666666666669</v>
      </c>
      <c r="HE18" s="84" t="str">
        <f t="shared" si="19"/>
        <v>N/A</v>
      </c>
      <c r="HF18" s="85">
        <f t="shared" si="20"/>
        <v>2.7333333333333334</v>
      </c>
      <c r="HG18" s="85" cm="1">
        <f t="array" ref="HG18">INDEX($HB18:$HD18,MATCH(TRUE,INDEX(ISNUMBER($HB18:$HD18),0),0))</f>
        <v>2.7333333333333334</v>
      </c>
      <c r="HH18" s="82">
        <f t="shared" si="21"/>
        <v>0</v>
      </c>
      <c r="HI18" s="82">
        <f t="shared" si="22"/>
        <v>1</v>
      </c>
      <c r="HJ18" s="82">
        <f t="shared" si="23"/>
        <v>1</v>
      </c>
      <c r="HK18" s="117" t="str">
        <f t="shared" si="24"/>
        <v>1</v>
      </c>
    </row>
    <row r="19" spans="1:219" ht="15" customHeight="1" x14ac:dyDescent="0.3">
      <c r="A19" s="48">
        <v>4043521421</v>
      </c>
      <c r="B19" s="46" t="s">
        <v>220</v>
      </c>
      <c r="C19" s="42" t="s">
        <v>221</v>
      </c>
      <c r="D19" s="43" t="s">
        <v>222</v>
      </c>
      <c r="E19" s="48" t="s">
        <v>221</v>
      </c>
      <c r="F19" s="48" t="s">
        <v>221</v>
      </c>
      <c r="G19" s="48" t="s">
        <v>221</v>
      </c>
      <c r="H19" s="72" t="s">
        <v>221</v>
      </c>
      <c r="I19" s="48" t="s">
        <v>426</v>
      </c>
      <c r="J19" s="48" t="s">
        <v>221</v>
      </c>
      <c r="K19" s="72" t="s">
        <v>221</v>
      </c>
      <c r="L19" s="48" t="s">
        <v>427</v>
      </c>
      <c r="M19" s="48" t="s">
        <v>428</v>
      </c>
      <c r="N19" s="48" t="s">
        <v>226</v>
      </c>
      <c r="O19" s="48" t="s">
        <v>429</v>
      </c>
      <c r="P19" s="74">
        <v>45855</v>
      </c>
      <c r="Q19" s="42" t="s">
        <v>228</v>
      </c>
      <c r="R19" s="83" t="s">
        <v>221</v>
      </c>
      <c r="S19" s="83" t="s">
        <v>221</v>
      </c>
      <c r="T19" s="83" t="s">
        <v>221</v>
      </c>
      <c r="U19" s="83" t="s">
        <v>221</v>
      </c>
      <c r="V19" s="83" t="s">
        <v>221</v>
      </c>
      <c r="W19" s="43" t="s">
        <v>221</v>
      </c>
      <c r="X19" s="43" t="s">
        <v>221</v>
      </c>
      <c r="Y19" s="43" t="s">
        <v>221</v>
      </c>
      <c r="Z19" s="75" t="s">
        <v>221</v>
      </c>
      <c r="AA19" s="43" t="s">
        <v>221</v>
      </c>
      <c r="AB19" s="43" t="s">
        <v>221</v>
      </c>
      <c r="AC19" s="43" t="s">
        <v>221</v>
      </c>
      <c r="AD19" s="43" t="s">
        <v>221</v>
      </c>
      <c r="AE19" s="75" t="s">
        <v>221</v>
      </c>
      <c r="AF19" s="43" t="s">
        <v>221</v>
      </c>
      <c r="AG19" s="43" t="s">
        <v>221</v>
      </c>
      <c r="AH19" s="43" t="s">
        <v>221</v>
      </c>
      <c r="AI19" s="43" t="s">
        <v>221</v>
      </c>
      <c r="AJ19" s="75" t="s">
        <v>221</v>
      </c>
      <c r="AK19" s="43" t="s">
        <v>221</v>
      </c>
      <c r="AL19" s="50" t="s">
        <v>221</v>
      </c>
      <c r="AM19" s="48" t="s">
        <v>221</v>
      </c>
      <c r="AN19" s="48" t="s">
        <v>221</v>
      </c>
      <c r="AO19" s="74" t="s">
        <v>221</v>
      </c>
      <c r="AP19" s="42" t="s">
        <v>221</v>
      </c>
      <c r="AQ19" s="50" t="s">
        <v>288</v>
      </c>
      <c r="AR19" s="72">
        <v>26360</v>
      </c>
      <c r="AS19" s="74">
        <v>45625</v>
      </c>
      <c r="AT19" s="67">
        <f t="shared" si="0"/>
        <v>52</v>
      </c>
      <c r="AU19" s="51" t="s">
        <v>430</v>
      </c>
      <c r="AV19" s="42" t="s">
        <v>232</v>
      </c>
      <c r="AW19" s="43" t="s">
        <v>221</v>
      </c>
      <c r="AX19" s="43" t="s">
        <v>221</v>
      </c>
      <c r="AY19" s="43" t="s">
        <v>221</v>
      </c>
      <c r="AZ19" s="48" t="s">
        <v>233</v>
      </c>
      <c r="BA19" s="48" t="s">
        <v>408</v>
      </c>
      <c r="BB19" s="48" t="s">
        <v>431</v>
      </c>
      <c r="BC19" s="49">
        <v>3</v>
      </c>
      <c r="BD19" s="45" t="s">
        <v>236</v>
      </c>
      <c r="BE19" s="51" t="s">
        <v>332</v>
      </c>
      <c r="BF19" s="42" t="s">
        <v>222</v>
      </c>
      <c r="BG19" s="79" t="s">
        <v>221</v>
      </c>
      <c r="BH19" s="44" t="s">
        <v>238</v>
      </c>
      <c r="BI19" s="48" t="s">
        <v>432</v>
      </c>
      <c r="BJ19" s="72">
        <v>45679</v>
      </c>
      <c r="BK19" s="72">
        <v>45785</v>
      </c>
      <c r="BL19" s="48" t="s">
        <v>255</v>
      </c>
      <c r="BM19" s="44" t="s">
        <v>221</v>
      </c>
      <c r="BN19" s="44" t="s">
        <v>221</v>
      </c>
      <c r="BO19" s="44" t="s">
        <v>221</v>
      </c>
      <c r="BP19" s="44" t="s">
        <v>221</v>
      </c>
      <c r="BQ19" s="44" t="s">
        <v>221</v>
      </c>
      <c r="BR19" s="44" t="s">
        <v>221</v>
      </c>
      <c r="BS19" s="44" t="s">
        <v>221</v>
      </c>
      <c r="BT19" s="44" t="s">
        <v>221</v>
      </c>
      <c r="BU19" s="44" t="s">
        <v>221</v>
      </c>
      <c r="BV19" s="44" t="s">
        <v>221</v>
      </c>
      <c r="BW19" s="44" t="s">
        <v>221</v>
      </c>
      <c r="BX19" s="44" t="s">
        <v>221</v>
      </c>
      <c r="BY19" s="44" t="s">
        <v>221</v>
      </c>
      <c r="BZ19" s="44" t="s">
        <v>221</v>
      </c>
      <c r="CA19" s="44" t="s">
        <v>221</v>
      </c>
      <c r="CB19" s="44" t="s">
        <v>221</v>
      </c>
      <c r="CC19" s="44" t="s">
        <v>221</v>
      </c>
      <c r="CD19" s="44" t="s">
        <v>221</v>
      </c>
      <c r="CE19" s="44" t="s">
        <v>221</v>
      </c>
      <c r="CF19" s="44" t="s">
        <v>221</v>
      </c>
      <c r="CG19" s="44" t="s">
        <v>221</v>
      </c>
      <c r="CH19" s="44" t="s">
        <v>221</v>
      </c>
      <c r="CI19" s="44" t="s">
        <v>221</v>
      </c>
      <c r="CJ19" s="44" t="s">
        <v>221</v>
      </c>
      <c r="CK19" s="44" t="s">
        <v>221</v>
      </c>
      <c r="CL19" s="44" t="s">
        <v>221</v>
      </c>
      <c r="CM19" s="44" t="s">
        <v>221</v>
      </c>
      <c r="CN19" s="44" t="s">
        <v>221</v>
      </c>
      <c r="CO19" s="44" t="s">
        <v>221</v>
      </c>
      <c r="CP19" s="44" t="s">
        <v>221</v>
      </c>
      <c r="CQ19" s="44" t="s">
        <v>221</v>
      </c>
      <c r="CR19" s="44" t="s">
        <v>221</v>
      </c>
      <c r="CS19" s="44" t="s">
        <v>221</v>
      </c>
      <c r="CT19" s="44" t="s">
        <v>221</v>
      </c>
      <c r="CU19" s="44" t="s">
        <v>221</v>
      </c>
      <c r="CV19" s="44" t="s">
        <v>221</v>
      </c>
      <c r="CW19" s="44" t="s">
        <v>221</v>
      </c>
      <c r="CX19" s="44" t="s">
        <v>221</v>
      </c>
      <c r="CY19" s="44" t="s">
        <v>221</v>
      </c>
      <c r="CZ19" s="44" t="s">
        <v>221</v>
      </c>
      <c r="DA19" s="44" t="s">
        <v>221</v>
      </c>
      <c r="DB19" s="44" t="s">
        <v>221</v>
      </c>
      <c r="DC19" s="44" t="s">
        <v>221</v>
      </c>
      <c r="DD19" s="44" t="s">
        <v>221</v>
      </c>
      <c r="DE19" s="44" t="s">
        <v>221</v>
      </c>
      <c r="DF19" s="44" t="s">
        <v>221</v>
      </c>
      <c r="DG19" s="44" t="s">
        <v>221</v>
      </c>
      <c r="DH19" s="44" t="s">
        <v>221</v>
      </c>
      <c r="DI19" s="44" t="s">
        <v>221</v>
      </c>
      <c r="DJ19" s="44" t="s">
        <v>221</v>
      </c>
      <c r="DK19" s="44" t="s">
        <v>221</v>
      </c>
      <c r="DL19" s="44" t="s">
        <v>221</v>
      </c>
      <c r="DM19" s="44" t="s">
        <v>221</v>
      </c>
      <c r="DN19" s="44" t="s">
        <v>221</v>
      </c>
      <c r="DO19" s="44" t="s">
        <v>221</v>
      </c>
      <c r="DP19" s="44" t="s">
        <v>221</v>
      </c>
      <c r="DQ19" s="44" t="s">
        <v>221</v>
      </c>
      <c r="DR19" s="44" t="s">
        <v>221</v>
      </c>
      <c r="DS19" s="44" t="s">
        <v>221</v>
      </c>
      <c r="DT19" s="44" t="s">
        <v>221</v>
      </c>
      <c r="DU19" s="44" t="s">
        <v>221</v>
      </c>
      <c r="DV19" s="44" t="s">
        <v>221</v>
      </c>
      <c r="DW19" s="44" t="s">
        <v>221</v>
      </c>
      <c r="DX19" s="44" t="s">
        <v>221</v>
      </c>
      <c r="DY19" s="44" t="s">
        <v>221</v>
      </c>
      <c r="DZ19" s="44" t="s">
        <v>221</v>
      </c>
      <c r="EA19" s="44" t="s">
        <v>221</v>
      </c>
      <c r="EB19" s="44" t="s">
        <v>221</v>
      </c>
      <c r="EC19" s="44" t="s">
        <v>221</v>
      </c>
      <c r="ED19" s="44" t="s">
        <v>221</v>
      </c>
      <c r="EE19" s="44" t="s">
        <v>221</v>
      </c>
      <c r="EF19" s="44" t="s">
        <v>221</v>
      </c>
      <c r="EG19" s="44" t="s">
        <v>221</v>
      </c>
      <c r="EH19" s="44" t="s">
        <v>221</v>
      </c>
      <c r="EI19" s="72">
        <v>45779</v>
      </c>
      <c r="EJ19" s="48" t="s">
        <v>433</v>
      </c>
      <c r="EK19" s="44" t="s">
        <v>221</v>
      </c>
      <c r="EL19" s="44" t="s">
        <v>221</v>
      </c>
      <c r="EM19" s="44" t="s">
        <v>221</v>
      </c>
      <c r="EN19" s="44" t="s">
        <v>221</v>
      </c>
      <c r="EO19" s="44" t="s">
        <v>221</v>
      </c>
      <c r="EP19" s="44" t="s">
        <v>221</v>
      </c>
      <c r="EQ19" s="44" t="s">
        <v>221</v>
      </c>
      <c r="ER19" s="44" t="s">
        <v>221</v>
      </c>
      <c r="ES19" s="44" t="s">
        <v>221</v>
      </c>
      <c r="ET19" s="44" t="s">
        <v>221</v>
      </c>
      <c r="EU19" s="44" t="s">
        <v>221</v>
      </c>
      <c r="EV19" s="44" t="s">
        <v>221</v>
      </c>
      <c r="EW19" s="44" t="s">
        <v>221</v>
      </c>
      <c r="EX19" s="44" t="s">
        <v>221</v>
      </c>
      <c r="EY19" s="44" t="s">
        <v>221</v>
      </c>
      <c r="EZ19" s="44" t="s">
        <v>221</v>
      </c>
      <c r="FA19" s="44" t="s">
        <v>221</v>
      </c>
      <c r="FB19" s="44" t="s">
        <v>221</v>
      </c>
      <c r="FC19" s="44" t="s">
        <v>221</v>
      </c>
      <c r="FD19" s="44" t="s">
        <v>221</v>
      </c>
      <c r="FE19" s="44" t="s">
        <v>221</v>
      </c>
      <c r="FF19" s="44" t="s">
        <v>221</v>
      </c>
      <c r="FG19" s="44" t="s">
        <v>221</v>
      </c>
      <c r="FH19" s="44" t="s">
        <v>221</v>
      </c>
      <c r="FI19" s="44" t="s">
        <v>221</v>
      </c>
      <c r="FJ19" s="44" t="s">
        <v>221</v>
      </c>
      <c r="FK19" s="44" t="s">
        <v>221</v>
      </c>
      <c r="FL19" s="44" t="s">
        <v>221</v>
      </c>
      <c r="FM19" s="44" t="s">
        <v>221</v>
      </c>
      <c r="FN19" s="44" t="s">
        <v>221</v>
      </c>
      <c r="FO19" s="44" t="s">
        <v>221</v>
      </c>
      <c r="FP19" s="44" t="s">
        <v>221</v>
      </c>
      <c r="FQ19" s="44" t="s">
        <v>221</v>
      </c>
      <c r="FR19" s="44" t="s">
        <v>221</v>
      </c>
      <c r="FS19" s="44" t="s">
        <v>221</v>
      </c>
      <c r="FT19" s="44" t="s">
        <v>221</v>
      </c>
      <c r="FU19" s="44" t="s">
        <v>221</v>
      </c>
      <c r="FV19" s="44" t="s">
        <v>221</v>
      </c>
      <c r="FW19" s="44" t="s">
        <v>221</v>
      </c>
      <c r="FX19" s="44" t="s">
        <v>221</v>
      </c>
      <c r="FY19" s="44" t="s">
        <v>221</v>
      </c>
      <c r="FZ19" s="44" t="s">
        <v>221</v>
      </c>
      <c r="GA19" s="44" t="s">
        <v>221</v>
      </c>
      <c r="GB19" s="44" t="s">
        <v>221</v>
      </c>
      <c r="GC19" s="44" t="s">
        <v>221</v>
      </c>
      <c r="GD19" s="44" t="s">
        <v>221</v>
      </c>
      <c r="GE19" s="44" t="s">
        <v>221</v>
      </c>
      <c r="GF19" s="45" t="s">
        <v>259</v>
      </c>
      <c r="GG19" s="76">
        <v>45926</v>
      </c>
      <c r="GH19" s="42" t="s">
        <v>222</v>
      </c>
      <c r="GI19" s="50" t="s">
        <v>434</v>
      </c>
      <c r="GJ19" s="72">
        <v>45903</v>
      </c>
      <c r="GK19" s="72" t="s">
        <v>221</v>
      </c>
      <c r="GL19" s="72" t="s">
        <v>221</v>
      </c>
      <c r="GM19" s="84">
        <f t="shared" si="1"/>
        <v>1.8</v>
      </c>
      <c r="GN19" s="84">
        <f t="shared" si="2"/>
        <v>5.333333333333333</v>
      </c>
      <c r="GO19" s="84" t="str">
        <f t="shared" si="3"/>
        <v>N/A</v>
      </c>
      <c r="GP19" s="84" t="str">
        <f t="shared" si="4"/>
        <v>N/A</v>
      </c>
      <c r="GQ19" s="84">
        <f t="shared" si="5"/>
        <v>7.666666666666667</v>
      </c>
      <c r="GR19" s="84" t="str">
        <f t="shared" si="6"/>
        <v>N/A</v>
      </c>
      <c r="GS19" s="84" t="str">
        <f t="shared" si="7"/>
        <v>N/A</v>
      </c>
      <c r="GT19" s="84" t="str">
        <f t="shared" si="8"/>
        <v>N/A</v>
      </c>
      <c r="GU19" s="84" t="str">
        <f t="shared" si="9"/>
        <v>N/A</v>
      </c>
      <c r="GV19" s="84" t="str">
        <f t="shared" si="10"/>
        <v>N/A</v>
      </c>
      <c r="GW19" s="84" t="str">
        <f t="shared" si="11"/>
        <v>N/A</v>
      </c>
      <c r="GX19" s="84" t="str">
        <f t="shared" si="12"/>
        <v>N/A</v>
      </c>
      <c r="GY19" s="84">
        <f t="shared" si="13"/>
        <v>5.1333333333333337</v>
      </c>
      <c r="GZ19" s="84" t="str">
        <f t="shared" si="14"/>
        <v>N/A</v>
      </c>
      <c r="HA19" s="84" t="str">
        <f t="shared" si="15"/>
        <v>N/A</v>
      </c>
      <c r="HB19" s="84">
        <f t="shared" si="16"/>
        <v>5.1333333333333337</v>
      </c>
      <c r="HC19" s="84">
        <f t="shared" si="17"/>
        <v>10.033333333333333</v>
      </c>
      <c r="HD19" s="84">
        <f t="shared" si="18"/>
        <v>9.2666666666666675</v>
      </c>
      <c r="HE19" s="84" t="str">
        <f t="shared" si="19"/>
        <v>N/A</v>
      </c>
      <c r="HF19" s="85">
        <f t="shared" si="20"/>
        <v>10.033333333333333</v>
      </c>
      <c r="HG19" s="85" cm="1">
        <f t="array" ref="HG19">INDEX($HB19:$HD19,MATCH(TRUE,INDEX(ISNUMBER($HB19:$HD19),0),0))</f>
        <v>5.1333333333333337</v>
      </c>
      <c r="HH19" s="82">
        <f t="shared" si="21"/>
        <v>1</v>
      </c>
      <c r="HI19" s="82">
        <f t="shared" si="22"/>
        <v>1</v>
      </c>
      <c r="HJ19" s="82">
        <f t="shared" si="23"/>
        <v>1</v>
      </c>
      <c r="HK19" s="117" t="str">
        <f t="shared" si="24"/>
        <v>1</v>
      </c>
    </row>
    <row r="20" spans="1:219" ht="15" customHeight="1" x14ac:dyDescent="0.3">
      <c r="A20" s="48">
        <v>4382255848</v>
      </c>
      <c r="B20" s="46" t="s">
        <v>220</v>
      </c>
      <c r="C20" s="42" t="s">
        <v>221</v>
      </c>
      <c r="D20" s="43" t="s">
        <v>220</v>
      </c>
      <c r="E20" s="48" t="s">
        <v>221</v>
      </c>
      <c r="F20" s="48" t="s">
        <v>221</v>
      </c>
      <c r="G20" s="48" t="s">
        <v>221</v>
      </c>
      <c r="H20" s="72" t="s">
        <v>221</v>
      </c>
      <c r="I20" s="48" t="s">
        <v>435</v>
      </c>
      <c r="J20" s="48" t="s">
        <v>221</v>
      </c>
      <c r="K20" s="72" t="s">
        <v>221</v>
      </c>
      <c r="L20" s="48" t="s">
        <v>327</v>
      </c>
      <c r="M20" s="48" t="s">
        <v>436</v>
      </c>
      <c r="N20" s="48" t="s">
        <v>383</v>
      </c>
      <c r="O20" s="48" t="s">
        <v>429</v>
      </c>
      <c r="P20" s="74">
        <v>45902</v>
      </c>
      <c r="Q20" s="42" t="s">
        <v>286</v>
      </c>
      <c r="R20" s="50" t="s">
        <v>436</v>
      </c>
      <c r="S20" s="48" t="s">
        <v>437</v>
      </c>
      <c r="T20" s="48" t="s">
        <v>429</v>
      </c>
      <c r="U20" s="74">
        <v>45902</v>
      </c>
      <c r="V20" s="42" t="s">
        <v>286</v>
      </c>
      <c r="W20" s="43" t="s">
        <v>221</v>
      </c>
      <c r="X20" s="43" t="s">
        <v>221</v>
      </c>
      <c r="Y20" s="43" t="s">
        <v>221</v>
      </c>
      <c r="Z20" s="75" t="s">
        <v>221</v>
      </c>
      <c r="AA20" s="43" t="s">
        <v>221</v>
      </c>
      <c r="AB20" s="43" t="s">
        <v>221</v>
      </c>
      <c r="AC20" s="43" t="s">
        <v>221</v>
      </c>
      <c r="AD20" s="43" t="s">
        <v>221</v>
      </c>
      <c r="AE20" s="75" t="s">
        <v>221</v>
      </c>
      <c r="AF20" s="43" t="s">
        <v>221</v>
      </c>
      <c r="AG20" s="43" t="s">
        <v>221</v>
      </c>
      <c r="AH20" s="43" t="s">
        <v>221</v>
      </c>
      <c r="AI20" s="43" t="s">
        <v>221</v>
      </c>
      <c r="AJ20" s="75" t="s">
        <v>221</v>
      </c>
      <c r="AK20" s="43" t="s">
        <v>221</v>
      </c>
      <c r="AL20" s="50" t="s">
        <v>221</v>
      </c>
      <c r="AM20" s="48" t="s">
        <v>221</v>
      </c>
      <c r="AN20" s="48" t="s">
        <v>221</v>
      </c>
      <c r="AO20" s="74" t="s">
        <v>221</v>
      </c>
      <c r="AP20" s="42" t="s">
        <v>221</v>
      </c>
      <c r="AQ20" s="50" t="s">
        <v>230</v>
      </c>
      <c r="AR20" s="72">
        <v>15210</v>
      </c>
      <c r="AS20" s="74">
        <v>45884</v>
      </c>
      <c r="AT20" s="67">
        <f t="shared" si="0"/>
        <v>83</v>
      </c>
      <c r="AU20" s="51" t="s">
        <v>438</v>
      </c>
      <c r="AV20" s="42" t="s">
        <v>290</v>
      </c>
      <c r="AW20" s="43" t="s">
        <v>221</v>
      </c>
      <c r="AX20" s="48" t="s">
        <v>221</v>
      </c>
      <c r="AY20" s="48" t="s">
        <v>221</v>
      </c>
      <c r="AZ20" s="48" t="s">
        <v>292</v>
      </c>
      <c r="BA20" s="48" t="s">
        <v>330</v>
      </c>
      <c r="BB20" s="48" t="s">
        <v>331</v>
      </c>
      <c r="BC20" s="49">
        <v>3</v>
      </c>
      <c r="BD20" s="45" t="s">
        <v>236</v>
      </c>
      <c r="BE20" s="51" t="s">
        <v>332</v>
      </c>
      <c r="BF20" s="42" t="s">
        <v>222</v>
      </c>
      <c r="BG20" s="79" t="s">
        <v>221</v>
      </c>
      <c r="BH20" s="44" t="s">
        <v>243</v>
      </c>
      <c r="BI20" s="48" t="s">
        <v>439</v>
      </c>
      <c r="BJ20" s="72">
        <v>45888</v>
      </c>
      <c r="BK20" s="72">
        <v>45939</v>
      </c>
      <c r="BL20" s="91" t="s">
        <v>255</v>
      </c>
      <c r="BM20" s="44" t="s">
        <v>221</v>
      </c>
      <c r="BN20" s="44" t="s">
        <v>221</v>
      </c>
      <c r="BO20" s="44" t="s">
        <v>221</v>
      </c>
      <c r="BP20" s="44" t="s">
        <v>221</v>
      </c>
      <c r="BQ20" s="44" t="s">
        <v>221</v>
      </c>
      <c r="BR20" s="44" t="s">
        <v>221</v>
      </c>
      <c r="BS20" s="44" t="s">
        <v>221</v>
      </c>
      <c r="BT20" s="44" t="s">
        <v>221</v>
      </c>
      <c r="BU20" s="44" t="s">
        <v>221</v>
      </c>
      <c r="BV20" s="44" t="s">
        <v>221</v>
      </c>
      <c r="BW20" s="44" t="s">
        <v>221</v>
      </c>
      <c r="BX20" s="44" t="s">
        <v>221</v>
      </c>
      <c r="BY20" s="44" t="s">
        <v>221</v>
      </c>
      <c r="BZ20" s="44" t="s">
        <v>221</v>
      </c>
      <c r="CA20" s="44" t="s">
        <v>221</v>
      </c>
      <c r="CB20" s="44" t="s">
        <v>221</v>
      </c>
      <c r="CC20" s="44" t="s">
        <v>221</v>
      </c>
      <c r="CD20" s="44" t="s">
        <v>221</v>
      </c>
      <c r="CE20" s="44" t="s">
        <v>221</v>
      </c>
      <c r="CF20" s="44" t="s">
        <v>221</v>
      </c>
      <c r="CG20" s="44" t="s">
        <v>221</v>
      </c>
      <c r="CH20" s="44" t="s">
        <v>221</v>
      </c>
      <c r="CI20" s="44" t="s">
        <v>221</v>
      </c>
      <c r="CJ20" s="44" t="s">
        <v>221</v>
      </c>
      <c r="CK20" s="44" t="s">
        <v>221</v>
      </c>
      <c r="CL20" s="44" t="s">
        <v>221</v>
      </c>
      <c r="CM20" s="44" t="s">
        <v>221</v>
      </c>
      <c r="CN20" s="44" t="s">
        <v>221</v>
      </c>
      <c r="CO20" s="44" t="s">
        <v>221</v>
      </c>
      <c r="CP20" s="44" t="s">
        <v>221</v>
      </c>
      <c r="CQ20" s="44" t="s">
        <v>221</v>
      </c>
      <c r="CR20" s="44" t="s">
        <v>221</v>
      </c>
      <c r="CS20" s="44" t="s">
        <v>221</v>
      </c>
      <c r="CT20" s="44" t="s">
        <v>221</v>
      </c>
      <c r="CU20" s="44" t="s">
        <v>221</v>
      </c>
      <c r="CV20" s="44" t="s">
        <v>221</v>
      </c>
      <c r="CW20" s="44" t="s">
        <v>221</v>
      </c>
      <c r="CX20" s="44" t="s">
        <v>221</v>
      </c>
      <c r="CY20" s="44" t="s">
        <v>221</v>
      </c>
      <c r="CZ20" s="44" t="s">
        <v>221</v>
      </c>
      <c r="DA20" s="44" t="s">
        <v>221</v>
      </c>
      <c r="DB20" s="44" t="s">
        <v>221</v>
      </c>
      <c r="DC20" s="44" t="s">
        <v>221</v>
      </c>
      <c r="DD20" s="44" t="s">
        <v>221</v>
      </c>
      <c r="DE20" s="44" t="s">
        <v>221</v>
      </c>
      <c r="DF20" s="44" t="s">
        <v>221</v>
      </c>
      <c r="DG20" s="44" t="s">
        <v>221</v>
      </c>
      <c r="DH20" s="44" t="s">
        <v>221</v>
      </c>
      <c r="DI20" s="44" t="s">
        <v>221</v>
      </c>
      <c r="DJ20" s="44" t="s">
        <v>221</v>
      </c>
      <c r="DK20" s="44" t="s">
        <v>221</v>
      </c>
      <c r="DL20" s="44" t="s">
        <v>221</v>
      </c>
      <c r="DM20" s="44" t="s">
        <v>221</v>
      </c>
      <c r="DN20" s="44" t="s">
        <v>221</v>
      </c>
      <c r="DO20" s="44" t="s">
        <v>221</v>
      </c>
      <c r="DP20" s="44" t="s">
        <v>221</v>
      </c>
      <c r="DQ20" s="44" t="s">
        <v>221</v>
      </c>
      <c r="DR20" s="44" t="s">
        <v>221</v>
      </c>
      <c r="DS20" s="44" t="s">
        <v>221</v>
      </c>
      <c r="DT20" s="44" t="s">
        <v>221</v>
      </c>
      <c r="DU20" s="44" t="s">
        <v>221</v>
      </c>
      <c r="DV20" s="44" t="s">
        <v>221</v>
      </c>
      <c r="DW20" s="44" t="s">
        <v>221</v>
      </c>
      <c r="DX20" s="44" t="s">
        <v>221</v>
      </c>
      <c r="DY20" s="44" t="s">
        <v>221</v>
      </c>
      <c r="DZ20" s="44" t="s">
        <v>221</v>
      </c>
      <c r="EA20" s="44" t="s">
        <v>221</v>
      </c>
      <c r="EB20" s="44" t="s">
        <v>221</v>
      </c>
      <c r="EC20" s="44" t="s">
        <v>221</v>
      </c>
      <c r="ED20" s="44" t="s">
        <v>221</v>
      </c>
      <c r="EE20" s="44" t="s">
        <v>221</v>
      </c>
      <c r="EF20" s="44" t="s">
        <v>221</v>
      </c>
      <c r="EG20" s="44" t="s">
        <v>221</v>
      </c>
      <c r="EH20" s="44" t="s">
        <v>221</v>
      </c>
      <c r="EI20" s="72">
        <v>45932</v>
      </c>
      <c r="EJ20" s="48" t="s">
        <v>440</v>
      </c>
      <c r="EK20" s="44" t="s">
        <v>334</v>
      </c>
      <c r="EL20" s="48" t="s">
        <v>441</v>
      </c>
      <c r="EM20" s="72">
        <v>45940</v>
      </c>
      <c r="EN20" s="72">
        <v>46090</v>
      </c>
      <c r="EO20" s="48" t="s">
        <v>233</v>
      </c>
      <c r="EP20" s="44" t="s">
        <v>221</v>
      </c>
      <c r="EQ20" s="44" t="s">
        <v>221</v>
      </c>
      <c r="ER20" s="44" t="s">
        <v>221</v>
      </c>
      <c r="ES20" s="44" t="s">
        <v>221</v>
      </c>
      <c r="ET20" s="44" t="s">
        <v>221</v>
      </c>
      <c r="EU20" s="44" t="s">
        <v>221</v>
      </c>
      <c r="EV20" s="44" t="s">
        <v>221</v>
      </c>
      <c r="EW20" s="44" t="s">
        <v>221</v>
      </c>
      <c r="EX20" s="44" t="s">
        <v>221</v>
      </c>
      <c r="EY20" s="44" t="s">
        <v>221</v>
      </c>
      <c r="EZ20" s="44" t="s">
        <v>221</v>
      </c>
      <c r="FA20" s="44" t="s">
        <v>221</v>
      </c>
      <c r="FB20" s="44" t="s">
        <v>221</v>
      </c>
      <c r="FC20" s="44" t="s">
        <v>221</v>
      </c>
      <c r="FD20" s="44" t="s">
        <v>221</v>
      </c>
      <c r="FE20" s="44" t="s">
        <v>221</v>
      </c>
      <c r="FF20" s="44" t="s">
        <v>221</v>
      </c>
      <c r="FG20" s="44" t="s">
        <v>221</v>
      </c>
      <c r="FH20" s="44" t="s">
        <v>221</v>
      </c>
      <c r="FI20" s="44" t="s">
        <v>221</v>
      </c>
      <c r="FJ20" s="44" t="s">
        <v>221</v>
      </c>
      <c r="FK20" s="44" t="s">
        <v>221</v>
      </c>
      <c r="FL20" s="44" t="s">
        <v>221</v>
      </c>
      <c r="FM20" s="44" t="s">
        <v>221</v>
      </c>
      <c r="FN20" s="44" t="s">
        <v>221</v>
      </c>
      <c r="FO20" s="44" t="s">
        <v>221</v>
      </c>
      <c r="FP20" s="44" t="s">
        <v>221</v>
      </c>
      <c r="FQ20" s="44" t="s">
        <v>221</v>
      </c>
      <c r="FR20" s="44" t="s">
        <v>221</v>
      </c>
      <c r="FS20" s="44" t="s">
        <v>221</v>
      </c>
      <c r="FT20" s="44" t="s">
        <v>221</v>
      </c>
      <c r="FU20" s="44" t="s">
        <v>221</v>
      </c>
      <c r="FV20" s="44" t="s">
        <v>221</v>
      </c>
      <c r="FW20" s="44" t="s">
        <v>221</v>
      </c>
      <c r="FX20" s="44" t="s">
        <v>221</v>
      </c>
      <c r="FY20" s="44" t="s">
        <v>221</v>
      </c>
      <c r="FZ20" s="44" t="s">
        <v>221</v>
      </c>
      <c r="GA20" s="44" t="s">
        <v>221</v>
      </c>
      <c r="GB20" s="44" t="s">
        <v>221</v>
      </c>
      <c r="GC20" s="44" t="s">
        <v>221</v>
      </c>
      <c r="GD20" s="44" t="s">
        <v>221</v>
      </c>
      <c r="GE20" s="44" t="s">
        <v>221</v>
      </c>
      <c r="GF20" s="45" t="s">
        <v>299</v>
      </c>
      <c r="GG20" s="76" t="s">
        <v>221</v>
      </c>
      <c r="GH20" s="76" t="s">
        <v>221</v>
      </c>
      <c r="GI20" s="76" t="s">
        <v>221</v>
      </c>
      <c r="GJ20" s="72">
        <v>46027</v>
      </c>
      <c r="GK20" s="72">
        <v>46090</v>
      </c>
      <c r="GL20" s="72" t="s">
        <v>442</v>
      </c>
      <c r="GM20" s="84">
        <f t="shared" si="1"/>
        <v>0.13333333333333333</v>
      </c>
      <c r="GN20" s="84">
        <f t="shared" si="2"/>
        <v>1.8333333333333333</v>
      </c>
      <c r="GO20" s="84" t="str">
        <f t="shared" si="3"/>
        <v>N/A</v>
      </c>
      <c r="GP20" s="84" t="str">
        <f t="shared" si="4"/>
        <v>N/A</v>
      </c>
      <c r="GQ20" s="84">
        <f t="shared" si="5"/>
        <v>0.6</v>
      </c>
      <c r="GR20" s="84">
        <f t="shared" si="6"/>
        <v>0.6</v>
      </c>
      <c r="GS20" s="84" t="str">
        <f t="shared" si="7"/>
        <v>N/A</v>
      </c>
      <c r="GT20" s="84" t="str">
        <f t="shared" si="8"/>
        <v>N/A</v>
      </c>
      <c r="GU20" s="84" t="str">
        <f t="shared" si="9"/>
        <v>N/A</v>
      </c>
      <c r="GV20" s="84" t="str">
        <f t="shared" si="10"/>
        <v>N/A</v>
      </c>
      <c r="GW20" s="84" t="str">
        <f t="shared" si="11"/>
        <v>N/A</v>
      </c>
      <c r="GX20" s="84" t="str">
        <f t="shared" si="12"/>
        <v>N/A</v>
      </c>
      <c r="GY20" s="84">
        <f t="shared" si="13"/>
        <v>1.6</v>
      </c>
      <c r="GZ20" s="84">
        <f t="shared" si="14"/>
        <v>1.8666666666666667</v>
      </c>
      <c r="HA20" s="84">
        <f t="shared" si="15"/>
        <v>6.8666666666666663</v>
      </c>
      <c r="HB20" s="84">
        <f t="shared" si="16"/>
        <v>1.6</v>
      </c>
      <c r="HC20" s="84" t="str">
        <f t="shared" si="17"/>
        <v>N/A</v>
      </c>
      <c r="HD20" s="84">
        <f t="shared" si="18"/>
        <v>4.7666666666666666</v>
      </c>
      <c r="HE20" s="84">
        <f t="shared" si="19"/>
        <v>6.8666666666666663</v>
      </c>
      <c r="HF20" s="85">
        <f t="shared" si="20"/>
        <v>6.8666666666666663</v>
      </c>
      <c r="HG20" s="85" cm="1">
        <f t="array" ref="HG20">INDEX($HB20:$HD20,MATCH(TRUE,INDEX(ISNUMBER($HB20:$HD20),0),0))</f>
        <v>1.6</v>
      </c>
      <c r="HH20" s="82">
        <f t="shared" si="21"/>
        <v>1</v>
      </c>
      <c r="HI20" s="82">
        <f t="shared" si="22"/>
        <v>0</v>
      </c>
      <c r="HJ20" s="82">
        <f t="shared" si="23"/>
        <v>0</v>
      </c>
      <c r="HK20" s="117" t="str">
        <f t="shared" si="24"/>
        <v>1</v>
      </c>
    </row>
    <row r="21" spans="1:219" ht="15" customHeight="1" x14ac:dyDescent="0.3">
      <c r="A21" s="48">
        <v>4947025212</v>
      </c>
      <c r="B21" s="46" t="s">
        <v>222</v>
      </c>
      <c r="C21" s="42" t="s">
        <v>221</v>
      </c>
      <c r="D21" s="43" t="s">
        <v>220</v>
      </c>
      <c r="E21" s="48" t="s">
        <v>221</v>
      </c>
      <c r="F21" s="48" t="s">
        <v>221</v>
      </c>
      <c r="G21" s="48" t="s">
        <v>221</v>
      </c>
      <c r="H21" s="72" t="s">
        <v>221</v>
      </c>
      <c r="I21" s="48" t="s">
        <v>443</v>
      </c>
      <c r="J21" s="48" t="s">
        <v>221</v>
      </c>
      <c r="K21" s="72" t="s">
        <v>221</v>
      </c>
      <c r="L21" s="48" t="s">
        <v>444</v>
      </c>
      <c r="M21" s="48" t="s">
        <v>445</v>
      </c>
      <c r="N21" s="48" t="s">
        <v>284</v>
      </c>
      <c r="O21" s="48" t="s">
        <v>446</v>
      </c>
      <c r="P21" s="74">
        <v>45946</v>
      </c>
      <c r="Q21" s="42" t="s">
        <v>286</v>
      </c>
      <c r="R21" s="83" t="s">
        <v>221</v>
      </c>
      <c r="S21" s="83" t="s">
        <v>221</v>
      </c>
      <c r="T21" s="83" t="s">
        <v>221</v>
      </c>
      <c r="U21" s="83" t="s">
        <v>221</v>
      </c>
      <c r="V21" s="83" t="s">
        <v>221</v>
      </c>
      <c r="W21" s="43" t="s">
        <v>221</v>
      </c>
      <c r="X21" s="43" t="s">
        <v>221</v>
      </c>
      <c r="Y21" s="43" t="s">
        <v>221</v>
      </c>
      <c r="Z21" s="75" t="s">
        <v>221</v>
      </c>
      <c r="AA21" s="43" t="s">
        <v>221</v>
      </c>
      <c r="AB21" s="43" t="s">
        <v>221</v>
      </c>
      <c r="AC21" s="43" t="s">
        <v>221</v>
      </c>
      <c r="AD21" s="43" t="s">
        <v>221</v>
      </c>
      <c r="AE21" s="75" t="s">
        <v>221</v>
      </c>
      <c r="AF21" s="43" t="s">
        <v>221</v>
      </c>
      <c r="AG21" s="43" t="s">
        <v>221</v>
      </c>
      <c r="AH21" s="43" t="s">
        <v>221</v>
      </c>
      <c r="AI21" s="43" t="s">
        <v>221</v>
      </c>
      <c r="AJ21" s="75" t="s">
        <v>221</v>
      </c>
      <c r="AK21" s="43" t="s">
        <v>221</v>
      </c>
      <c r="AL21" s="50" t="s">
        <v>221</v>
      </c>
      <c r="AM21" s="48" t="s">
        <v>221</v>
      </c>
      <c r="AN21" s="48" t="s">
        <v>221</v>
      </c>
      <c r="AO21" s="74" t="s">
        <v>221</v>
      </c>
      <c r="AP21" s="42" t="s">
        <v>221</v>
      </c>
      <c r="AQ21" s="50" t="s">
        <v>288</v>
      </c>
      <c r="AR21" s="72">
        <v>17374</v>
      </c>
      <c r="AS21" s="74">
        <v>45911</v>
      </c>
      <c r="AT21" s="67">
        <f t="shared" si="0"/>
        <v>78</v>
      </c>
      <c r="AU21" s="51" t="s">
        <v>447</v>
      </c>
      <c r="AV21" s="42" t="s">
        <v>290</v>
      </c>
      <c r="AW21" s="43" t="s">
        <v>221</v>
      </c>
      <c r="AX21" s="48" t="s">
        <v>221</v>
      </c>
      <c r="AY21" s="48" t="s">
        <v>221</v>
      </c>
      <c r="AZ21" s="48" t="s">
        <v>292</v>
      </c>
      <c r="BA21" s="48" t="s">
        <v>292</v>
      </c>
      <c r="BB21" s="48" t="s">
        <v>314</v>
      </c>
      <c r="BC21" s="49" t="s">
        <v>233</v>
      </c>
      <c r="BD21" s="45" t="s">
        <v>236</v>
      </c>
      <c r="BE21" s="51" t="s">
        <v>332</v>
      </c>
      <c r="BF21" s="42" t="s">
        <v>220</v>
      </c>
      <c r="BG21" s="79" t="s">
        <v>221</v>
      </c>
      <c r="BH21" s="44" t="s">
        <v>221</v>
      </c>
      <c r="BI21" s="48" t="s">
        <v>221</v>
      </c>
      <c r="BJ21" s="48" t="s">
        <v>221</v>
      </c>
      <c r="BK21" s="48" t="s">
        <v>221</v>
      </c>
      <c r="BL21" s="48" t="s">
        <v>221</v>
      </c>
      <c r="BM21" s="48" t="s">
        <v>221</v>
      </c>
      <c r="BN21" s="48" t="s">
        <v>221</v>
      </c>
      <c r="BO21" s="48" t="s">
        <v>221</v>
      </c>
      <c r="BP21" s="48" t="s">
        <v>221</v>
      </c>
      <c r="BQ21" s="48" t="s">
        <v>221</v>
      </c>
      <c r="BR21" s="48" t="s">
        <v>221</v>
      </c>
      <c r="BS21" s="48" t="s">
        <v>221</v>
      </c>
      <c r="BT21" s="48" t="s">
        <v>221</v>
      </c>
      <c r="BU21" s="48" t="s">
        <v>221</v>
      </c>
      <c r="BV21" s="48" t="s">
        <v>221</v>
      </c>
      <c r="BW21" s="48" t="s">
        <v>221</v>
      </c>
      <c r="BX21" s="48" t="s">
        <v>221</v>
      </c>
      <c r="BY21" s="48" t="s">
        <v>221</v>
      </c>
      <c r="BZ21" s="48" t="s">
        <v>221</v>
      </c>
      <c r="CA21" s="48" t="s">
        <v>221</v>
      </c>
      <c r="CB21" s="48" t="s">
        <v>221</v>
      </c>
      <c r="CC21" s="48" t="s">
        <v>221</v>
      </c>
      <c r="CD21" s="48" t="s">
        <v>221</v>
      </c>
      <c r="CE21" s="48" t="s">
        <v>221</v>
      </c>
      <c r="CF21" s="48" t="s">
        <v>221</v>
      </c>
      <c r="CG21" s="48" t="s">
        <v>221</v>
      </c>
      <c r="CH21" s="48" t="s">
        <v>221</v>
      </c>
      <c r="CI21" s="48" t="s">
        <v>221</v>
      </c>
      <c r="CJ21" s="48" t="s">
        <v>221</v>
      </c>
      <c r="CK21" s="48" t="s">
        <v>221</v>
      </c>
      <c r="CL21" s="48" t="s">
        <v>221</v>
      </c>
      <c r="CM21" s="48" t="s">
        <v>221</v>
      </c>
      <c r="CN21" s="44" t="s">
        <v>241</v>
      </c>
      <c r="CO21" s="48" t="s">
        <v>448</v>
      </c>
      <c r="CP21" s="72">
        <v>45999</v>
      </c>
      <c r="CQ21" s="72">
        <v>45999</v>
      </c>
      <c r="CR21" s="48" t="s">
        <v>233</v>
      </c>
      <c r="CS21" s="44" t="s">
        <v>221</v>
      </c>
      <c r="CT21" s="44" t="s">
        <v>221</v>
      </c>
      <c r="CU21" s="44" t="s">
        <v>221</v>
      </c>
      <c r="CV21" s="44" t="s">
        <v>221</v>
      </c>
      <c r="CW21" s="44" t="s">
        <v>221</v>
      </c>
      <c r="CX21" s="44" t="s">
        <v>221</v>
      </c>
      <c r="CY21" s="44" t="s">
        <v>221</v>
      </c>
      <c r="CZ21" s="44" t="s">
        <v>221</v>
      </c>
      <c r="DA21" s="44" t="s">
        <v>221</v>
      </c>
      <c r="DB21" s="44" t="s">
        <v>221</v>
      </c>
      <c r="DC21" s="44" t="s">
        <v>221</v>
      </c>
      <c r="DD21" s="44" t="s">
        <v>221</v>
      </c>
      <c r="DE21" s="44" t="s">
        <v>221</v>
      </c>
      <c r="DF21" s="44" t="s">
        <v>221</v>
      </c>
      <c r="DG21" s="44" t="s">
        <v>221</v>
      </c>
      <c r="DH21" s="44" t="s">
        <v>221</v>
      </c>
      <c r="DI21" s="44" t="s">
        <v>221</v>
      </c>
      <c r="DJ21" s="44" t="s">
        <v>221</v>
      </c>
      <c r="DK21" s="44" t="s">
        <v>221</v>
      </c>
      <c r="DL21" s="44" t="s">
        <v>221</v>
      </c>
      <c r="DM21" s="44" t="s">
        <v>221</v>
      </c>
      <c r="DN21" s="44" t="s">
        <v>221</v>
      </c>
      <c r="DO21" s="44" t="s">
        <v>221</v>
      </c>
      <c r="DP21" s="44" t="s">
        <v>221</v>
      </c>
      <c r="DQ21" s="44" t="s">
        <v>221</v>
      </c>
      <c r="DR21" s="44" t="s">
        <v>221</v>
      </c>
      <c r="DS21" s="44" t="s">
        <v>221</v>
      </c>
      <c r="DT21" s="44" t="s">
        <v>221</v>
      </c>
      <c r="DU21" s="44" t="s">
        <v>221</v>
      </c>
      <c r="DV21" s="44" t="s">
        <v>221</v>
      </c>
      <c r="DW21" s="44" t="s">
        <v>221</v>
      </c>
      <c r="DX21" s="44" t="s">
        <v>221</v>
      </c>
      <c r="DY21" s="44" t="s">
        <v>221</v>
      </c>
      <c r="DZ21" s="44" t="s">
        <v>221</v>
      </c>
      <c r="EA21" s="44" t="s">
        <v>221</v>
      </c>
      <c r="EB21" s="44" t="s">
        <v>221</v>
      </c>
      <c r="EC21" s="44" t="s">
        <v>221</v>
      </c>
      <c r="ED21" s="44" t="s">
        <v>221</v>
      </c>
      <c r="EE21" s="44" t="s">
        <v>221</v>
      </c>
      <c r="EF21" s="44" t="s">
        <v>221</v>
      </c>
      <c r="EG21" s="44" t="s">
        <v>221</v>
      </c>
      <c r="EH21" s="44" t="s">
        <v>221</v>
      </c>
      <c r="EI21" s="72">
        <v>46015</v>
      </c>
      <c r="EJ21" s="48" t="s">
        <v>449</v>
      </c>
      <c r="EK21" s="44" t="s">
        <v>241</v>
      </c>
      <c r="EL21" s="48" t="s">
        <v>450</v>
      </c>
      <c r="EM21" s="72">
        <v>46030</v>
      </c>
      <c r="EN21" s="72">
        <v>46030</v>
      </c>
      <c r="EO21" s="48" t="s">
        <v>233</v>
      </c>
      <c r="EP21" s="44" t="s">
        <v>334</v>
      </c>
      <c r="EQ21" s="48" t="s">
        <v>451</v>
      </c>
      <c r="ER21" s="48" t="s">
        <v>233</v>
      </c>
      <c r="ES21" s="44" t="s">
        <v>221</v>
      </c>
      <c r="ET21" s="44" t="s">
        <v>221</v>
      </c>
      <c r="EU21" s="44" t="s">
        <v>221</v>
      </c>
      <c r="EV21" s="44" t="s">
        <v>221</v>
      </c>
      <c r="EW21" s="44" t="s">
        <v>221</v>
      </c>
      <c r="EX21" s="44" t="s">
        <v>221</v>
      </c>
      <c r="EY21" s="44" t="s">
        <v>221</v>
      </c>
      <c r="EZ21" s="44" t="s">
        <v>221</v>
      </c>
      <c r="FA21" s="44" t="s">
        <v>221</v>
      </c>
      <c r="FB21" s="44" t="s">
        <v>221</v>
      </c>
      <c r="FC21" s="44" t="s">
        <v>221</v>
      </c>
      <c r="FD21" s="44" t="s">
        <v>221</v>
      </c>
      <c r="FE21" s="44" t="s">
        <v>221</v>
      </c>
      <c r="FF21" s="44" t="s">
        <v>221</v>
      </c>
      <c r="FG21" s="44" t="s">
        <v>221</v>
      </c>
      <c r="FH21" s="44" t="s">
        <v>221</v>
      </c>
      <c r="FI21" s="44" t="s">
        <v>221</v>
      </c>
      <c r="FJ21" s="44" t="s">
        <v>221</v>
      </c>
      <c r="FK21" s="44" t="s">
        <v>221</v>
      </c>
      <c r="FL21" s="44" t="s">
        <v>221</v>
      </c>
      <c r="FM21" s="44" t="s">
        <v>221</v>
      </c>
      <c r="FN21" s="44" t="s">
        <v>221</v>
      </c>
      <c r="FO21" s="44" t="s">
        <v>221</v>
      </c>
      <c r="FP21" s="44" t="s">
        <v>221</v>
      </c>
      <c r="FQ21" s="44" t="s">
        <v>221</v>
      </c>
      <c r="FR21" s="44" t="s">
        <v>221</v>
      </c>
      <c r="FS21" s="44" t="s">
        <v>221</v>
      </c>
      <c r="FT21" s="44" t="s">
        <v>221</v>
      </c>
      <c r="FU21" s="44" t="s">
        <v>221</v>
      </c>
      <c r="FV21" s="44" t="s">
        <v>221</v>
      </c>
      <c r="FW21" s="44" t="s">
        <v>221</v>
      </c>
      <c r="FX21" s="44" t="s">
        <v>221</v>
      </c>
      <c r="FY21" s="44" t="s">
        <v>221</v>
      </c>
      <c r="FZ21" s="44" t="s">
        <v>221</v>
      </c>
      <c r="GA21" s="44" t="s">
        <v>221</v>
      </c>
      <c r="GB21" s="44" t="s">
        <v>221</v>
      </c>
      <c r="GC21" s="44" t="s">
        <v>221</v>
      </c>
      <c r="GD21" s="44" t="s">
        <v>221</v>
      </c>
      <c r="GE21" s="44" t="s">
        <v>221</v>
      </c>
      <c r="GF21" s="45" t="s">
        <v>299</v>
      </c>
      <c r="GG21" s="76" t="s">
        <v>221</v>
      </c>
      <c r="GH21" s="76" t="s">
        <v>221</v>
      </c>
      <c r="GI21" s="76" t="s">
        <v>221</v>
      </c>
      <c r="GJ21" s="72">
        <v>46064</v>
      </c>
      <c r="GK21" s="72">
        <v>46101</v>
      </c>
      <c r="GL21" s="72" t="s">
        <v>452</v>
      </c>
      <c r="GM21" s="84" t="str">
        <f t="shared" si="1"/>
        <v>N/A</v>
      </c>
      <c r="GN21" s="84" t="str">
        <f t="shared" si="2"/>
        <v>N/A</v>
      </c>
      <c r="GO21" s="84" t="str">
        <f t="shared" si="3"/>
        <v>N/A</v>
      </c>
      <c r="GP21" s="84" t="str">
        <f t="shared" si="4"/>
        <v>N/A</v>
      </c>
      <c r="GQ21" s="84">
        <f t="shared" si="5"/>
        <v>1.1666666666666667</v>
      </c>
      <c r="GR21" s="84" t="str">
        <f t="shared" si="6"/>
        <v>N/A</v>
      </c>
      <c r="GS21" s="84" t="str">
        <f t="shared" si="7"/>
        <v>N/A</v>
      </c>
      <c r="GT21" s="84" t="str">
        <f t="shared" si="8"/>
        <v>N/A</v>
      </c>
      <c r="GU21" s="84" t="str">
        <f t="shared" si="9"/>
        <v>N/A</v>
      </c>
      <c r="GV21" s="84" t="str">
        <f t="shared" si="10"/>
        <v>N/A</v>
      </c>
      <c r="GW21" s="84">
        <f t="shared" si="11"/>
        <v>2.9333333333333331</v>
      </c>
      <c r="GX21" s="84">
        <f t="shared" si="12"/>
        <v>2.9333333333333331</v>
      </c>
      <c r="GY21" s="84">
        <f t="shared" si="13"/>
        <v>3.4666666666666668</v>
      </c>
      <c r="GZ21" s="84">
        <f t="shared" si="14"/>
        <v>3.9666666666666668</v>
      </c>
      <c r="HA21" s="84">
        <f t="shared" si="15"/>
        <v>3.9666666666666668</v>
      </c>
      <c r="HB21" s="84">
        <f t="shared" si="16"/>
        <v>3.4666666666666668</v>
      </c>
      <c r="HC21" s="84" t="str">
        <f t="shared" si="17"/>
        <v>N/A</v>
      </c>
      <c r="HD21" s="84">
        <f t="shared" si="18"/>
        <v>5.0999999999999996</v>
      </c>
      <c r="HE21" s="84">
        <f t="shared" si="19"/>
        <v>6.333333333333333</v>
      </c>
      <c r="HF21" s="85">
        <f t="shared" si="20"/>
        <v>6.333333333333333</v>
      </c>
      <c r="HG21" s="85" cm="1">
        <f t="array" ref="HG21">INDEX($HB21:$HD21,MATCH(TRUE,INDEX(ISNUMBER($HB21:$HD21),0),0))</f>
        <v>3.4666666666666668</v>
      </c>
      <c r="HH21" s="82">
        <f t="shared" si="21"/>
        <v>1</v>
      </c>
      <c r="HI21" s="82">
        <f t="shared" si="22"/>
        <v>0</v>
      </c>
      <c r="HJ21" s="82">
        <f t="shared" si="23"/>
        <v>0</v>
      </c>
      <c r="HK21" s="117" t="str">
        <f t="shared" si="24"/>
        <v>1</v>
      </c>
    </row>
    <row r="22" spans="1:219" ht="15" customHeight="1" x14ac:dyDescent="0.3">
      <c r="A22" s="118">
        <v>4823057694</v>
      </c>
      <c r="B22" s="119" t="s">
        <v>220</v>
      </c>
      <c r="C22" s="120" t="s">
        <v>221</v>
      </c>
      <c r="D22" s="121" t="s">
        <v>222</v>
      </c>
      <c r="E22" s="118" t="s">
        <v>221</v>
      </c>
      <c r="F22" s="118" t="s">
        <v>221</v>
      </c>
      <c r="G22" s="118" t="s">
        <v>221</v>
      </c>
      <c r="H22" s="122" t="s">
        <v>221</v>
      </c>
      <c r="I22" s="118" t="s">
        <v>453</v>
      </c>
      <c r="J22" s="118" t="s">
        <v>221</v>
      </c>
      <c r="K22" s="122">
        <v>40072</v>
      </c>
      <c r="L22" s="118" t="s">
        <v>327</v>
      </c>
      <c r="M22" s="118" t="s">
        <v>454</v>
      </c>
      <c r="N22" s="118" t="s">
        <v>264</v>
      </c>
      <c r="O22" s="118" t="s">
        <v>455</v>
      </c>
      <c r="P22" s="123">
        <v>45950</v>
      </c>
      <c r="Q22" s="120" t="s">
        <v>228</v>
      </c>
      <c r="R22" s="124" t="s">
        <v>454</v>
      </c>
      <c r="S22" s="118" t="s">
        <v>266</v>
      </c>
      <c r="T22" s="118" t="s">
        <v>455</v>
      </c>
      <c r="U22" s="123">
        <v>45950</v>
      </c>
      <c r="V22" s="120" t="s">
        <v>228</v>
      </c>
      <c r="W22" s="121" t="s">
        <v>221</v>
      </c>
      <c r="X22" s="121" t="s">
        <v>221</v>
      </c>
      <c r="Y22" s="121" t="s">
        <v>221</v>
      </c>
      <c r="Z22" s="125" t="s">
        <v>221</v>
      </c>
      <c r="AA22" s="121" t="s">
        <v>221</v>
      </c>
      <c r="AB22" s="121" t="s">
        <v>221</v>
      </c>
      <c r="AC22" s="121" t="s">
        <v>221</v>
      </c>
      <c r="AD22" s="121" t="s">
        <v>221</v>
      </c>
      <c r="AE22" s="125" t="s">
        <v>221</v>
      </c>
      <c r="AF22" s="121" t="s">
        <v>221</v>
      </c>
      <c r="AG22" s="121" t="s">
        <v>221</v>
      </c>
      <c r="AH22" s="121" t="s">
        <v>221</v>
      </c>
      <c r="AI22" s="121" t="s">
        <v>221</v>
      </c>
      <c r="AJ22" s="125" t="s">
        <v>221</v>
      </c>
      <c r="AK22" s="121" t="s">
        <v>221</v>
      </c>
      <c r="AL22" s="124" t="s">
        <v>221</v>
      </c>
      <c r="AM22" s="118" t="s">
        <v>221</v>
      </c>
      <c r="AN22" s="118" t="s">
        <v>221</v>
      </c>
      <c r="AO22" s="123" t="s">
        <v>221</v>
      </c>
      <c r="AP22" s="120" t="s">
        <v>221</v>
      </c>
      <c r="AQ22" s="124" t="s">
        <v>230</v>
      </c>
      <c r="AR22" s="122">
        <v>22061</v>
      </c>
      <c r="AS22" s="123">
        <v>40010</v>
      </c>
      <c r="AT22" s="126">
        <f t="shared" si="0"/>
        <v>49</v>
      </c>
      <c r="AU22" s="127" t="s">
        <v>456</v>
      </c>
      <c r="AV22" s="120" t="s">
        <v>232</v>
      </c>
      <c r="AW22" s="121" t="s">
        <v>222</v>
      </c>
      <c r="AX22" s="118">
        <v>2</v>
      </c>
      <c r="AY22" s="118">
        <v>1</v>
      </c>
      <c r="AZ22" s="118" t="s">
        <v>457</v>
      </c>
      <c r="BA22" s="118">
        <v>0</v>
      </c>
      <c r="BB22" s="118" t="s">
        <v>458</v>
      </c>
      <c r="BC22" s="128">
        <v>2</v>
      </c>
      <c r="BD22" s="129" t="s">
        <v>459</v>
      </c>
      <c r="BE22" s="127" t="s">
        <v>460</v>
      </c>
      <c r="BF22" s="120" t="s">
        <v>220</v>
      </c>
      <c r="BG22" s="130" t="s">
        <v>221</v>
      </c>
      <c r="BH22" s="130" t="s">
        <v>221</v>
      </c>
      <c r="BI22" s="130" t="s">
        <v>221</v>
      </c>
      <c r="BJ22" s="130" t="s">
        <v>221</v>
      </c>
      <c r="BK22" s="130" t="s">
        <v>221</v>
      </c>
      <c r="BL22" s="130" t="s">
        <v>221</v>
      </c>
      <c r="BM22" s="130" t="s">
        <v>221</v>
      </c>
      <c r="BN22" s="130" t="s">
        <v>221</v>
      </c>
      <c r="BO22" s="130" t="s">
        <v>221</v>
      </c>
      <c r="BP22" s="130" t="s">
        <v>221</v>
      </c>
      <c r="BQ22" s="130" t="s">
        <v>221</v>
      </c>
      <c r="BR22" s="130" t="s">
        <v>221</v>
      </c>
      <c r="BS22" s="130" t="s">
        <v>221</v>
      </c>
      <c r="BT22" s="130" t="s">
        <v>221</v>
      </c>
      <c r="BU22" s="130" t="s">
        <v>221</v>
      </c>
      <c r="BV22" s="130" t="s">
        <v>221</v>
      </c>
      <c r="BW22" s="130" t="s">
        <v>221</v>
      </c>
      <c r="BX22" s="130" t="s">
        <v>221</v>
      </c>
      <c r="BY22" s="130" t="s">
        <v>221</v>
      </c>
      <c r="BZ22" s="130" t="s">
        <v>221</v>
      </c>
      <c r="CA22" s="130" t="s">
        <v>221</v>
      </c>
      <c r="CB22" s="130" t="s">
        <v>221</v>
      </c>
      <c r="CC22" s="130" t="s">
        <v>221</v>
      </c>
      <c r="CD22" s="130" t="s">
        <v>221</v>
      </c>
      <c r="CE22" s="130" t="s">
        <v>221</v>
      </c>
      <c r="CF22" s="130" t="s">
        <v>221</v>
      </c>
      <c r="CG22" s="130" t="s">
        <v>221</v>
      </c>
      <c r="CH22" s="130" t="s">
        <v>221</v>
      </c>
      <c r="CI22" s="130" t="s">
        <v>221</v>
      </c>
      <c r="CJ22" s="130" t="s">
        <v>221</v>
      </c>
      <c r="CK22" s="130" t="s">
        <v>221</v>
      </c>
      <c r="CL22" s="130" t="s">
        <v>221</v>
      </c>
      <c r="CM22" s="130" t="s">
        <v>221</v>
      </c>
      <c r="CN22" s="131" t="s">
        <v>238</v>
      </c>
      <c r="CO22" s="118" t="s">
        <v>461</v>
      </c>
      <c r="CP22" s="122">
        <v>40144</v>
      </c>
      <c r="CQ22" s="122">
        <v>40254</v>
      </c>
      <c r="CR22" s="118" t="s">
        <v>221</v>
      </c>
      <c r="CS22" s="131" t="s">
        <v>243</v>
      </c>
      <c r="CT22" s="118" t="s">
        <v>462</v>
      </c>
      <c r="CU22" s="118" t="s">
        <v>221</v>
      </c>
      <c r="CV22" s="131" t="s">
        <v>243</v>
      </c>
      <c r="CW22" s="118" t="s">
        <v>463</v>
      </c>
      <c r="CX22" s="118" t="s">
        <v>221</v>
      </c>
      <c r="CY22" s="118" t="s">
        <v>221</v>
      </c>
      <c r="CZ22" s="118" t="s">
        <v>221</v>
      </c>
      <c r="DA22" s="118" t="s">
        <v>221</v>
      </c>
      <c r="DB22" s="118" t="s">
        <v>221</v>
      </c>
      <c r="DC22" s="118" t="s">
        <v>221</v>
      </c>
      <c r="DD22" s="118" t="s">
        <v>221</v>
      </c>
      <c r="DE22" s="118" t="s">
        <v>221</v>
      </c>
      <c r="DF22" s="118" t="s">
        <v>221</v>
      </c>
      <c r="DG22" s="118" t="s">
        <v>221</v>
      </c>
      <c r="DH22" s="118" t="s">
        <v>221</v>
      </c>
      <c r="DI22" s="118" t="s">
        <v>221</v>
      </c>
      <c r="DJ22" s="118" t="s">
        <v>221</v>
      </c>
      <c r="DK22" s="118" t="s">
        <v>221</v>
      </c>
      <c r="DL22" s="118" t="s">
        <v>221</v>
      </c>
      <c r="DM22" s="118" t="s">
        <v>221</v>
      </c>
      <c r="DN22" s="118" t="s">
        <v>221</v>
      </c>
      <c r="DO22" s="118" t="s">
        <v>221</v>
      </c>
      <c r="DP22" s="118" t="s">
        <v>221</v>
      </c>
      <c r="DQ22" s="118" t="s">
        <v>221</v>
      </c>
      <c r="DR22" s="118" t="s">
        <v>221</v>
      </c>
      <c r="DS22" s="118" t="s">
        <v>221</v>
      </c>
      <c r="DT22" s="118" t="s">
        <v>221</v>
      </c>
      <c r="DU22" s="118" t="s">
        <v>221</v>
      </c>
      <c r="DV22" s="118" t="s">
        <v>221</v>
      </c>
      <c r="DW22" s="118" t="s">
        <v>221</v>
      </c>
      <c r="DX22" s="118" t="s">
        <v>221</v>
      </c>
      <c r="DY22" s="118" t="s">
        <v>221</v>
      </c>
      <c r="DZ22" s="118" t="s">
        <v>221</v>
      </c>
      <c r="EA22" s="118" t="s">
        <v>221</v>
      </c>
      <c r="EB22" s="118" t="s">
        <v>221</v>
      </c>
      <c r="EC22" s="118" t="s">
        <v>221</v>
      </c>
      <c r="ED22" s="118" t="s">
        <v>221</v>
      </c>
      <c r="EE22" s="118" t="s">
        <v>221</v>
      </c>
      <c r="EF22" s="118" t="s">
        <v>221</v>
      </c>
      <c r="EG22" s="118" t="s">
        <v>221</v>
      </c>
      <c r="EH22" s="118" t="s">
        <v>221</v>
      </c>
      <c r="EI22" s="122">
        <v>45947</v>
      </c>
      <c r="EJ22" s="118" t="s">
        <v>464</v>
      </c>
      <c r="EK22" s="131" t="s">
        <v>241</v>
      </c>
      <c r="EL22" s="118" t="s">
        <v>450</v>
      </c>
      <c r="EM22" s="122">
        <v>45992</v>
      </c>
      <c r="EN22" s="122">
        <v>45992</v>
      </c>
      <c r="EO22" s="118" t="s">
        <v>233</v>
      </c>
      <c r="EP22" s="131" t="s">
        <v>334</v>
      </c>
      <c r="EQ22" s="118" t="s">
        <v>465</v>
      </c>
      <c r="ER22" s="118" t="s">
        <v>233</v>
      </c>
      <c r="ES22" s="131" t="s">
        <v>221</v>
      </c>
      <c r="ET22" s="131" t="s">
        <v>221</v>
      </c>
      <c r="EU22" s="131" t="s">
        <v>221</v>
      </c>
      <c r="EV22" s="131" t="s">
        <v>221</v>
      </c>
      <c r="EW22" s="131" t="s">
        <v>221</v>
      </c>
      <c r="EX22" s="131" t="s">
        <v>221</v>
      </c>
      <c r="EY22" s="131" t="s">
        <v>221</v>
      </c>
      <c r="EZ22" s="131" t="s">
        <v>221</v>
      </c>
      <c r="FA22" s="131" t="s">
        <v>221</v>
      </c>
      <c r="FB22" s="131" t="s">
        <v>221</v>
      </c>
      <c r="FC22" s="131" t="s">
        <v>221</v>
      </c>
      <c r="FD22" s="131" t="s">
        <v>221</v>
      </c>
      <c r="FE22" s="131" t="s">
        <v>221</v>
      </c>
      <c r="FF22" s="131" t="s">
        <v>221</v>
      </c>
      <c r="FG22" s="131" t="s">
        <v>221</v>
      </c>
      <c r="FH22" s="131" t="s">
        <v>221</v>
      </c>
      <c r="FI22" s="131" t="s">
        <v>221</v>
      </c>
      <c r="FJ22" s="131" t="s">
        <v>221</v>
      </c>
      <c r="FK22" s="131" t="s">
        <v>221</v>
      </c>
      <c r="FL22" s="131" t="s">
        <v>221</v>
      </c>
      <c r="FM22" s="131" t="s">
        <v>221</v>
      </c>
      <c r="FN22" s="131" t="s">
        <v>221</v>
      </c>
      <c r="FO22" s="131" t="s">
        <v>221</v>
      </c>
      <c r="FP22" s="131" t="s">
        <v>221</v>
      </c>
      <c r="FQ22" s="131" t="s">
        <v>221</v>
      </c>
      <c r="FR22" s="131" t="s">
        <v>221</v>
      </c>
      <c r="FS22" s="131" t="s">
        <v>221</v>
      </c>
      <c r="FT22" s="131" t="s">
        <v>221</v>
      </c>
      <c r="FU22" s="131" t="s">
        <v>221</v>
      </c>
      <c r="FV22" s="131" t="s">
        <v>221</v>
      </c>
      <c r="FW22" s="131" t="s">
        <v>221</v>
      </c>
      <c r="FX22" s="131" t="s">
        <v>221</v>
      </c>
      <c r="FY22" s="131" t="s">
        <v>221</v>
      </c>
      <c r="FZ22" s="131" t="s">
        <v>221</v>
      </c>
      <c r="GA22" s="131" t="s">
        <v>221</v>
      </c>
      <c r="GB22" s="131" t="s">
        <v>221</v>
      </c>
      <c r="GC22" s="131" t="s">
        <v>221</v>
      </c>
      <c r="GD22" s="131" t="s">
        <v>221</v>
      </c>
      <c r="GE22" s="131" t="s">
        <v>221</v>
      </c>
      <c r="GF22" s="129" t="s">
        <v>299</v>
      </c>
      <c r="GG22" s="132" t="s">
        <v>221</v>
      </c>
      <c r="GH22" s="132" t="s">
        <v>221</v>
      </c>
      <c r="GI22" s="132" t="s">
        <v>221</v>
      </c>
      <c r="GJ22" s="122">
        <v>46015</v>
      </c>
      <c r="GK22" s="122">
        <v>46086</v>
      </c>
      <c r="GL22" s="122" t="s">
        <v>466</v>
      </c>
      <c r="GM22" s="133" t="str">
        <f t="shared" si="1"/>
        <v>N/A</v>
      </c>
      <c r="GN22" s="133" t="str">
        <f t="shared" si="2"/>
        <v>N/A</v>
      </c>
      <c r="GO22" s="133" t="str">
        <f t="shared" si="3"/>
        <v>N/A</v>
      </c>
      <c r="GP22" s="133">
        <f t="shared" si="4"/>
        <v>2.0666666666666669</v>
      </c>
      <c r="GQ22" s="133">
        <f t="shared" si="5"/>
        <v>198</v>
      </c>
      <c r="GR22" s="133">
        <f t="shared" si="6"/>
        <v>198</v>
      </c>
      <c r="GS22" s="133" t="str">
        <f t="shared" si="7"/>
        <v>N/A</v>
      </c>
      <c r="GT22" s="133" t="str">
        <f t="shared" si="8"/>
        <v>N/A</v>
      </c>
      <c r="GU22" s="133" t="str">
        <f t="shared" si="9"/>
        <v>N/A</v>
      </c>
      <c r="GV22" s="133" t="str">
        <f t="shared" si="10"/>
        <v>N/A</v>
      </c>
      <c r="GW22" s="133">
        <f t="shared" si="11"/>
        <v>4.4666666666666668</v>
      </c>
      <c r="GX22" s="133">
        <f t="shared" si="12"/>
        <v>8.1333333333333329</v>
      </c>
      <c r="GY22" s="133">
        <f t="shared" si="13"/>
        <v>197.9</v>
      </c>
      <c r="GZ22" s="133">
        <f t="shared" si="14"/>
        <v>199.4</v>
      </c>
      <c r="HA22" s="133">
        <f t="shared" si="15"/>
        <v>199.4</v>
      </c>
      <c r="HB22" s="133">
        <f t="shared" si="16"/>
        <v>197.9</v>
      </c>
      <c r="HC22" s="133" t="str">
        <f t="shared" si="17"/>
        <v>N/A</v>
      </c>
      <c r="HD22" s="133">
        <f t="shared" si="18"/>
        <v>200.16666666666666</v>
      </c>
      <c r="HE22" s="133">
        <f t="shared" si="19"/>
        <v>202.53333333333333</v>
      </c>
      <c r="HF22" s="134">
        <f t="shared" si="20"/>
        <v>202.53333333333333</v>
      </c>
      <c r="HG22" s="134" cm="1">
        <f t="array" ref="HG22">INDEX($HB22:$HD22,MATCH(TRUE,INDEX(ISNUMBER($HB22:$HD22),0),0))</f>
        <v>197.9</v>
      </c>
      <c r="HH22" s="135">
        <f t="shared" si="21"/>
        <v>1</v>
      </c>
      <c r="HI22" s="135">
        <f t="shared" si="22"/>
        <v>0</v>
      </c>
      <c r="HJ22" s="135">
        <f t="shared" si="23"/>
        <v>0</v>
      </c>
      <c r="HK22" s="136" t="str">
        <f t="shared" si="24"/>
        <v>1</v>
      </c>
    </row>
    <row r="26" spans="1:219" ht="15" customHeight="1" x14ac:dyDescent="0.3">
      <c r="H26" s="3"/>
      <c r="K26" s="3"/>
      <c r="P26" s="3"/>
      <c r="U26" s="3"/>
      <c r="Z26" s="3"/>
      <c r="AE26" s="3"/>
      <c r="AJ26" s="3"/>
      <c r="AO26" s="3"/>
      <c r="AR26" s="3"/>
      <c r="AS26" s="3"/>
      <c r="BG26" s="3"/>
      <c r="BJ26" s="3"/>
      <c r="BK26" s="3"/>
      <c r="CP26" s="3"/>
      <c r="CQ26" s="3"/>
      <c r="EI26" s="3"/>
      <c r="EM26" s="3"/>
      <c r="EN26" s="3"/>
      <c r="GG26" s="3"/>
      <c r="GJ26" s="3"/>
      <c r="GK26" s="3"/>
      <c r="GL26" s="3"/>
    </row>
    <row r="27" spans="1:219" ht="15" customHeight="1" x14ac:dyDescent="0.3">
      <c r="H27" s="3"/>
      <c r="K27" s="3"/>
      <c r="P27" s="3"/>
      <c r="U27" s="3"/>
      <c r="Z27" s="3"/>
      <c r="AE27" s="3"/>
      <c r="AJ27" s="3"/>
      <c r="AO27" s="3"/>
      <c r="AR27" s="3"/>
      <c r="AS27" s="3"/>
      <c r="BG27" s="3"/>
      <c r="BJ27" s="3"/>
      <c r="BK27" s="3"/>
      <c r="CP27" s="3"/>
      <c r="CQ27" s="3"/>
      <c r="EI27" s="3"/>
      <c r="EM27" s="3"/>
      <c r="EN27" s="3"/>
      <c r="GG27" s="3"/>
      <c r="GJ27" s="3"/>
      <c r="GK27" s="3"/>
      <c r="GL27" s="3"/>
    </row>
    <row r="28" spans="1:219" ht="15" customHeight="1" x14ac:dyDescent="0.3">
      <c r="H28" s="3"/>
      <c r="K28" s="3"/>
      <c r="P28" s="3"/>
      <c r="U28" s="3"/>
      <c r="Z28" s="3"/>
      <c r="AE28" s="3"/>
      <c r="AJ28" s="3"/>
      <c r="AO28" s="3"/>
      <c r="AR28" s="3"/>
      <c r="AS28" s="3"/>
      <c r="BG28" s="3"/>
      <c r="BJ28" s="3"/>
      <c r="BK28" s="3"/>
      <c r="CP28" s="3"/>
      <c r="CQ28" s="3"/>
      <c r="EI28" s="3"/>
      <c r="EM28" s="3"/>
      <c r="EN28" s="3"/>
      <c r="GG28" s="3"/>
      <c r="GJ28" s="3"/>
      <c r="GK28" s="3"/>
      <c r="GL28" s="3"/>
    </row>
    <row r="29" spans="1:219" ht="15" customHeight="1" x14ac:dyDescent="0.3">
      <c r="H29" s="3"/>
      <c r="K29" s="3"/>
      <c r="P29" s="3"/>
      <c r="U29" s="3"/>
      <c r="Z29" s="3"/>
      <c r="AE29" s="3"/>
      <c r="AJ29" s="3"/>
      <c r="AO29" s="3"/>
      <c r="AR29" s="3"/>
      <c r="AS29" s="3"/>
      <c r="BG29" s="3"/>
      <c r="BJ29" s="3"/>
      <c r="BK29" s="3"/>
      <c r="CP29" s="3"/>
      <c r="CQ29" s="3"/>
      <c r="EI29" s="3"/>
      <c r="EM29" s="3"/>
      <c r="EN29" s="3"/>
      <c r="GG29" s="3"/>
      <c r="GJ29" s="3"/>
      <c r="GK29" s="3"/>
      <c r="GL29" s="3"/>
    </row>
    <row r="30" spans="1:219" ht="15" customHeight="1" x14ac:dyDescent="0.3">
      <c r="H30" s="3"/>
      <c r="K30" s="3"/>
      <c r="P30" s="3"/>
      <c r="U30" s="3"/>
      <c r="Z30" s="3"/>
      <c r="AE30" s="3"/>
      <c r="AJ30" s="3"/>
      <c r="AO30" s="3"/>
      <c r="AR30" s="3"/>
      <c r="AS30" s="3"/>
      <c r="BG30" s="3"/>
      <c r="BJ30" s="3"/>
      <c r="BK30" s="3"/>
      <c r="CP30" s="3"/>
      <c r="CQ30" s="3"/>
      <c r="EI30" s="3"/>
      <c r="EM30" s="3"/>
      <c r="EN30" s="3"/>
      <c r="GG30" s="3"/>
      <c r="GJ30" s="3"/>
      <c r="GK30" s="3"/>
      <c r="GL30" s="3"/>
    </row>
    <row r="31" spans="1:219" ht="15" customHeight="1" x14ac:dyDescent="0.3">
      <c r="H31" s="3"/>
      <c r="K31" s="3"/>
      <c r="P31" s="3"/>
      <c r="U31" s="3"/>
      <c r="Z31" s="3"/>
      <c r="AE31" s="3"/>
      <c r="AJ31" s="3"/>
      <c r="AO31" s="3"/>
      <c r="AR31" s="3"/>
      <c r="AS31" s="3"/>
      <c r="BG31" s="3"/>
      <c r="BJ31" s="3"/>
      <c r="BK31" s="3"/>
      <c r="CP31" s="3"/>
      <c r="CQ31" s="3"/>
      <c r="EI31" s="3"/>
      <c r="EM31" s="3"/>
      <c r="EN31" s="3"/>
      <c r="GG31" s="3"/>
      <c r="GJ31" s="3"/>
      <c r="GK31" s="3"/>
      <c r="GL31" s="3"/>
    </row>
    <row r="32" spans="1:219" ht="15" customHeight="1" x14ac:dyDescent="0.3">
      <c r="H32" s="3"/>
      <c r="K32" s="3"/>
      <c r="P32" s="3"/>
      <c r="U32" s="3"/>
      <c r="Z32" s="3"/>
      <c r="AE32" s="3"/>
      <c r="AJ32" s="3"/>
      <c r="AO32" s="3"/>
      <c r="AR32" s="3"/>
      <c r="AS32" s="3"/>
      <c r="BG32" s="3"/>
      <c r="BJ32" s="3"/>
      <c r="BK32" s="3"/>
      <c r="CP32" s="3"/>
      <c r="CQ32" s="3"/>
      <c r="EI32" s="3"/>
      <c r="EM32" s="3"/>
      <c r="EN32" s="3"/>
      <c r="GG32" s="3"/>
      <c r="GJ32" s="3"/>
      <c r="GK32" s="3"/>
      <c r="GL32" s="3"/>
    </row>
    <row r="33" s="3" customFormat="1" ht="15" customHeight="1" x14ac:dyDescent="0.3"/>
    <row r="34" s="3" customFormat="1" ht="15" customHeight="1" x14ac:dyDescent="0.3"/>
    <row r="35" s="3" customFormat="1" ht="15" customHeight="1" x14ac:dyDescent="0.3"/>
    <row r="36" s="3" customFormat="1" ht="15" customHeight="1" x14ac:dyDescent="0.3"/>
    <row r="37" s="3" customFormat="1" ht="15" customHeight="1" x14ac:dyDescent="0.3"/>
    <row r="38" s="3" customFormat="1" ht="15" customHeight="1" x14ac:dyDescent="0.3"/>
    <row r="39" s="3" customFormat="1" ht="15" customHeight="1" x14ac:dyDescent="0.3"/>
    <row r="40" s="3" customFormat="1" ht="15" customHeight="1" x14ac:dyDescent="0.3"/>
    <row r="41" s="3" customFormat="1" ht="15" customHeight="1" x14ac:dyDescent="0.3"/>
    <row r="42" s="3" customFormat="1" ht="15" customHeight="1" x14ac:dyDescent="0.3"/>
    <row r="43" s="3" customFormat="1" ht="15" customHeight="1" x14ac:dyDescent="0.3"/>
    <row r="44" s="3" customFormat="1" ht="15" customHeight="1" x14ac:dyDescent="0.3"/>
    <row r="45" s="3" customFormat="1" ht="15" customHeight="1" x14ac:dyDescent="0.3"/>
  </sheetData>
  <dataValidations count="1">
    <dataValidation type="list" allowBlank="1" showInputMessage="1" showErrorMessage="1" sqref="GF4:GF22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BG5:CM5 GH4:GH5 B4:B22 D4:D22 AW4:AW22 BF4:BF22 GH7:GH15 AX19:AY19 GH17:GH19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CZ5:DA5 DB4:DB5 CS4:CS5 CY4:CY5 CV4:CV5 DC5:EH5 CO6:EO6 EK4:EK5 CN4:CN6 BH6 BM6 BP6:CM6 EL8:EO8 EQ6:ER8 ET6:EU8 EW6:EX8 EZ6:FA8 FC5:FD8 FF5:FG8 FI5:FJ8 FL5:FM8 EK7:EK8 EP4:EP8 FB4:FB8 FE4:FE8 FH4:FH8 FN4:GE8 FK4:FK8 EY4:EY8 EV4:EV8 ES4:ES8 BS8 BH8 BM8 BV8:EJ8 BP8 BP10 BH10 BM10 BS10:CM10 CO10:CR11 CT10:CX11 CZ10:DA11 DC10:DC11 EL11:EO11 EQ11:ER11 ET11:EU11 EW11:EX11 DD10:EH12 EP10:EP12 CV12 DB10:DB12 CY10:CY12 CS10:CS12 EK10:EK12 EY11:GE12 EV11:EV12 ES11:ES12 CN10:CN12 CO15:CR15 CT15:CU15 CW15:CX15 CZ15:DA15 EL15:EO15 EQ15:ER15 ET15:EU15 BH15 BP15:CM15 BM15 CS14:CS15 CY14:CY15 CV14:CV15 DB14:EH15 CO17:EH17 EK19:EK22 BI18:BL18 EV14:GE17 ES14:ES17 EP14:EP17 EK14:EK17 EP19:EP22 EL19:EO19 CS18:CS22 CN14:CN22 BN18:BO20 CO18:CR20 EQ19:ER20 BP17:CM20 BM17:BM20 CV18:CV22 BH17:BH21 CT18:CU21 CW18:EH21 ES19:GE22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Q4:Q22 V16 V18 V20 V4:V7 V10 W4:AK22 C4:C22 AP4:AP22 V22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AV4:AV22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AE32"/>
  <sheetViews>
    <sheetView tabSelected="1" topLeftCell="Q2" workbookViewId="0">
      <selection activeCell="V10" sqref="V10:AB12"/>
    </sheetView>
  </sheetViews>
  <sheetFormatPr defaultColWidth="9.36328125" defaultRowHeight="12.75" customHeight="1" x14ac:dyDescent="0.3"/>
  <cols>
    <col min="1" max="1" width="12.453125" style="94" customWidth="1"/>
    <col min="2" max="2" width="10.54296875" style="94" bestFit="1" customWidth="1"/>
    <col min="3" max="3" width="28.81640625" style="94" customWidth="1"/>
    <col min="4" max="4" width="46.54296875" style="94" customWidth="1"/>
    <col min="5" max="5" width="35.26953125" style="94" customWidth="1"/>
    <col min="6" max="6" width="34.7265625" style="94" customWidth="1"/>
    <col min="7" max="7" width="30.6328125" style="94" customWidth="1"/>
    <col min="8" max="8" width="28.453125" style="94" customWidth="1"/>
    <col min="9" max="9" width="27.36328125" style="94" customWidth="1"/>
    <col min="10" max="10" width="34.08984375" style="94" customWidth="1"/>
    <col min="11" max="11" width="36.81640625" style="94" customWidth="1"/>
    <col min="12" max="12" width="44.7265625" style="94" customWidth="1"/>
    <col min="13" max="13" width="32.6328125" style="94" customWidth="1"/>
    <col min="14" max="14" width="35.1796875" style="94" customWidth="1"/>
    <col min="15" max="15" width="43.26953125" style="94" customWidth="1"/>
    <col min="16" max="16" width="35.1796875" style="94" customWidth="1"/>
    <col min="17" max="17" width="39.36328125" style="94" customWidth="1"/>
    <col min="18" max="18" width="37.36328125" style="94" customWidth="1"/>
    <col min="19" max="19" width="33.453125" style="94" customWidth="1"/>
    <col min="20" max="20" width="36.1796875" style="94" customWidth="1"/>
    <col min="21" max="21" width="32.26953125" style="94" customWidth="1"/>
    <col min="22" max="22" width="45.54296875" style="94" customWidth="1"/>
    <col min="23" max="24" width="46.7265625" style="94" customWidth="1"/>
    <col min="25" max="25" width="34.7265625" style="94" customWidth="1"/>
    <col min="26" max="27" width="46.7265625" style="94" customWidth="1"/>
    <col min="28" max="28" width="9.36328125" style="94"/>
    <col min="29" max="29" width="35.1796875" style="94" customWidth="1"/>
    <col min="30" max="30" width="35.26953125" style="94" customWidth="1"/>
    <col min="31" max="31" width="10.453125" style="94" customWidth="1"/>
    <col min="32" max="16384" width="9.36328125" style="94"/>
  </cols>
  <sheetData>
    <row r="1" spans="1:31" ht="13" x14ac:dyDescent="0.3">
      <c r="A1" s="52" t="s">
        <v>1</v>
      </c>
      <c r="B1" s="52" t="s">
        <v>467</v>
      </c>
      <c r="C1" s="53" t="s">
        <v>5</v>
      </c>
      <c r="D1" s="53" t="s">
        <v>468</v>
      </c>
      <c r="E1" s="112" t="s">
        <v>469</v>
      </c>
      <c r="F1" s="137" t="s">
        <v>470</v>
      </c>
    </row>
    <row r="2" spans="1:31" ht="13" x14ac:dyDescent="0.3">
      <c r="A2" s="95">
        <v>6301697812</v>
      </c>
      <c r="B2" s="95" t="s">
        <v>471</v>
      </c>
      <c r="C2" s="96" t="s">
        <v>263</v>
      </c>
      <c r="D2" s="96" t="s">
        <v>263</v>
      </c>
      <c r="E2" s="96" t="s">
        <v>100</v>
      </c>
      <c r="F2" s="96" t="s">
        <v>472</v>
      </c>
    </row>
    <row r="3" spans="1:31" ht="14.5" x14ac:dyDescent="0.35">
      <c r="A3" s="95">
        <v>4509045514</v>
      </c>
      <c r="B3" s="95" t="s">
        <v>473</v>
      </c>
      <c r="C3" s="96" t="s">
        <v>303</v>
      </c>
      <c r="D3" s="95" t="s">
        <v>221</v>
      </c>
      <c r="E3" s="96" t="s">
        <v>221</v>
      </c>
      <c r="F3" s="138" t="s">
        <v>474</v>
      </c>
    </row>
    <row r="4" spans="1:31" ht="14.5" x14ac:dyDescent="0.35">
      <c r="A4" s="95">
        <v>4509210248</v>
      </c>
      <c r="B4" s="95" t="s">
        <v>475</v>
      </c>
      <c r="C4" s="96" t="s">
        <v>393</v>
      </c>
      <c r="D4" s="96" t="s">
        <v>393</v>
      </c>
      <c r="E4" s="96" t="s">
        <v>92</v>
      </c>
      <c r="F4" s="138" t="s">
        <v>476</v>
      </c>
    </row>
    <row r="5" spans="1:31" ht="14.5" x14ac:dyDescent="0.35">
      <c r="A5" s="95">
        <v>4043521421</v>
      </c>
      <c r="B5" s="95" t="s">
        <v>477</v>
      </c>
      <c r="C5" s="96" t="s">
        <v>428</v>
      </c>
      <c r="D5" s="96" t="s">
        <v>428</v>
      </c>
      <c r="E5" s="96" t="s">
        <v>60</v>
      </c>
      <c r="F5" s="138" t="s">
        <v>478</v>
      </c>
    </row>
    <row r="6" spans="1:31" ht="13" x14ac:dyDescent="0.3">
      <c r="A6" s="107">
        <v>4947025212</v>
      </c>
      <c r="B6" s="107" t="s">
        <v>479</v>
      </c>
      <c r="C6" s="111" t="s">
        <v>445</v>
      </c>
      <c r="D6" s="107" t="s">
        <v>221</v>
      </c>
      <c r="E6" s="111" t="s">
        <v>221</v>
      </c>
      <c r="F6" s="111" t="s">
        <v>480</v>
      </c>
    </row>
    <row r="9" spans="1:31" ht="26" x14ac:dyDescent="0.3">
      <c r="A9" s="52" t="s">
        <v>1</v>
      </c>
      <c r="B9" s="52" t="s">
        <v>467</v>
      </c>
      <c r="C9" s="53" t="s">
        <v>5</v>
      </c>
      <c r="D9" s="97" t="s">
        <v>481</v>
      </c>
      <c r="E9" s="98" t="s">
        <v>482</v>
      </c>
      <c r="F9" s="98" t="s">
        <v>483</v>
      </c>
      <c r="G9" s="98" t="s">
        <v>484</v>
      </c>
      <c r="H9" s="98" t="s">
        <v>485</v>
      </c>
      <c r="I9" s="98" t="s">
        <v>486</v>
      </c>
      <c r="J9" s="98" t="s">
        <v>487</v>
      </c>
      <c r="K9" s="98" t="s">
        <v>488</v>
      </c>
      <c r="L9" s="98" t="s">
        <v>489</v>
      </c>
      <c r="M9" s="98" t="s">
        <v>490</v>
      </c>
      <c r="N9" s="98" t="s">
        <v>491</v>
      </c>
      <c r="O9" s="98" t="s">
        <v>492</v>
      </c>
      <c r="P9" s="98" t="s">
        <v>493</v>
      </c>
      <c r="Q9" s="98" t="s">
        <v>494</v>
      </c>
      <c r="R9" s="98" t="s">
        <v>495</v>
      </c>
      <c r="S9" s="98" t="s">
        <v>496</v>
      </c>
      <c r="T9" s="98" t="s">
        <v>497</v>
      </c>
      <c r="U9" s="98" t="s">
        <v>498</v>
      </c>
      <c r="V9" s="113" t="s">
        <v>499</v>
      </c>
      <c r="W9" s="113" t="s">
        <v>500</v>
      </c>
      <c r="X9" s="113" t="s">
        <v>501</v>
      </c>
      <c r="Y9" s="113" t="s">
        <v>502</v>
      </c>
      <c r="Z9" s="113" t="s">
        <v>503</v>
      </c>
      <c r="AA9" s="113" t="s">
        <v>504</v>
      </c>
      <c r="AB9" s="113" t="s">
        <v>505</v>
      </c>
      <c r="AC9" s="53" t="s">
        <v>468</v>
      </c>
      <c r="AD9" s="53" t="s">
        <v>469</v>
      </c>
      <c r="AE9" s="53" t="s">
        <v>470</v>
      </c>
    </row>
    <row r="10" spans="1:31" ht="13" x14ac:dyDescent="0.3">
      <c r="A10" s="99">
        <v>4382291100</v>
      </c>
      <c r="B10" s="95" t="s">
        <v>506</v>
      </c>
      <c r="C10" s="99" t="s">
        <v>283</v>
      </c>
      <c r="D10" s="95" t="s">
        <v>290</v>
      </c>
      <c r="E10" s="95" t="s">
        <v>233</v>
      </c>
      <c r="F10" s="95">
        <v>144</v>
      </c>
      <c r="G10" s="95" t="s">
        <v>222</v>
      </c>
      <c r="H10" s="95" t="s">
        <v>220</v>
      </c>
      <c r="I10" s="95" t="s">
        <v>220</v>
      </c>
      <c r="J10" s="95" t="s">
        <v>220</v>
      </c>
      <c r="K10" s="95" t="s">
        <v>507</v>
      </c>
      <c r="L10" s="95">
        <v>0.2</v>
      </c>
      <c r="M10" s="100">
        <v>44403</v>
      </c>
      <c r="N10" s="100">
        <v>44440</v>
      </c>
      <c r="O10" s="95" t="s">
        <v>221</v>
      </c>
      <c r="P10" s="95" t="s">
        <v>221</v>
      </c>
      <c r="Q10" s="95" t="s">
        <v>221</v>
      </c>
      <c r="R10" s="101" t="str">
        <f>IFERROR(INT(O10 -$N10)/30,"N/A")</f>
        <v>N/A</v>
      </c>
      <c r="S10" s="101" t="str">
        <f>IFERROR(INT(Q10 -$N10)/30,"N/A")</f>
        <v>N/A</v>
      </c>
      <c r="T10" s="101" t="str">
        <f>IFERROR(INT(O10 -$M10)/30,"N/A")</f>
        <v>N/A</v>
      </c>
      <c r="U10" s="115" t="str">
        <f>IFERROR(INT(Q10 -$M10)/30,"N/A")</f>
        <v>N/A</v>
      </c>
      <c r="V10" s="95" t="s">
        <v>220</v>
      </c>
      <c r="W10" s="95" t="s">
        <v>222</v>
      </c>
      <c r="X10" s="95" t="s">
        <v>222</v>
      </c>
      <c r="Y10" s="95" t="s">
        <v>221</v>
      </c>
      <c r="Z10" s="114" t="str">
        <f t="shared" ref="Z10:Z12" si="0">IFERROR(INT(Y10 -$M10)/30,"N/A")</f>
        <v>N/A</v>
      </c>
      <c r="AA10" s="95" t="s">
        <v>508</v>
      </c>
      <c r="AB10" s="95" t="s">
        <v>221</v>
      </c>
      <c r="AC10" s="109" t="s">
        <v>221</v>
      </c>
      <c r="AD10" s="96" t="s">
        <v>221</v>
      </c>
      <c r="AE10" s="95" t="s">
        <v>509</v>
      </c>
    </row>
    <row r="11" spans="1:31" ht="13" x14ac:dyDescent="0.3">
      <c r="A11" s="99">
        <v>4381847067</v>
      </c>
      <c r="B11" s="95" t="s">
        <v>510</v>
      </c>
      <c r="C11" s="95" t="s">
        <v>312</v>
      </c>
      <c r="D11" s="95" t="s">
        <v>290</v>
      </c>
      <c r="E11" s="95" t="s">
        <v>233</v>
      </c>
      <c r="F11" s="95">
        <v>11</v>
      </c>
      <c r="G11" s="95" t="s">
        <v>222</v>
      </c>
      <c r="H11" s="95" t="s">
        <v>220</v>
      </c>
      <c r="I11" s="95" t="s">
        <v>220</v>
      </c>
      <c r="J11" s="95" t="s">
        <v>220</v>
      </c>
      <c r="K11" s="95" t="s">
        <v>511</v>
      </c>
      <c r="L11" s="95" t="s">
        <v>511</v>
      </c>
      <c r="M11" s="100">
        <v>44595</v>
      </c>
      <c r="N11" s="100">
        <v>44627</v>
      </c>
      <c r="O11" s="95" t="s">
        <v>221</v>
      </c>
      <c r="P11" s="95" t="s">
        <v>221</v>
      </c>
      <c r="Q11" s="95" t="s">
        <v>221</v>
      </c>
      <c r="R11" s="101" t="str">
        <f>IFERROR(INT(O11 -$N11)/30,"N/A")</f>
        <v>N/A</v>
      </c>
      <c r="S11" s="101" t="str">
        <f>IFERROR(INT(Q11 -$N11)/30,"N/A")</f>
        <v>N/A</v>
      </c>
      <c r="T11" s="101" t="str">
        <f>IFERROR(INT(O11 -$M11)/30,"N/A")</f>
        <v>N/A</v>
      </c>
      <c r="U11" s="115" t="str">
        <f>IFERROR(INT(Q11 -$M11)/30,"N/A")</f>
        <v>N/A</v>
      </c>
      <c r="V11" s="95" t="s">
        <v>220</v>
      </c>
      <c r="W11" s="95" t="s">
        <v>222</v>
      </c>
      <c r="X11" s="95" t="s">
        <v>222</v>
      </c>
      <c r="Y11" s="95" t="s">
        <v>221</v>
      </c>
      <c r="Z11" s="114" t="str">
        <f t="shared" si="0"/>
        <v>N/A</v>
      </c>
      <c r="AA11" s="95" t="s">
        <v>508</v>
      </c>
      <c r="AB11" s="95" t="s">
        <v>221</v>
      </c>
      <c r="AC11" s="109" t="s">
        <v>221</v>
      </c>
      <c r="AD11" s="96" t="s">
        <v>221</v>
      </c>
      <c r="AE11" s="95" t="s">
        <v>509</v>
      </c>
    </row>
    <row r="12" spans="1:31" ht="13" x14ac:dyDescent="0.3">
      <c r="A12" s="106">
        <v>4643830778</v>
      </c>
      <c r="B12" s="107" t="s">
        <v>512</v>
      </c>
      <c r="C12" s="107" t="s">
        <v>382</v>
      </c>
      <c r="D12" s="107" t="s">
        <v>290</v>
      </c>
      <c r="E12" s="107" t="s">
        <v>233</v>
      </c>
      <c r="F12" s="107">
        <v>60</v>
      </c>
      <c r="G12" s="107" t="s">
        <v>222</v>
      </c>
      <c r="H12" s="107" t="s">
        <v>222</v>
      </c>
      <c r="I12" s="107" t="s">
        <v>220</v>
      </c>
      <c r="J12" s="107" t="s">
        <v>222</v>
      </c>
      <c r="K12" s="107">
        <v>9.1</v>
      </c>
      <c r="L12" s="107">
        <v>30</v>
      </c>
      <c r="M12" s="139">
        <v>45216</v>
      </c>
      <c r="N12" s="139">
        <v>45216</v>
      </c>
      <c r="O12" s="139">
        <v>45518</v>
      </c>
      <c r="P12" s="107" t="s">
        <v>513</v>
      </c>
      <c r="Q12" s="107" t="s">
        <v>221</v>
      </c>
      <c r="R12" s="140">
        <f>IFERROR(INT(O12 -$N12)/30,"N/A")</f>
        <v>10.066666666666666</v>
      </c>
      <c r="S12" s="140" t="str">
        <f>IFERROR(INT(Q12 -$N12)/30,"N/A")</f>
        <v>N/A</v>
      </c>
      <c r="T12" s="140">
        <f>IFERROR(INT(O12 -$M12)/30,"N/A")</f>
        <v>10.066666666666666</v>
      </c>
      <c r="U12" s="141" t="str">
        <f>IFERROR(INT(Q12 -$M12)/30,"N/A")</f>
        <v>N/A</v>
      </c>
      <c r="V12" s="107" t="s">
        <v>220</v>
      </c>
      <c r="W12" s="107" t="s">
        <v>222</v>
      </c>
      <c r="X12" s="107" t="s">
        <v>222</v>
      </c>
      <c r="Y12" s="107" t="s">
        <v>221</v>
      </c>
      <c r="Z12" s="142" t="str">
        <f t="shared" si="0"/>
        <v>N/A</v>
      </c>
      <c r="AA12" s="107" t="s">
        <v>508</v>
      </c>
      <c r="AB12" s="107" t="s">
        <v>221</v>
      </c>
      <c r="AC12" s="110" t="s">
        <v>382</v>
      </c>
      <c r="AD12" s="111" t="s">
        <v>65</v>
      </c>
      <c r="AE12" s="107" t="s">
        <v>509</v>
      </c>
    </row>
    <row r="15" spans="1:31" ht="13" x14ac:dyDescent="0.3">
      <c r="A15" s="102" t="s">
        <v>1</v>
      </c>
      <c r="B15" s="102" t="s">
        <v>467</v>
      </c>
      <c r="C15" s="102" t="s">
        <v>5</v>
      </c>
      <c r="D15" s="103" t="s">
        <v>514</v>
      </c>
      <c r="E15" s="103" t="s">
        <v>515</v>
      </c>
      <c r="F15" s="102" t="s">
        <v>516</v>
      </c>
      <c r="G15" s="104" t="s">
        <v>517</v>
      </c>
      <c r="H15" s="105" t="s">
        <v>518</v>
      </c>
      <c r="I15" s="105" t="s">
        <v>519</v>
      </c>
      <c r="J15" s="105" t="s">
        <v>520</v>
      </c>
      <c r="K15" s="105" t="s">
        <v>521</v>
      </c>
      <c r="L15" s="105" t="s">
        <v>522</v>
      </c>
      <c r="M15" s="105" t="s">
        <v>523</v>
      </c>
      <c r="N15" s="53" t="s">
        <v>468</v>
      </c>
      <c r="O15" s="53" t="s">
        <v>469</v>
      </c>
      <c r="P15" s="53" t="s">
        <v>470</v>
      </c>
    </row>
    <row r="16" spans="1:31" ht="13" x14ac:dyDescent="0.3">
      <c r="A16" s="95">
        <v>4089649307</v>
      </c>
      <c r="B16" s="95" t="s">
        <v>524</v>
      </c>
      <c r="C16" s="99" t="s">
        <v>225</v>
      </c>
      <c r="D16" s="95" t="s">
        <v>233</v>
      </c>
      <c r="E16" s="95" t="s">
        <v>233</v>
      </c>
      <c r="F16" s="95" t="s">
        <v>525</v>
      </c>
      <c r="G16" s="95" t="s">
        <v>525</v>
      </c>
      <c r="H16" s="95" t="s">
        <v>526</v>
      </c>
      <c r="I16" s="95" t="s">
        <v>221</v>
      </c>
      <c r="J16" s="95">
        <v>6.8</v>
      </c>
      <c r="K16" s="95" t="s">
        <v>221</v>
      </c>
      <c r="L16" s="95" t="s">
        <v>221</v>
      </c>
      <c r="M16" s="95" t="s">
        <v>221</v>
      </c>
      <c r="N16" s="99" t="s">
        <v>225</v>
      </c>
      <c r="O16" s="96" t="s">
        <v>141</v>
      </c>
      <c r="P16" s="95" t="s">
        <v>527</v>
      </c>
    </row>
    <row r="17" spans="1:18" ht="13" x14ac:dyDescent="0.3">
      <c r="A17" s="99">
        <v>4860516370</v>
      </c>
      <c r="B17" s="95" t="s">
        <v>528</v>
      </c>
      <c r="C17" s="95" t="s">
        <v>328</v>
      </c>
      <c r="D17" s="95" t="s">
        <v>529</v>
      </c>
      <c r="E17" s="95" t="s">
        <v>233</v>
      </c>
      <c r="F17" s="95" t="s">
        <v>525</v>
      </c>
      <c r="G17" s="95" t="s">
        <v>530</v>
      </c>
      <c r="H17" s="95" t="s">
        <v>531</v>
      </c>
      <c r="I17" s="95" t="s">
        <v>532</v>
      </c>
      <c r="J17" s="95" t="s">
        <v>221</v>
      </c>
      <c r="K17" s="95" t="s">
        <v>221</v>
      </c>
      <c r="L17" s="95" t="s">
        <v>221</v>
      </c>
      <c r="M17" s="95" t="s">
        <v>221</v>
      </c>
      <c r="N17" s="95" t="s">
        <v>328</v>
      </c>
      <c r="O17" s="96" t="s">
        <v>141</v>
      </c>
      <c r="P17" s="95" t="s">
        <v>527</v>
      </c>
    </row>
    <row r="18" spans="1:18" ht="13" x14ac:dyDescent="0.3">
      <c r="A18" s="99">
        <v>4582709389</v>
      </c>
      <c r="B18" s="95" t="s">
        <v>533</v>
      </c>
      <c r="C18" s="95" t="s">
        <v>341</v>
      </c>
      <c r="D18" s="95" t="s">
        <v>534</v>
      </c>
      <c r="E18" s="95" t="s">
        <v>233</v>
      </c>
      <c r="F18" s="95" t="s">
        <v>530</v>
      </c>
      <c r="G18" s="95" t="s">
        <v>530</v>
      </c>
      <c r="H18" s="95" t="s">
        <v>535</v>
      </c>
      <c r="I18" s="95" t="s">
        <v>221</v>
      </c>
      <c r="J18" s="95">
        <v>4.54</v>
      </c>
      <c r="K18" s="95" t="s">
        <v>221</v>
      </c>
      <c r="L18" s="95" t="s">
        <v>221</v>
      </c>
      <c r="M18" s="95" t="s">
        <v>221</v>
      </c>
      <c r="N18" s="95" t="s">
        <v>221</v>
      </c>
      <c r="O18" s="96" t="s">
        <v>221</v>
      </c>
      <c r="P18" s="95" t="s">
        <v>527</v>
      </c>
    </row>
    <row r="19" spans="1:18" ht="13" x14ac:dyDescent="0.3">
      <c r="A19" s="99">
        <v>6144924469</v>
      </c>
      <c r="B19" s="95" t="s">
        <v>536</v>
      </c>
      <c r="C19" s="95" t="s">
        <v>350</v>
      </c>
      <c r="D19" s="95" t="s">
        <v>537</v>
      </c>
      <c r="E19" s="95" t="s">
        <v>233</v>
      </c>
      <c r="F19" s="95" t="s">
        <v>525</v>
      </c>
      <c r="G19" s="95" t="s">
        <v>525</v>
      </c>
      <c r="H19" s="95" t="s">
        <v>538</v>
      </c>
      <c r="I19" s="95" t="s">
        <v>221</v>
      </c>
      <c r="J19" s="95">
        <v>5.7</v>
      </c>
      <c r="K19" s="95" t="s">
        <v>221</v>
      </c>
      <c r="L19" s="95" t="s">
        <v>221</v>
      </c>
      <c r="M19" s="95" t="s">
        <v>221</v>
      </c>
      <c r="N19" s="95" t="s">
        <v>350</v>
      </c>
      <c r="O19" s="96" t="s">
        <v>141</v>
      </c>
      <c r="P19" s="95" t="s">
        <v>527</v>
      </c>
    </row>
    <row r="20" spans="1:18" ht="13" x14ac:dyDescent="0.3">
      <c r="A20" s="106">
        <v>4087508404</v>
      </c>
      <c r="B20" s="107" t="s">
        <v>539</v>
      </c>
      <c r="C20" s="107" t="s">
        <v>370</v>
      </c>
      <c r="D20" s="107" t="s">
        <v>540</v>
      </c>
      <c r="E20" s="107" t="s">
        <v>233</v>
      </c>
      <c r="F20" s="107" t="s">
        <v>525</v>
      </c>
      <c r="G20" s="107" t="s">
        <v>525</v>
      </c>
      <c r="H20" s="107" t="s">
        <v>538</v>
      </c>
      <c r="I20" s="107" t="s">
        <v>221</v>
      </c>
      <c r="J20" s="107">
        <v>5.42</v>
      </c>
      <c r="K20" s="107" t="s">
        <v>221</v>
      </c>
      <c r="L20" s="107" t="s">
        <v>221</v>
      </c>
      <c r="M20" s="107" t="s">
        <v>221</v>
      </c>
      <c r="N20" s="107" t="s">
        <v>370</v>
      </c>
      <c r="O20" s="111" t="s">
        <v>149</v>
      </c>
      <c r="P20" s="95" t="s">
        <v>527</v>
      </c>
    </row>
    <row r="21" spans="1:18" ht="13" x14ac:dyDescent="0.3">
      <c r="A21" s="106">
        <v>4382255848</v>
      </c>
      <c r="B21" s="107" t="s">
        <v>541</v>
      </c>
      <c r="C21" s="107" t="s">
        <v>436</v>
      </c>
      <c r="D21" s="107" t="s">
        <v>542</v>
      </c>
      <c r="E21" s="107" t="s">
        <v>233</v>
      </c>
      <c r="F21" s="107" t="s">
        <v>525</v>
      </c>
      <c r="G21" s="107" t="s">
        <v>525</v>
      </c>
      <c r="H21" s="107" t="s">
        <v>543</v>
      </c>
      <c r="I21" s="107" t="s">
        <v>221</v>
      </c>
      <c r="J21" s="107" t="s">
        <v>221</v>
      </c>
      <c r="K21" s="107" t="s">
        <v>221</v>
      </c>
      <c r="L21" s="107" t="s">
        <v>221</v>
      </c>
      <c r="M21" s="107" t="s">
        <v>221</v>
      </c>
      <c r="N21" s="107" t="s">
        <v>221</v>
      </c>
      <c r="O21" s="111" t="s">
        <v>221</v>
      </c>
      <c r="P21" s="95" t="s">
        <v>527</v>
      </c>
    </row>
    <row r="22" spans="1:18" ht="13" x14ac:dyDescent="0.3">
      <c r="A22" s="107">
        <v>4823057694</v>
      </c>
      <c r="B22" s="107" t="s">
        <v>544</v>
      </c>
      <c r="C22" s="107" t="s">
        <v>454</v>
      </c>
      <c r="D22" s="107" t="s">
        <v>545</v>
      </c>
      <c r="E22" s="107" t="s">
        <v>233</v>
      </c>
      <c r="F22" s="107" t="s">
        <v>525</v>
      </c>
      <c r="G22" s="107" t="s">
        <v>525</v>
      </c>
      <c r="H22" s="107" t="s">
        <v>538</v>
      </c>
      <c r="I22" s="107" t="s">
        <v>221</v>
      </c>
      <c r="J22" s="107">
        <v>4.62</v>
      </c>
      <c r="K22" s="107" t="s">
        <v>221</v>
      </c>
      <c r="L22" s="107" t="s">
        <v>221</v>
      </c>
      <c r="M22" s="107" t="s">
        <v>221</v>
      </c>
      <c r="N22" s="107" t="s">
        <v>454</v>
      </c>
      <c r="O22" s="111" t="s">
        <v>100</v>
      </c>
      <c r="P22" s="107" t="s">
        <v>527</v>
      </c>
    </row>
    <row r="25" spans="1:18" ht="13" x14ac:dyDescent="0.3">
      <c r="A25" s="143" t="s">
        <v>1</v>
      </c>
      <c r="B25" s="143" t="s">
        <v>467</v>
      </c>
      <c r="C25" s="144" t="s">
        <v>5</v>
      </c>
      <c r="D25" s="144" t="s">
        <v>546</v>
      </c>
      <c r="E25" s="144" t="s">
        <v>515</v>
      </c>
      <c r="F25" s="144" t="s">
        <v>547</v>
      </c>
      <c r="G25" s="144" t="s">
        <v>548</v>
      </c>
      <c r="H25" s="144" t="s">
        <v>549</v>
      </c>
      <c r="I25" s="144" t="s">
        <v>550</v>
      </c>
      <c r="J25" s="144" t="s">
        <v>551</v>
      </c>
      <c r="K25" s="144" t="s">
        <v>552</v>
      </c>
      <c r="L25" s="144" t="s">
        <v>553</v>
      </c>
      <c r="M25" s="144" t="s">
        <v>554</v>
      </c>
      <c r="N25" s="144" t="s">
        <v>468</v>
      </c>
      <c r="O25" s="144" t="s">
        <v>469</v>
      </c>
      <c r="P25" s="144" t="s">
        <v>470</v>
      </c>
    </row>
    <row r="26" spans="1:18" ht="13" x14ac:dyDescent="0.3">
      <c r="A26" s="108">
        <v>4369011124</v>
      </c>
      <c r="B26" s="95" t="s">
        <v>555</v>
      </c>
      <c r="C26" s="99" t="s">
        <v>321</v>
      </c>
      <c r="D26" s="109" t="s">
        <v>221</v>
      </c>
      <c r="E26" s="95" t="s">
        <v>221</v>
      </c>
      <c r="F26" s="95" t="s">
        <v>221</v>
      </c>
      <c r="G26" s="95" t="s">
        <v>221</v>
      </c>
      <c r="H26" s="95" t="s">
        <v>221</v>
      </c>
      <c r="I26" s="95" t="s">
        <v>221</v>
      </c>
      <c r="J26" s="95" t="s">
        <v>221</v>
      </c>
      <c r="K26" s="95" t="s">
        <v>221</v>
      </c>
      <c r="L26" s="95" t="s">
        <v>221</v>
      </c>
      <c r="M26" s="95" t="s">
        <v>221</v>
      </c>
      <c r="N26" s="95" t="s">
        <v>221</v>
      </c>
      <c r="O26" s="96" t="s">
        <v>221</v>
      </c>
      <c r="P26" s="95" t="s">
        <v>556</v>
      </c>
    </row>
    <row r="27" spans="1:18" ht="13" x14ac:dyDescent="0.3">
      <c r="A27" s="108">
        <v>4069551794</v>
      </c>
      <c r="B27" s="95" t="s">
        <v>557</v>
      </c>
      <c r="C27" s="95" t="s">
        <v>364</v>
      </c>
      <c r="D27" s="110" t="s">
        <v>221</v>
      </c>
      <c r="E27" s="107" t="s">
        <v>264</v>
      </c>
      <c r="F27" s="107" t="s">
        <v>558</v>
      </c>
      <c r="G27" s="107" t="s">
        <v>558</v>
      </c>
      <c r="H27" s="107" t="s">
        <v>558</v>
      </c>
      <c r="I27" s="107" t="s">
        <v>559</v>
      </c>
      <c r="J27" s="107" t="s">
        <v>560</v>
      </c>
      <c r="K27" s="107" t="s">
        <v>558</v>
      </c>
      <c r="L27" s="107" t="s">
        <v>558</v>
      </c>
      <c r="M27" s="107" t="s">
        <v>221</v>
      </c>
      <c r="N27" s="107" t="s">
        <v>221</v>
      </c>
      <c r="O27" s="111" t="s">
        <v>221</v>
      </c>
      <c r="P27" s="95" t="s">
        <v>556</v>
      </c>
    </row>
    <row r="28" spans="1:18" ht="13" x14ac:dyDescent="0.3">
      <c r="A28" s="145">
        <v>4362000127</v>
      </c>
      <c r="B28" s="107" t="s">
        <v>561</v>
      </c>
      <c r="C28" s="107" t="s">
        <v>418</v>
      </c>
      <c r="D28" s="110" t="s">
        <v>221</v>
      </c>
      <c r="E28" s="107" t="s">
        <v>419</v>
      </c>
      <c r="F28" s="107" t="s">
        <v>558</v>
      </c>
      <c r="G28" s="107" t="s">
        <v>558</v>
      </c>
      <c r="H28" s="107" t="s">
        <v>558</v>
      </c>
      <c r="I28" s="107" t="s">
        <v>562</v>
      </c>
      <c r="J28" s="107">
        <v>60</v>
      </c>
      <c r="K28" s="107" t="s">
        <v>558</v>
      </c>
      <c r="L28" s="107" t="s">
        <v>558</v>
      </c>
      <c r="M28" s="107" t="s">
        <v>221</v>
      </c>
      <c r="N28" s="107" t="s">
        <v>221</v>
      </c>
      <c r="O28" s="111" t="s">
        <v>221</v>
      </c>
      <c r="P28" s="107" t="s">
        <v>556</v>
      </c>
    </row>
    <row r="31" spans="1:18" ht="13" x14ac:dyDescent="0.3">
      <c r="A31" s="146" t="s">
        <v>1</v>
      </c>
      <c r="B31" s="146" t="s">
        <v>467</v>
      </c>
      <c r="C31" s="147" t="s">
        <v>5</v>
      </c>
      <c r="D31" s="147" t="s">
        <v>563</v>
      </c>
      <c r="E31" s="147" t="s">
        <v>564</v>
      </c>
      <c r="F31" s="147" t="s">
        <v>565</v>
      </c>
      <c r="G31" s="147" t="s">
        <v>566</v>
      </c>
      <c r="H31" s="147" t="s">
        <v>567</v>
      </c>
      <c r="I31" s="147" t="s">
        <v>568</v>
      </c>
      <c r="J31" s="147" t="s">
        <v>569</v>
      </c>
      <c r="K31" s="147" t="s">
        <v>570</v>
      </c>
      <c r="L31" s="147" t="s">
        <v>547</v>
      </c>
      <c r="M31" s="147" t="s">
        <v>548</v>
      </c>
      <c r="N31" s="147" t="s">
        <v>549</v>
      </c>
      <c r="O31" s="147" t="s">
        <v>571</v>
      </c>
      <c r="P31" s="144" t="s">
        <v>468</v>
      </c>
      <c r="Q31" s="144" t="s">
        <v>469</v>
      </c>
      <c r="R31" s="144" t="s">
        <v>470</v>
      </c>
    </row>
    <row r="32" spans="1:18" ht="13" x14ac:dyDescent="0.3">
      <c r="A32" s="107">
        <v>6505808795</v>
      </c>
      <c r="B32" s="111" t="s">
        <v>572</v>
      </c>
      <c r="C32" s="107" t="s">
        <v>405</v>
      </c>
      <c r="D32" s="107" t="s">
        <v>573</v>
      </c>
      <c r="E32" s="107" t="s">
        <v>574</v>
      </c>
      <c r="F32" s="107" t="s">
        <v>284</v>
      </c>
      <c r="G32" s="107" t="s">
        <v>221</v>
      </c>
      <c r="H32" s="107" t="s">
        <v>221</v>
      </c>
      <c r="I32" s="107" t="s">
        <v>221</v>
      </c>
      <c r="J32" s="107" t="s">
        <v>221</v>
      </c>
      <c r="K32" s="107" t="s">
        <v>221</v>
      </c>
      <c r="L32" s="107" t="s">
        <v>575</v>
      </c>
      <c r="M32" s="107" t="s">
        <v>558</v>
      </c>
      <c r="N32" s="107" t="s">
        <v>558</v>
      </c>
      <c r="O32" s="107" t="s">
        <v>576</v>
      </c>
      <c r="P32" s="111" t="s">
        <v>405</v>
      </c>
      <c r="Q32" s="111" t="s">
        <v>146</v>
      </c>
      <c r="R32" s="107" t="s">
        <v>577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EA9D-6573-4B56-88BB-E6F5034748D6}">
  <sheetPr codeName="Sheet2"/>
  <dimension ref="A1:L35"/>
  <sheetViews>
    <sheetView workbookViewId="0">
      <selection activeCell="A2" sqref="A2:A35"/>
    </sheetView>
  </sheetViews>
  <sheetFormatPr defaultRowHeight="12.5" x14ac:dyDescent="0.25"/>
  <cols>
    <col min="1" max="1" width="13.81640625" customWidth="1"/>
    <col min="2" max="2" width="19.453125" customWidth="1"/>
    <col min="3" max="3" width="38.54296875" customWidth="1"/>
    <col min="5" max="5" width="38.54296875" customWidth="1"/>
    <col min="7" max="7" width="38.54296875" customWidth="1"/>
    <col min="9" max="9" width="38.54296875" customWidth="1"/>
    <col min="11" max="11" width="38.54296875" customWidth="1"/>
  </cols>
  <sheetData>
    <row r="1" spans="1:12" ht="40.5" customHeight="1" x14ac:dyDescent="0.25">
      <c r="A1" s="149" t="s">
        <v>578</v>
      </c>
      <c r="B1" s="149" t="s">
        <v>579</v>
      </c>
      <c r="C1" s="150" t="s">
        <v>580</v>
      </c>
      <c r="D1" s="150" t="s">
        <v>581</v>
      </c>
      <c r="E1" s="150" t="s">
        <v>582</v>
      </c>
      <c r="F1" s="150" t="s">
        <v>583</v>
      </c>
      <c r="G1" s="150" t="s">
        <v>584</v>
      </c>
      <c r="H1" s="150" t="s">
        <v>585</v>
      </c>
      <c r="I1" s="150" t="s">
        <v>586</v>
      </c>
      <c r="J1" s="150" t="s">
        <v>587</v>
      </c>
      <c r="K1" s="150" t="s">
        <v>588</v>
      </c>
      <c r="L1" s="151" t="s">
        <v>589</v>
      </c>
    </row>
    <row r="2" spans="1:12" ht="13" x14ac:dyDescent="0.3">
      <c r="A2" s="88">
        <v>6229691280</v>
      </c>
      <c r="B2" s="90" t="s">
        <v>590</v>
      </c>
      <c r="C2" s="89"/>
      <c r="D2" s="89"/>
      <c r="E2" s="89"/>
      <c r="F2" s="89"/>
      <c r="G2" s="89"/>
      <c r="H2" s="89"/>
      <c r="I2" s="89"/>
      <c r="J2" s="89"/>
      <c r="K2" s="89"/>
      <c r="L2" s="148"/>
    </row>
    <row r="3" spans="1:12" ht="13" x14ac:dyDescent="0.3">
      <c r="A3" s="47">
        <v>4089649307</v>
      </c>
      <c r="B3" s="49" t="s">
        <v>225</v>
      </c>
      <c r="C3" s="89"/>
      <c r="D3" s="89"/>
      <c r="E3" s="89"/>
      <c r="F3" s="89"/>
      <c r="G3" s="89"/>
      <c r="H3" s="89"/>
      <c r="I3" s="89"/>
      <c r="J3" s="89"/>
      <c r="K3" s="89"/>
      <c r="L3" s="148"/>
    </row>
    <row r="4" spans="1:12" ht="13" x14ac:dyDescent="0.3">
      <c r="A4" s="48">
        <v>6301697812</v>
      </c>
      <c r="B4" s="49" t="s">
        <v>263</v>
      </c>
      <c r="C4" s="89"/>
      <c r="D4" s="89"/>
      <c r="E4" s="89"/>
      <c r="F4" s="89"/>
      <c r="G4" s="89"/>
      <c r="H4" s="89"/>
      <c r="I4" s="89"/>
      <c r="J4" s="89"/>
      <c r="K4" s="89"/>
      <c r="L4" s="148"/>
    </row>
    <row r="5" spans="1:12" ht="13" x14ac:dyDescent="0.3">
      <c r="A5" s="48">
        <v>4382291100</v>
      </c>
      <c r="B5" s="49" t="s">
        <v>283</v>
      </c>
      <c r="C5" s="89"/>
      <c r="D5" s="89"/>
      <c r="E5" s="89"/>
      <c r="F5" s="89"/>
      <c r="G5" s="89"/>
      <c r="H5" s="89"/>
      <c r="I5" s="89"/>
      <c r="J5" s="89"/>
      <c r="K5" s="89"/>
      <c r="L5" s="148"/>
    </row>
    <row r="6" spans="1:12" ht="13" x14ac:dyDescent="0.3">
      <c r="A6" s="48">
        <v>4509045514</v>
      </c>
      <c r="B6" s="49" t="s">
        <v>303</v>
      </c>
      <c r="C6" s="89"/>
      <c r="D6" s="89"/>
      <c r="E6" s="89"/>
      <c r="F6" s="89"/>
      <c r="G6" s="89"/>
      <c r="H6" s="89"/>
      <c r="I6" s="89"/>
      <c r="J6" s="89"/>
      <c r="K6" s="89"/>
      <c r="L6" s="148"/>
    </row>
    <row r="7" spans="1:12" ht="13" x14ac:dyDescent="0.3">
      <c r="A7" s="48">
        <v>4381847067</v>
      </c>
      <c r="B7" s="49" t="s">
        <v>312</v>
      </c>
      <c r="C7" s="89"/>
      <c r="D7" s="89"/>
      <c r="E7" s="89"/>
      <c r="F7" s="89"/>
      <c r="G7" s="89"/>
      <c r="H7" s="89"/>
      <c r="I7" s="89"/>
      <c r="J7" s="89"/>
      <c r="K7" s="89"/>
      <c r="L7" s="148"/>
    </row>
    <row r="8" spans="1:12" ht="13" x14ac:dyDescent="0.3">
      <c r="A8" s="48">
        <v>4369011124</v>
      </c>
      <c r="B8" s="49" t="s">
        <v>321</v>
      </c>
      <c r="C8" s="89"/>
      <c r="D8" s="89"/>
      <c r="E8" s="89"/>
      <c r="F8" s="89"/>
      <c r="G8" s="89"/>
      <c r="H8" s="89"/>
      <c r="I8" s="89"/>
      <c r="J8" s="89"/>
      <c r="K8" s="89"/>
      <c r="L8" s="148"/>
    </row>
    <row r="9" spans="1:12" ht="13" x14ac:dyDescent="0.3">
      <c r="A9" s="48">
        <v>4583316437</v>
      </c>
      <c r="B9" s="49" t="s">
        <v>591</v>
      </c>
      <c r="C9" s="89"/>
      <c r="D9" s="89"/>
      <c r="E9" s="89"/>
      <c r="F9" s="89"/>
      <c r="G9" s="89"/>
      <c r="H9" s="89"/>
      <c r="I9" s="89"/>
      <c r="J9" s="89"/>
      <c r="K9" s="89"/>
      <c r="L9" s="148"/>
    </row>
    <row r="10" spans="1:12" ht="13" x14ac:dyDescent="0.3">
      <c r="A10" s="48">
        <v>4787155423</v>
      </c>
      <c r="B10" s="49" t="s">
        <v>592</v>
      </c>
      <c r="C10" s="89"/>
      <c r="D10" s="89"/>
      <c r="E10" s="89"/>
      <c r="F10" s="89"/>
      <c r="G10" s="89"/>
      <c r="H10" s="89"/>
      <c r="I10" s="89"/>
      <c r="J10" s="89"/>
      <c r="K10" s="89"/>
      <c r="L10" s="148"/>
    </row>
    <row r="11" spans="1:12" ht="13" x14ac:dyDescent="0.3">
      <c r="A11" s="48">
        <v>4848755808</v>
      </c>
      <c r="B11" s="49" t="s">
        <v>593</v>
      </c>
      <c r="C11" s="89"/>
      <c r="D11" s="89"/>
      <c r="E11" s="89"/>
      <c r="F11" s="89"/>
      <c r="G11" s="89"/>
      <c r="H11" s="89"/>
      <c r="I11" s="89"/>
      <c r="J11" s="89"/>
      <c r="K11" s="89"/>
      <c r="L11" s="148"/>
    </row>
    <row r="12" spans="1:12" ht="13" x14ac:dyDescent="0.3">
      <c r="A12" s="48">
        <v>4860516370</v>
      </c>
      <c r="B12" s="49" t="s">
        <v>328</v>
      </c>
      <c r="C12" s="89"/>
      <c r="D12" s="89"/>
      <c r="E12" s="89"/>
      <c r="F12" s="89"/>
      <c r="G12" s="89"/>
      <c r="H12" s="89"/>
      <c r="I12" s="89"/>
      <c r="J12" s="89"/>
      <c r="K12" s="89"/>
      <c r="L12" s="148"/>
    </row>
    <row r="13" spans="1:12" ht="13" x14ac:dyDescent="0.3">
      <c r="A13" s="48">
        <v>4520391709</v>
      </c>
      <c r="B13" s="49" t="s">
        <v>594</v>
      </c>
      <c r="C13" s="89"/>
      <c r="D13" s="89"/>
      <c r="E13" s="89"/>
      <c r="F13" s="89"/>
      <c r="G13" s="89"/>
      <c r="H13" s="89"/>
      <c r="I13" s="89"/>
      <c r="J13" s="89"/>
      <c r="K13" s="89"/>
      <c r="L13" s="148"/>
    </row>
    <row r="14" spans="1:12" ht="13" x14ac:dyDescent="0.3">
      <c r="A14" s="48">
        <v>4124075472</v>
      </c>
      <c r="B14" s="49" t="s">
        <v>595</v>
      </c>
      <c r="C14" s="89"/>
      <c r="D14" s="89"/>
      <c r="E14" s="89"/>
      <c r="F14" s="89"/>
      <c r="G14" s="89"/>
      <c r="H14" s="89"/>
      <c r="I14" s="89"/>
      <c r="J14" s="89"/>
      <c r="K14" s="89"/>
      <c r="L14" s="148"/>
    </row>
    <row r="15" spans="1:12" ht="13" x14ac:dyDescent="0.3">
      <c r="A15" s="48">
        <v>4381374088</v>
      </c>
      <c r="B15" s="49" t="s">
        <v>596</v>
      </c>
      <c r="C15" s="89"/>
      <c r="D15" s="89"/>
      <c r="E15" s="89"/>
      <c r="F15" s="89"/>
      <c r="G15" s="89"/>
      <c r="H15" s="89"/>
      <c r="I15" s="89"/>
      <c r="J15" s="89"/>
      <c r="K15" s="89"/>
      <c r="L15" s="148"/>
    </row>
    <row r="16" spans="1:12" ht="13" x14ac:dyDescent="0.3">
      <c r="A16" s="48">
        <v>4388771279</v>
      </c>
      <c r="B16" s="49" t="s">
        <v>597</v>
      </c>
      <c r="C16" s="89"/>
      <c r="D16" s="89"/>
      <c r="E16" s="89"/>
      <c r="F16" s="89"/>
      <c r="G16" s="89"/>
      <c r="H16" s="89"/>
      <c r="I16" s="89"/>
      <c r="J16" s="89"/>
      <c r="K16" s="89"/>
      <c r="L16" s="148"/>
    </row>
    <row r="17" spans="1:12" ht="13" x14ac:dyDescent="0.3">
      <c r="A17" s="48">
        <v>4406553371</v>
      </c>
      <c r="B17" s="49" t="s">
        <v>598</v>
      </c>
      <c r="C17" s="89"/>
      <c r="D17" s="89"/>
      <c r="E17" s="89"/>
      <c r="F17" s="89"/>
      <c r="G17" s="89"/>
      <c r="H17" s="89"/>
      <c r="I17" s="89"/>
      <c r="J17" s="89"/>
      <c r="K17" s="89"/>
      <c r="L17" s="148"/>
    </row>
    <row r="18" spans="1:12" ht="13" x14ac:dyDescent="0.3">
      <c r="A18" s="48">
        <v>4582709389</v>
      </c>
      <c r="B18" s="49" t="s">
        <v>341</v>
      </c>
      <c r="C18" s="89"/>
      <c r="D18" s="89"/>
      <c r="E18" s="89"/>
      <c r="F18" s="89"/>
      <c r="G18" s="89"/>
      <c r="H18" s="89"/>
      <c r="I18" s="89"/>
      <c r="J18" s="89"/>
      <c r="K18" s="89"/>
      <c r="L18" s="148"/>
    </row>
    <row r="19" spans="1:12" ht="13" x14ac:dyDescent="0.3">
      <c r="A19" s="48">
        <v>4445569178</v>
      </c>
      <c r="B19" s="49" t="s">
        <v>599</v>
      </c>
      <c r="C19" s="89"/>
      <c r="D19" s="89"/>
      <c r="E19" s="89"/>
      <c r="F19" s="89"/>
      <c r="G19" s="89"/>
      <c r="H19" s="89"/>
      <c r="I19" s="89"/>
      <c r="J19" s="89"/>
      <c r="K19" s="89"/>
      <c r="L19" s="148"/>
    </row>
    <row r="20" spans="1:12" ht="13" x14ac:dyDescent="0.3">
      <c r="A20" s="48">
        <v>4947349018</v>
      </c>
      <c r="B20" s="49" t="s">
        <v>600</v>
      </c>
      <c r="C20" s="89"/>
      <c r="D20" s="89"/>
      <c r="E20" s="89"/>
      <c r="F20" s="89"/>
      <c r="G20" s="89"/>
      <c r="H20" s="89"/>
      <c r="I20" s="89"/>
      <c r="J20" s="89"/>
      <c r="K20" s="89"/>
      <c r="L20" s="148"/>
    </row>
    <row r="21" spans="1:12" ht="13" x14ac:dyDescent="0.3">
      <c r="A21" s="48">
        <v>6144924469</v>
      </c>
      <c r="B21" s="49" t="s">
        <v>350</v>
      </c>
      <c r="C21" s="89"/>
      <c r="D21" s="89"/>
      <c r="E21" s="89"/>
      <c r="F21" s="89"/>
      <c r="G21" s="89"/>
      <c r="H21" s="89"/>
      <c r="I21" s="89"/>
      <c r="J21" s="89"/>
      <c r="K21" s="89"/>
      <c r="L21" s="148"/>
    </row>
    <row r="22" spans="1:12" ht="13" x14ac:dyDescent="0.3">
      <c r="A22" s="48">
        <v>4507901820</v>
      </c>
      <c r="B22" s="49" t="s">
        <v>601</v>
      </c>
      <c r="C22" s="89"/>
      <c r="D22" s="89"/>
      <c r="E22" s="89"/>
      <c r="F22" s="89"/>
      <c r="G22" s="89"/>
      <c r="H22" s="89"/>
      <c r="I22" s="89"/>
      <c r="J22" s="89"/>
      <c r="K22" s="89"/>
      <c r="L22" s="148"/>
    </row>
    <row r="23" spans="1:12" ht="13" x14ac:dyDescent="0.3">
      <c r="A23" s="48">
        <v>4069551794</v>
      </c>
      <c r="B23" s="49" t="s">
        <v>364</v>
      </c>
      <c r="C23" s="89"/>
      <c r="D23" s="89"/>
      <c r="E23" s="89"/>
      <c r="F23" s="89"/>
      <c r="G23" s="89"/>
      <c r="H23" s="89"/>
      <c r="I23" s="89"/>
      <c r="J23" s="89"/>
      <c r="K23" s="89"/>
      <c r="L23" s="148"/>
    </row>
    <row r="24" spans="1:12" ht="13" x14ac:dyDescent="0.3">
      <c r="A24" s="48">
        <v>4087508404</v>
      </c>
      <c r="B24" s="49" t="s">
        <v>370</v>
      </c>
      <c r="C24" s="89"/>
      <c r="D24" s="89"/>
      <c r="E24" s="89"/>
      <c r="F24" s="89"/>
      <c r="G24" s="89"/>
      <c r="H24" s="89"/>
      <c r="I24" s="89"/>
      <c r="J24" s="89"/>
      <c r="K24" s="89"/>
      <c r="L24" s="148"/>
    </row>
    <row r="25" spans="1:12" ht="13" x14ac:dyDescent="0.3">
      <c r="A25" s="48">
        <v>4643830778</v>
      </c>
      <c r="B25" s="49" t="s">
        <v>382</v>
      </c>
      <c r="C25" s="89"/>
      <c r="D25" s="89"/>
      <c r="E25" s="89"/>
      <c r="F25" s="89"/>
      <c r="G25" s="89"/>
      <c r="H25" s="89"/>
      <c r="I25" s="89"/>
      <c r="J25" s="89"/>
      <c r="K25" s="89"/>
      <c r="L25" s="148"/>
    </row>
    <row r="26" spans="1:12" ht="13" x14ac:dyDescent="0.3">
      <c r="A26" s="48">
        <v>4160571263</v>
      </c>
      <c r="B26" s="49" t="s">
        <v>602</v>
      </c>
      <c r="C26" s="89"/>
      <c r="D26" s="89"/>
      <c r="E26" s="89"/>
      <c r="F26" s="89"/>
      <c r="G26" s="89"/>
      <c r="H26" s="89"/>
      <c r="I26" s="89"/>
      <c r="J26" s="89"/>
      <c r="K26" s="89"/>
      <c r="L26" s="148"/>
    </row>
    <row r="27" spans="1:12" ht="13" x14ac:dyDescent="0.3">
      <c r="A27" s="48">
        <v>4509210248</v>
      </c>
      <c r="B27" s="49" t="s">
        <v>393</v>
      </c>
      <c r="C27" s="89"/>
      <c r="D27" s="89"/>
      <c r="E27" s="89"/>
      <c r="F27" s="89"/>
      <c r="G27" s="89"/>
      <c r="H27" s="89"/>
      <c r="I27" s="89"/>
      <c r="J27" s="89"/>
      <c r="K27" s="89"/>
      <c r="L27" s="148"/>
    </row>
    <row r="28" spans="1:12" ht="13" x14ac:dyDescent="0.3">
      <c r="A28" s="48">
        <v>4382138280</v>
      </c>
      <c r="B28" s="49" t="s">
        <v>603</v>
      </c>
      <c r="C28" s="89"/>
      <c r="D28" s="89"/>
      <c r="E28" s="89"/>
      <c r="F28" s="89"/>
      <c r="G28" s="89"/>
      <c r="H28" s="89"/>
      <c r="I28" s="89"/>
      <c r="J28" s="89"/>
      <c r="K28" s="89"/>
      <c r="L28" s="148"/>
    </row>
    <row r="29" spans="1:12" ht="13" x14ac:dyDescent="0.3">
      <c r="A29" s="48">
        <v>6060874681</v>
      </c>
      <c r="B29" s="49" t="s">
        <v>604</v>
      </c>
      <c r="C29" s="89"/>
      <c r="D29" s="89"/>
      <c r="E29" s="89"/>
      <c r="F29" s="89"/>
      <c r="G29" s="89"/>
      <c r="H29" s="89"/>
      <c r="I29" s="89"/>
      <c r="J29" s="89"/>
      <c r="K29" s="89"/>
      <c r="L29" s="148"/>
    </row>
    <row r="30" spans="1:12" ht="13" x14ac:dyDescent="0.3">
      <c r="A30" s="48">
        <v>4250103331</v>
      </c>
      <c r="B30" s="49" t="s">
        <v>605</v>
      </c>
      <c r="C30" s="89"/>
      <c r="D30" s="89"/>
      <c r="E30" s="89"/>
      <c r="F30" s="89"/>
      <c r="G30" s="89"/>
      <c r="H30" s="89"/>
      <c r="I30" s="89"/>
      <c r="J30" s="89"/>
      <c r="K30" s="89"/>
      <c r="L30" s="148"/>
    </row>
    <row r="31" spans="1:12" ht="13" x14ac:dyDescent="0.3">
      <c r="A31" s="48">
        <v>4362000127</v>
      </c>
      <c r="B31" s="49" t="s">
        <v>418</v>
      </c>
      <c r="C31" s="89"/>
      <c r="D31" s="89"/>
      <c r="E31" s="89"/>
      <c r="F31" s="89"/>
      <c r="G31" s="89"/>
      <c r="H31" s="89"/>
      <c r="I31" s="89"/>
      <c r="J31" s="89"/>
      <c r="K31" s="89"/>
      <c r="L31" s="148"/>
    </row>
    <row r="32" spans="1:12" ht="13" x14ac:dyDescent="0.3">
      <c r="A32" s="48">
        <v>4043521421</v>
      </c>
      <c r="B32" s="49" t="s">
        <v>428</v>
      </c>
      <c r="C32" s="89"/>
      <c r="D32" s="89"/>
      <c r="E32" s="89"/>
      <c r="F32" s="89"/>
      <c r="G32" s="89"/>
      <c r="H32" s="89"/>
      <c r="I32" s="89"/>
      <c r="J32" s="89"/>
      <c r="K32" s="89"/>
      <c r="L32" s="148"/>
    </row>
    <row r="33" spans="1:12" ht="13" x14ac:dyDescent="0.3">
      <c r="A33" s="48">
        <v>4382255848</v>
      </c>
      <c r="B33" s="49" t="s">
        <v>436</v>
      </c>
      <c r="C33" s="89"/>
      <c r="D33" s="89"/>
      <c r="E33" s="89"/>
      <c r="F33" s="89"/>
      <c r="G33" s="89"/>
      <c r="H33" s="89"/>
      <c r="I33" s="89"/>
      <c r="J33" s="89"/>
      <c r="K33" s="89"/>
      <c r="L33" s="148"/>
    </row>
    <row r="34" spans="1:12" ht="13" x14ac:dyDescent="0.3">
      <c r="A34" s="48">
        <v>4947025212</v>
      </c>
      <c r="B34" s="49" t="s">
        <v>445</v>
      </c>
      <c r="C34" s="89"/>
      <c r="D34" s="89"/>
      <c r="E34" s="89"/>
      <c r="F34" s="89"/>
      <c r="G34" s="89"/>
      <c r="H34" s="89"/>
      <c r="I34" s="89"/>
      <c r="J34" s="89"/>
      <c r="K34" s="89"/>
      <c r="L34" s="148"/>
    </row>
    <row r="35" spans="1:12" ht="13" x14ac:dyDescent="0.3">
      <c r="A35" s="118">
        <v>4823057694</v>
      </c>
      <c r="B35" s="128" t="s">
        <v>454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3"/>
    </row>
  </sheetData>
  <conditionalFormatting sqref="B2">
    <cfRule type="duplicateValues" dxfId="329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08984375" defaultRowHeight="15" customHeight="1" x14ac:dyDescent="0.3"/>
  <cols>
    <col min="1" max="1" width="9.08984375" style="56"/>
    <col min="2" max="2" width="43.453125" style="56" bestFit="1" customWidth="1"/>
    <col min="3" max="3" width="112.90625" style="56" customWidth="1"/>
    <col min="4" max="4" width="9.08984375" style="56"/>
    <col min="5" max="6" width="15.90625" style="56" customWidth="1"/>
    <col min="7" max="7" width="37.36328125" style="56" bestFit="1" customWidth="1"/>
    <col min="8" max="8" width="31.90625" style="56" bestFit="1" customWidth="1"/>
    <col min="9" max="9" width="17.08984375" style="56" bestFit="1" customWidth="1"/>
    <col min="10" max="10" width="9.08984375" style="56"/>
    <col min="11" max="11" width="42.6328125" style="56" bestFit="1" customWidth="1"/>
    <col min="12" max="12" width="8" style="56" bestFit="1" customWidth="1"/>
    <col min="13" max="16384" width="9.08984375" style="56"/>
  </cols>
  <sheetData>
    <row r="1" spans="2:12" ht="18.75" customHeight="1" x14ac:dyDescent="0.3">
      <c r="E1" s="57" t="s">
        <v>606</v>
      </c>
      <c r="F1" s="57" t="s">
        <v>607</v>
      </c>
      <c r="G1" s="57" t="s">
        <v>42</v>
      </c>
      <c r="H1" s="57" t="s">
        <v>48</v>
      </c>
      <c r="I1" s="57" t="s">
        <v>56</v>
      </c>
    </row>
    <row r="2" spans="2:12" ht="15" customHeight="1" x14ac:dyDescent="0.3">
      <c r="B2" s="54" t="s">
        <v>608</v>
      </c>
      <c r="C2" s="54"/>
      <c r="E2" s="56" t="s">
        <v>241</v>
      </c>
      <c r="F2" s="56" t="s">
        <v>222</v>
      </c>
      <c r="G2" s="56" t="s">
        <v>286</v>
      </c>
      <c r="H2" s="56" t="s">
        <v>290</v>
      </c>
      <c r="I2" s="56" t="s">
        <v>609</v>
      </c>
    </row>
    <row r="3" spans="2:12" ht="15" customHeight="1" x14ac:dyDescent="0.3">
      <c r="B3" s="54" t="s">
        <v>610</v>
      </c>
      <c r="C3" s="54"/>
      <c r="E3" s="56" t="s">
        <v>238</v>
      </c>
      <c r="F3" s="56" t="s">
        <v>220</v>
      </c>
      <c r="G3" s="56" t="s">
        <v>228</v>
      </c>
      <c r="H3" s="56" t="s">
        <v>232</v>
      </c>
      <c r="I3" s="56" t="s">
        <v>611</v>
      </c>
      <c r="K3" s="58" t="s">
        <v>612</v>
      </c>
      <c r="L3" s="58" t="s">
        <v>613</v>
      </c>
    </row>
    <row r="4" spans="2:12" ht="15" customHeight="1" x14ac:dyDescent="0.3">
      <c r="B4" s="54"/>
      <c r="C4" s="54"/>
      <c r="E4" s="56" t="s">
        <v>614</v>
      </c>
      <c r="F4" s="56" t="s">
        <v>221</v>
      </c>
      <c r="G4" s="56" t="s">
        <v>615</v>
      </c>
      <c r="H4" s="56" t="s">
        <v>616</v>
      </c>
      <c r="I4" s="56" t="s">
        <v>459</v>
      </c>
      <c r="K4" s="4" t="s">
        <v>1</v>
      </c>
      <c r="L4" s="59" t="s">
        <v>617</v>
      </c>
    </row>
    <row r="5" spans="2:12" ht="15" customHeight="1" x14ac:dyDescent="0.3">
      <c r="B5" s="54"/>
      <c r="C5" s="54"/>
      <c r="E5" s="56" t="s">
        <v>334</v>
      </c>
      <c r="F5" s="56" t="s">
        <v>233</v>
      </c>
      <c r="G5" s="56" t="s">
        <v>618</v>
      </c>
      <c r="H5" s="56" t="s">
        <v>221</v>
      </c>
      <c r="I5" s="56" t="s">
        <v>619</v>
      </c>
      <c r="K5" s="4" t="s">
        <v>2</v>
      </c>
      <c r="L5" s="59" t="s">
        <v>620</v>
      </c>
    </row>
    <row r="6" spans="2:12" ht="15" customHeight="1" x14ac:dyDescent="0.3">
      <c r="B6" s="66" t="s">
        <v>621</v>
      </c>
      <c r="C6" s="67" t="s">
        <v>622</v>
      </c>
      <c r="E6" s="56" t="s">
        <v>243</v>
      </c>
      <c r="G6" s="56" t="s">
        <v>221</v>
      </c>
      <c r="H6" s="56" t="s">
        <v>233</v>
      </c>
      <c r="I6" s="56" t="s">
        <v>236</v>
      </c>
      <c r="K6" s="4" t="s">
        <v>3</v>
      </c>
      <c r="L6" s="59" t="s">
        <v>623</v>
      </c>
    </row>
    <row r="7" spans="2:12" ht="15" customHeight="1" x14ac:dyDescent="0.3">
      <c r="B7" s="66" t="s">
        <v>624</v>
      </c>
      <c r="C7" s="67" t="s">
        <v>625</v>
      </c>
      <c r="E7" s="56" t="s">
        <v>626</v>
      </c>
      <c r="G7" s="56" t="s">
        <v>233</v>
      </c>
      <c r="I7" s="56" t="s">
        <v>627</v>
      </c>
      <c r="K7" s="5" t="s">
        <v>4</v>
      </c>
      <c r="L7" s="59" t="s">
        <v>628</v>
      </c>
    </row>
    <row r="8" spans="2:12" ht="15" customHeight="1" x14ac:dyDescent="0.3">
      <c r="B8" s="68" t="s">
        <v>629</v>
      </c>
      <c r="C8" s="69" t="s">
        <v>630</v>
      </c>
      <c r="E8" s="56" t="s">
        <v>245</v>
      </c>
      <c r="I8" s="56" t="s">
        <v>221</v>
      </c>
      <c r="K8" s="5" t="s">
        <v>5</v>
      </c>
      <c r="L8" s="59" t="s">
        <v>631</v>
      </c>
    </row>
    <row r="9" spans="2:12" ht="15" customHeight="1" x14ac:dyDescent="0.3">
      <c r="B9" s="68" t="s">
        <v>632</v>
      </c>
      <c r="C9" s="67" t="s">
        <v>633</v>
      </c>
      <c r="E9" s="56" t="s">
        <v>221</v>
      </c>
      <c r="I9" s="56" t="s">
        <v>233</v>
      </c>
      <c r="K9" s="5" t="s">
        <v>6</v>
      </c>
      <c r="L9" s="59" t="s">
        <v>230</v>
      </c>
    </row>
    <row r="10" spans="2:12" ht="15" customHeight="1" x14ac:dyDescent="0.3">
      <c r="B10" s="68" t="s">
        <v>634</v>
      </c>
      <c r="C10" s="67" t="s">
        <v>635</v>
      </c>
      <c r="E10" s="56" t="s">
        <v>233</v>
      </c>
      <c r="K10" s="5" t="s">
        <v>7</v>
      </c>
      <c r="L10" s="59" t="s">
        <v>636</v>
      </c>
    </row>
    <row r="11" spans="2:12" ht="15" customHeight="1" x14ac:dyDescent="0.3">
      <c r="B11" s="70" t="s">
        <v>216</v>
      </c>
      <c r="C11" s="67" t="s">
        <v>637</v>
      </c>
      <c r="K11" s="6" t="s">
        <v>8</v>
      </c>
      <c r="L11" s="59" t="s">
        <v>638</v>
      </c>
    </row>
    <row r="12" spans="2:12" ht="15" customHeight="1" x14ac:dyDescent="0.3">
      <c r="B12" s="70" t="s">
        <v>217</v>
      </c>
      <c r="C12" s="67" t="s">
        <v>639</v>
      </c>
      <c r="K12" s="7" t="s">
        <v>9</v>
      </c>
      <c r="L12" s="59" t="s">
        <v>640</v>
      </c>
    </row>
    <row r="13" spans="2:12" ht="15" customHeight="1" x14ac:dyDescent="0.3">
      <c r="B13" s="70" t="s">
        <v>218</v>
      </c>
      <c r="C13" s="67" t="s">
        <v>641</v>
      </c>
      <c r="K13" s="7" t="s">
        <v>10</v>
      </c>
      <c r="L13" s="59" t="s">
        <v>642</v>
      </c>
    </row>
    <row r="14" spans="2:12" ht="15" customHeight="1" x14ac:dyDescent="0.3">
      <c r="B14" s="70" t="s">
        <v>219</v>
      </c>
      <c r="C14" s="67" t="s">
        <v>643</v>
      </c>
      <c r="K14" s="5" t="s">
        <v>11</v>
      </c>
      <c r="L14" s="59" t="s">
        <v>644</v>
      </c>
    </row>
    <row r="15" spans="2:12" ht="15" customHeight="1" x14ac:dyDescent="0.3">
      <c r="B15" s="70" t="s">
        <v>645</v>
      </c>
      <c r="C15" s="67" t="s">
        <v>646</v>
      </c>
      <c r="K15" s="4" t="s">
        <v>12</v>
      </c>
      <c r="L15" s="59" t="s">
        <v>574</v>
      </c>
    </row>
    <row r="16" spans="2:12" ht="15" customHeight="1" x14ac:dyDescent="0.3">
      <c r="B16" s="70" t="s">
        <v>647</v>
      </c>
      <c r="C16" s="67" t="s">
        <v>648</v>
      </c>
      <c r="K16" s="8" t="s">
        <v>13</v>
      </c>
      <c r="L16" s="59" t="s">
        <v>288</v>
      </c>
    </row>
    <row r="17" spans="3:12" ht="15" customHeight="1" x14ac:dyDescent="0.3">
      <c r="K17" s="8" t="s">
        <v>14</v>
      </c>
      <c r="L17" s="59" t="s">
        <v>649</v>
      </c>
    </row>
    <row r="18" spans="3:12" ht="15" customHeight="1" x14ac:dyDescent="0.3">
      <c r="K18" s="8" t="s">
        <v>15</v>
      </c>
      <c r="L18" s="59" t="s">
        <v>650</v>
      </c>
    </row>
    <row r="19" spans="3:12" ht="15" customHeight="1" x14ac:dyDescent="0.3">
      <c r="K19" s="9" t="s">
        <v>16</v>
      </c>
      <c r="L19" s="59" t="s">
        <v>308</v>
      </c>
    </row>
    <row r="20" spans="3:12" ht="15" customHeight="1" x14ac:dyDescent="0.3">
      <c r="C20" s="60"/>
      <c r="K20" s="4" t="s">
        <v>17</v>
      </c>
      <c r="L20" s="59" t="s">
        <v>651</v>
      </c>
    </row>
    <row r="21" spans="3:12" ht="15" customHeight="1" x14ac:dyDescent="0.3">
      <c r="C21"/>
      <c r="K21" s="8" t="s">
        <v>18</v>
      </c>
      <c r="L21" s="59" t="s">
        <v>652</v>
      </c>
    </row>
    <row r="22" spans="3:12" ht="15" customHeight="1" x14ac:dyDescent="0.3">
      <c r="K22" s="8" t="s">
        <v>19</v>
      </c>
      <c r="L22" s="59" t="s">
        <v>653</v>
      </c>
    </row>
    <row r="23" spans="3:12" ht="15" customHeight="1" x14ac:dyDescent="0.3">
      <c r="C23"/>
      <c r="D23"/>
      <c r="K23" s="8" t="s">
        <v>20</v>
      </c>
      <c r="L23" s="59" t="s">
        <v>654</v>
      </c>
    </row>
    <row r="24" spans="3:12" ht="15" customHeight="1" x14ac:dyDescent="0.3">
      <c r="K24" s="9" t="s">
        <v>21</v>
      </c>
      <c r="L24" s="59" t="s">
        <v>655</v>
      </c>
    </row>
    <row r="25" spans="3:12" ht="15" customHeight="1" x14ac:dyDescent="0.3">
      <c r="K25" s="4" t="s">
        <v>22</v>
      </c>
      <c r="L25" s="59" t="s">
        <v>656</v>
      </c>
    </row>
    <row r="26" spans="3:12" ht="15" customHeight="1" x14ac:dyDescent="0.35">
      <c r="D26" s="61"/>
      <c r="F26" s="61"/>
      <c r="K26" s="8" t="s">
        <v>23</v>
      </c>
      <c r="L26" s="59" t="s">
        <v>657</v>
      </c>
    </row>
    <row r="27" spans="3:12" ht="15" customHeight="1" x14ac:dyDescent="0.35">
      <c r="D27" s="61"/>
      <c r="E27" s="61"/>
      <c r="F27" s="61"/>
      <c r="G27" s="61"/>
      <c r="K27" s="8" t="s">
        <v>24</v>
      </c>
      <c r="L27" s="59" t="s">
        <v>658</v>
      </c>
    </row>
    <row r="28" spans="3:12" ht="15" customHeight="1" x14ac:dyDescent="0.35">
      <c r="D28" s="61"/>
      <c r="E28" s="61"/>
      <c r="F28" s="61"/>
      <c r="G28" s="61"/>
      <c r="K28" s="8" t="s">
        <v>25</v>
      </c>
      <c r="L28" s="59" t="s">
        <v>659</v>
      </c>
    </row>
    <row r="29" spans="3:12" ht="15" customHeight="1" x14ac:dyDescent="0.35">
      <c r="D29" s="61"/>
      <c r="E29" s="61"/>
      <c r="F29" s="61"/>
      <c r="G29" s="61"/>
      <c r="K29" s="9" t="s">
        <v>26</v>
      </c>
      <c r="L29" s="59" t="s">
        <v>660</v>
      </c>
    </row>
    <row r="30" spans="3:12" ht="15" customHeight="1" x14ac:dyDescent="0.35">
      <c r="D30" s="61"/>
      <c r="E30" s="61"/>
      <c r="F30" s="61"/>
      <c r="G30" s="61"/>
      <c r="K30" s="4" t="s">
        <v>27</v>
      </c>
      <c r="L30" s="59" t="s">
        <v>661</v>
      </c>
    </row>
    <row r="31" spans="3:12" ht="15" customHeight="1" x14ac:dyDescent="0.35">
      <c r="D31" s="61"/>
      <c r="E31" s="61"/>
      <c r="F31" s="61"/>
      <c r="G31" s="61"/>
      <c r="K31" s="8" t="s">
        <v>28</v>
      </c>
      <c r="L31" s="59" t="s">
        <v>662</v>
      </c>
    </row>
    <row r="32" spans="3:12" ht="15" customHeight="1" x14ac:dyDescent="0.35">
      <c r="D32" s="61"/>
      <c r="E32" s="61"/>
      <c r="F32" s="61"/>
      <c r="G32" s="61"/>
      <c r="K32" s="8" t="s">
        <v>29</v>
      </c>
      <c r="L32" s="59" t="s">
        <v>663</v>
      </c>
    </row>
    <row r="33" spans="4:12" ht="15" customHeight="1" x14ac:dyDescent="0.35">
      <c r="D33" s="61"/>
      <c r="E33" s="61"/>
      <c r="F33" s="61"/>
      <c r="G33" s="61"/>
      <c r="K33" s="8" t="s">
        <v>30</v>
      </c>
      <c r="L33" s="59" t="s">
        <v>664</v>
      </c>
    </row>
    <row r="34" spans="4:12" ht="15" customHeight="1" x14ac:dyDescent="0.35">
      <c r="D34" s="61"/>
      <c r="E34" s="61"/>
      <c r="K34" s="9" t="s">
        <v>31</v>
      </c>
      <c r="L34" s="59" t="s">
        <v>665</v>
      </c>
    </row>
    <row r="35" spans="4:12" ht="15" customHeight="1" x14ac:dyDescent="0.35">
      <c r="D35" s="61"/>
      <c r="E35" s="61"/>
      <c r="F35" s="61"/>
      <c r="K35" s="4" t="s">
        <v>32</v>
      </c>
      <c r="L35" s="59" t="s">
        <v>666</v>
      </c>
    </row>
    <row r="36" spans="4:12" ht="15" customHeight="1" x14ac:dyDescent="0.35">
      <c r="D36" s="61"/>
      <c r="E36" s="61"/>
      <c r="F36" s="61"/>
      <c r="G36" s="61"/>
      <c r="K36" s="8" t="s">
        <v>33</v>
      </c>
      <c r="L36" s="59" t="s">
        <v>667</v>
      </c>
    </row>
    <row r="37" spans="4:12" ht="15" customHeight="1" x14ac:dyDescent="0.35">
      <c r="D37" s="61"/>
      <c r="E37" s="61"/>
      <c r="F37" s="61"/>
      <c r="G37" s="61"/>
      <c r="K37" s="8" t="s">
        <v>34</v>
      </c>
      <c r="L37" s="59" t="s">
        <v>668</v>
      </c>
    </row>
    <row r="38" spans="4:12" ht="15" customHeight="1" x14ac:dyDescent="0.35">
      <c r="D38" s="61"/>
      <c r="E38" s="61"/>
      <c r="F38" s="61"/>
      <c r="G38" s="61"/>
      <c r="K38" s="8" t="s">
        <v>35</v>
      </c>
      <c r="L38" s="59" t="s">
        <v>669</v>
      </c>
    </row>
    <row r="39" spans="4:12" ht="15" customHeight="1" x14ac:dyDescent="0.35">
      <c r="D39" s="61"/>
      <c r="E39" s="61"/>
      <c r="F39" s="61"/>
      <c r="G39" s="61"/>
      <c r="K39" s="9" t="s">
        <v>36</v>
      </c>
      <c r="L39" s="59" t="s">
        <v>670</v>
      </c>
    </row>
    <row r="40" spans="4:12" ht="15" customHeight="1" x14ac:dyDescent="0.35">
      <c r="D40" s="61"/>
      <c r="E40" s="61"/>
      <c r="F40" s="61"/>
      <c r="G40" s="61"/>
      <c r="K40" s="4" t="s">
        <v>37</v>
      </c>
      <c r="L40" s="59" t="s">
        <v>671</v>
      </c>
    </row>
    <row r="41" spans="4:12" ht="15" customHeight="1" x14ac:dyDescent="0.35">
      <c r="D41" s="61"/>
      <c r="E41" s="61"/>
      <c r="F41" s="61"/>
      <c r="G41" s="61"/>
      <c r="K41" s="8" t="s">
        <v>38</v>
      </c>
      <c r="L41" s="59" t="s">
        <v>672</v>
      </c>
    </row>
    <row r="42" spans="4:12" ht="15" customHeight="1" x14ac:dyDescent="0.35">
      <c r="D42" s="61"/>
      <c r="E42" s="61"/>
      <c r="K42" s="8" t="s">
        <v>39</v>
      </c>
      <c r="L42" s="59" t="s">
        <v>673</v>
      </c>
    </row>
    <row r="43" spans="4:12" ht="15" customHeight="1" x14ac:dyDescent="0.35">
      <c r="D43" s="61"/>
      <c r="E43" s="61"/>
      <c r="F43" s="61"/>
      <c r="K43" s="8" t="s">
        <v>40</v>
      </c>
      <c r="L43" s="59" t="s">
        <v>674</v>
      </c>
    </row>
    <row r="44" spans="4:12" ht="15" customHeight="1" x14ac:dyDescent="0.35">
      <c r="D44" s="61"/>
      <c r="E44" s="61"/>
      <c r="F44" s="61"/>
      <c r="K44" s="9" t="s">
        <v>41</v>
      </c>
      <c r="L44" s="59" t="s">
        <v>675</v>
      </c>
    </row>
    <row r="45" spans="4:12" ht="15" customHeight="1" x14ac:dyDescent="0.35">
      <c r="E45" s="61"/>
      <c r="F45" s="61"/>
      <c r="K45" s="4" t="s">
        <v>42</v>
      </c>
      <c r="L45" s="59" t="s">
        <v>676</v>
      </c>
    </row>
    <row r="46" spans="4:12" ht="15" customHeight="1" x14ac:dyDescent="0.35">
      <c r="F46" s="61"/>
      <c r="K46" s="5" t="s">
        <v>43</v>
      </c>
      <c r="L46" s="59" t="s">
        <v>677</v>
      </c>
    </row>
    <row r="47" spans="4:12" ht="15" customHeight="1" x14ac:dyDescent="0.3">
      <c r="K47" s="10" t="s">
        <v>44</v>
      </c>
      <c r="L47" s="59" t="s">
        <v>678</v>
      </c>
    </row>
    <row r="48" spans="4:12" ht="15" customHeight="1" x14ac:dyDescent="0.3">
      <c r="K48" s="11" t="s">
        <v>45</v>
      </c>
      <c r="L48" s="59" t="s">
        <v>679</v>
      </c>
    </row>
    <row r="49" spans="11:12" ht="15" customHeight="1" x14ac:dyDescent="0.3">
      <c r="K49" s="12" t="s">
        <v>46</v>
      </c>
      <c r="L49" s="59" t="s">
        <v>680</v>
      </c>
    </row>
    <row r="50" spans="11:12" ht="15" customHeight="1" x14ac:dyDescent="0.3">
      <c r="K50" s="13" t="s">
        <v>47</v>
      </c>
      <c r="L50" s="59" t="s">
        <v>681</v>
      </c>
    </row>
    <row r="51" spans="11:12" ht="15" customHeight="1" x14ac:dyDescent="0.3">
      <c r="K51" s="14" t="s">
        <v>48</v>
      </c>
      <c r="L51" s="59" t="s">
        <v>682</v>
      </c>
    </row>
    <row r="52" spans="11:12" ht="15" customHeight="1" x14ac:dyDescent="0.3">
      <c r="K52" s="15" t="s">
        <v>49</v>
      </c>
      <c r="L52" s="59" t="s">
        <v>683</v>
      </c>
    </row>
    <row r="53" spans="11:12" ht="15" customHeight="1" x14ac:dyDescent="0.3">
      <c r="K53" s="15" t="s">
        <v>50</v>
      </c>
      <c r="L53" s="59" t="s">
        <v>684</v>
      </c>
    </row>
    <row r="54" spans="11:12" ht="15" customHeight="1" x14ac:dyDescent="0.3">
      <c r="K54" s="15" t="s">
        <v>51</v>
      </c>
      <c r="L54" s="59" t="s">
        <v>685</v>
      </c>
    </row>
    <row r="55" spans="11:12" ht="15" customHeight="1" x14ac:dyDescent="0.3">
      <c r="K55" s="15" t="s">
        <v>52</v>
      </c>
      <c r="L55" s="59" t="s">
        <v>686</v>
      </c>
    </row>
    <row r="56" spans="11:12" ht="15" customHeight="1" x14ac:dyDescent="0.3">
      <c r="K56" s="15" t="s">
        <v>53</v>
      </c>
      <c r="L56" s="59" t="s">
        <v>687</v>
      </c>
    </row>
    <row r="57" spans="11:12" ht="15" customHeight="1" x14ac:dyDescent="0.3">
      <c r="K57" s="16" t="s">
        <v>54</v>
      </c>
      <c r="L57" s="59" t="s">
        <v>688</v>
      </c>
    </row>
    <row r="58" spans="11:12" ht="15" customHeight="1" x14ac:dyDescent="0.3">
      <c r="K58" s="13" t="s">
        <v>55</v>
      </c>
      <c r="L58" s="59" t="s">
        <v>689</v>
      </c>
    </row>
    <row r="59" spans="11:12" ht="15" customHeight="1" x14ac:dyDescent="0.3">
      <c r="K59" s="13" t="s">
        <v>56</v>
      </c>
      <c r="L59" s="59" t="s">
        <v>690</v>
      </c>
    </row>
    <row r="60" spans="11:12" ht="15" customHeight="1" x14ac:dyDescent="0.3">
      <c r="K60" s="17" t="s">
        <v>57</v>
      </c>
      <c r="L60" s="59" t="s">
        <v>691</v>
      </c>
    </row>
    <row r="61" spans="11:12" ht="15" customHeight="1" x14ac:dyDescent="0.3">
      <c r="K61" s="18" t="s">
        <v>58</v>
      </c>
      <c r="L61" s="59" t="s">
        <v>692</v>
      </c>
    </row>
    <row r="62" spans="11:12" ht="15" customHeight="1" x14ac:dyDescent="0.3">
      <c r="K62" s="19" t="s">
        <v>59</v>
      </c>
      <c r="L62" s="59" t="s">
        <v>693</v>
      </c>
    </row>
    <row r="63" spans="11:12" ht="15" customHeight="1" x14ac:dyDescent="0.3">
      <c r="K63" s="19" t="s">
        <v>60</v>
      </c>
      <c r="L63" s="59" t="s">
        <v>694</v>
      </c>
    </row>
    <row r="64" spans="11:12" ht="15" customHeight="1" x14ac:dyDescent="0.3">
      <c r="K64" s="19" t="s">
        <v>61</v>
      </c>
      <c r="L64" s="59" t="s">
        <v>695</v>
      </c>
    </row>
    <row r="65" spans="11:12" ht="15" customHeight="1" x14ac:dyDescent="0.3">
      <c r="K65" s="20" t="s">
        <v>62</v>
      </c>
      <c r="L65" s="59" t="s">
        <v>696</v>
      </c>
    </row>
    <row r="66" spans="11:12" ht="15" customHeight="1" x14ac:dyDescent="0.3">
      <c r="K66" s="20" t="s">
        <v>63</v>
      </c>
      <c r="L66" s="59" t="s">
        <v>697</v>
      </c>
    </row>
    <row r="67" spans="11:12" ht="15" customHeight="1" x14ac:dyDescent="0.3">
      <c r="K67" s="19" t="s">
        <v>64</v>
      </c>
      <c r="L67" s="59" t="s">
        <v>698</v>
      </c>
    </row>
    <row r="68" spans="11:12" ht="15" customHeight="1" x14ac:dyDescent="0.3">
      <c r="K68" s="19" t="s">
        <v>65</v>
      </c>
      <c r="L68" s="59" t="s">
        <v>699</v>
      </c>
    </row>
    <row r="69" spans="11:12" ht="15" customHeight="1" x14ac:dyDescent="0.3">
      <c r="K69" s="19" t="s">
        <v>66</v>
      </c>
      <c r="L69" s="59" t="s">
        <v>700</v>
      </c>
    </row>
    <row r="70" spans="11:12" ht="15" customHeight="1" x14ac:dyDescent="0.3">
      <c r="K70" s="20" t="s">
        <v>701</v>
      </c>
      <c r="L70" s="59" t="s">
        <v>702</v>
      </c>
    </row>
    <row r="71" spans="11:12" ht="15" customHeight="1" x14ac:dyDescent="0.3">
      <c r="K71" s="20" t="s">
        <v>703</v>
      </c>
      <c r="L71" s="59" t="s">
        <v>704</v>
      </c>
    </row>
    <row r="72" spans="11:12" ht="15" customHeight="1" x14ac:dyDescent="0.3">
      <c r="K72" s="19" t="s">
        <v>67</v>
      </c>
      <c r="L72" s="59" t="s">
        <v>705</v>
      </c>
    </row>
    <row r="73" spans="11:12" ht="15" customHeight="1" x14ac:dyDescent="0.3">
      <c r="K73" s="19" t="s">
        <v>68</v>
      </c>
      <c r="L73" s="59" t="s">
        <v>706</v>
      </c>
    </row>
    <row r="74" spans="11:12" ht="15" customHeight="1" x14ac:dyDescent="0.3">
      <c r="K74" s="19" t="s">
        <v>69</v>
      </c>
      <c r="L74" s="59" t="s">
        <v>707</v>
      </c>
    </row>
    <row r="75" spans="11:12" ht="15" customHeight="1" x14ac:dyDescent="0.3">
      <c r="K75" s="20" t="s">
        <v>708</v>
      </c>
      <c r="L75" s="59" t="s">
        <v>709</v>
      </c>
    </row>
    <row r="76" spans="11:12" ht="15" customHeight="1" x14ac:dyDescent="0.3">
      <c r="K76" s="20" t="s">
        <v>710</v>
      </c>
      <c r="L76" s="59" t="s">
        <v>711</v>
      </c>
    </row>
    <row r="77" spans="11:12" ht="15" customHeight="1" x14ac:dyDescent="0.3">
      <c r="K77" s="19" t="s">
        <v>70</v>
      </c>
      <c r="L77" s="59" t="s">
        <v>712</v>
      </c>
    </row>
    <row r="78" spans="11:12" ht="15" customHeight="1" x14ac:dyDescent="0.3">
      <c r="K78" s="19" t="s">
        <v>71</v>
      </c>
      <c r="L78" s="59" t="s">
        <v>713</v>
      </c>
    </row>
    <row r="79" spans="11:12" ht="15" customHeight="1" x14ac:dyDescent="0.3">
      <c r="K79" s="19" t="s">
        <v>72</v>
      </c>
      <c r="L79" s="59" t="s">
        <v>714</v>
      </c>
    </row>
    <row r="80" spans="11:12" ht="15" customHeight="1" x14ac:dyDescent="0.3">
      <c r="K80" s="20" t="s">
        <v>715</v>
      </c>
      <c r="L80" s="59" t="s">
        <v>716</v>
      </c>
    </row>
    <row r="81" spans="11:12" ht="15" customHeight="1" x14ac:dyDescent="0.3">
      <c r="K81" s="20" t="s">
        <v>717</v>
      </c>
      <c r="L81" s="59" t="s">
        <v>718</v>
      </c>
    </row>
    <row r="82" spans="11:12" ht="15" customHeight="1" x14ac:dyDescent="0.3">
      <c r="K82" s="19" t="s">
        <v>73</v>
      </c>
      <c r="L82" s="59" t="s">
        <v>719</v>
      </c>
    </row>
    <row r="83" spans="11:12" ht="15" customHeight="1" x14ac:dyDescent="0.3">
      <c r="K83" s="19" t="s">
        <v>74</v>
      </c>
      <c r="L83" s="59" t="s">
        <v>720</v>
      </c>
    </row>
    <row r="84" spans="11:12" ht="15" customHeight="1" x14ac:dyDescent="0.3">
      <c r="K84" s="19" t="s">
        <v>75</v>
      </c>
      <c r="L84" s="59" t="s">
        <v>721</v>
      </c>
    </row>
    <row r="85" spans="11:12" ht="15" customHeight="1" x14ac:dyDescent="0.3">
      <c r="K85" s="20" t="s">
        <v>722</v>
      </c>
      <c r="L85" s="59" t="s">
        <v>723</v>
      </c>
    </row>
    <row r="86" spans="11:12" ht="15" customHeight="1" x14ac:dyDescent="0.3">
      <c r="K86" s="20" t="s">
        <v>724</v>
      </c>
      <c r="L86" s="59" t="s">
        <v>725</v>
      </c>
    </row>
    <row r="87" spans="11:12" ht="15" customHeight="1" x14ac:dyDescent="0.3">
      <c r="K87" s="19" t="s">
        <v>76</v>
      </c>
      <c r="L87" s="59" t="s">
        <v>726</v>
      </c>
    </row>
    <row r="88" spans="11:12" ht="15" customHeight="1" x14ac:dyDescent="0.3">
      <c r="K88" s="19" t="s">
        <v>77</v>
      </c>
      <c r="L88" s="59" t="s">
        <v>727</v>
      </c>
    </row>
    <row r="89" spans="11:12" ht="15" customHeight="1" x14ac:dyDescent="0.3">
      <c r="K89" s="19" t="s">
        <v>78</v>
      </c>
      <c r="L89" s="59" t="s">
        <v>728</v>
      </c>
    </row>
    <row r="90" spans="11:12" ht="15" customHeight="1" x14ac:dyDescent="0.3">
      <c r="K90" s="20" t="s">
        <v>729</v>
      </c>
      <c r="L90" s="59" t="s">
        <v>730</v>
      </c>
    </row>
    <row r="91" spans="11:12" ht="15" customHeight="1" x14ac:dyDescent="0.3">
      <c r="K91" s="20" t="s">
        <v>731</v>
      </c>
      <c r="L91" s="59" t="s">
        <v>732</v>
      </c>
    </row>
    <row r="92" spans="11:12" ht="15" customHeight="1" x14ac:dyDescent="0.3">
      <c r="K92" s="19" t="s">
        <v>79</v>
      </c>
      <c r="L92" s="59" t="s">
        <v>733</v>
      </c>
    </row>
    <row r="93" spans="11:12" ht="15" customHeight="1" x14ac:dyDescent="0.3">
      <c r="K93" s="19" t="s">
        <v>80</v>
      </c>
      <c r="L93" s="59" t="s">
        <v>734</v>
      </c>
    </row>
    <row r="94" spans="11:12" ht="15" customHeight="1" x14ac:dyDescent="0.3">
      <c r="K94" s="19" t="s">
        <v>81</v>
      </c>
      <c r="L94" s="59" t="s">
        <v>735</v>
      </c>
    </row>
    <row r="95" spans="11:12" ht="15" customHeight="1" x14ac:dyDescent="0.3">
      <c r="K95" s="20" t="s">
        <v>736</v>
      </c>
      <c r="L95" s="59" t="s">
        <v>737</v>
      </c>
    </row>
    <row r="96" spans="11:12" ht="15" customHeight="1" x14ac:dyDescent="0.3">
      <c r="K96" s="20" t="s">
        <v>738</v>
      </c>
      <c r="L96" s="59" t="s">
        <v>739</v>
      </c>
    </row>
    <row r="97" spans="11:12" ht="15" customHeight="1" x14ac:dyDescent="0.3">
      <c r="K97" s="19" t="s">
        <v>82</v>
      </c>
      <c r="L97" s="59" t="s">
        <v>740</v>
      </c>
    </row>
    <row r="98" spans="11:12" ht="15" customHeight="1" x14ac:dyDescent="0.3">
      <c r="K98" s="19" t="s">
        <v>83</v>
      </c>
      <c r="L98" s="59" t="s">
        <v>741</v>
      </c>
    </row>
    <row r="99" spans="11:12" ht="15" customHeight="1" x14ac:dyDescent="0.3">
      <c r="K99" s="19" t="s">
        <v>84</v>
      </c>
      <c r="L99" s="59" t="s">
        <v>742</v>
      </c>
    </row>
    <row r="100" spans="11:12" ht="15" customHeight="1" x14ac:dyDescent="0.3">
      <c r="K100" s="20" t="s">
        <v>743</v>
      </c>
      <c r="L100" s="59" t="s">
        <v>744</v>
      </c>
    </row>
    <row r="101" spans="11:12" ht="15" customHeight="1" x14ac:dyDescent="0.3">
      <c r="K101" s="20" t="s">
        <v>745</v>
      </c>
      <c r="L101" s="59" t="s">
        <v>746</v>
      </c>
    </row>
    <row r="102" spans="11:12" ht="15" customHeight="1" x14ac:dyDescent="0.3">
      <c r="K102" s="19" t="s">
        <v>85</v>
      </c>
      <c r="L102" s="59" t="s">
        <v>747</v>
      </c>
    </row>
    <row r="103" spans="11:12" ht="15" customHeight="1" x14ac:dyDescent="0.3">
      <c r="K103" s="19" t="s">
        <v>86</v>
      </c>
      <c r="L103" s="59" t="s">
        <v>748</v>
      </c>
    </row>
    <row r="104" spans="11:12" ht="15" customHeight="1" x14ac:dyDescent="0.3">
      <c r="K104" s="19" t="s">
        <v>87</v>
      </c>
      <c r="L104" s="59" t="s">
        <v>749</v>
      </c>
    </row>
    <row r="105" spans="11:12" ht="15" customHeight="1" x14ac:dyDescent="0.3">
      <c r="K105" s="20" t="s">
        <v>750</v>
      </c>
      <c r="L105" s="59" t="s">
        <v>751</v>
      </c>
    </row>
    <row r="106" spans="11:12" ht="15" customHeight="1" x14ac:dyDescent="0.3">
      <c r="K106" s="20" t="s">
        <v>752</v>
      </c>
      <c r="L106" s="59" t="s">
        <v>753</v>
      </c>
    </row>
    <row r="107" spans="11:12" ht="15" customHeight="1" x14ac:dyDescent="0.3">
      <c r="K107" s="19" t="s">
        <v>88</v>
      </c>
      <c r="L107" s="59" t="s">
        <v>754</v>
      </c>
    </row>
    <row r="108" spans="11:12" ht="15" customHeight="1" x14ac:dyDescent="0.3">
      <c r="K108" s="19" t="s">
        <v>89</v>
      </c>
      <c r="L108" s="59" t="s">
        <v>755</v>
      </c>
    </row>
    <row r="109" spans="11:12" ht="15" customHeight="1" x14ac:dyDescent="0.3">
      <c r="K109" s="19" t="s">
        <v>90</v>
      </c>
      <c r="L109" s="59" t="s">
        <v>756</v>
      </c>
    </row>
    <row r="110" spans="11:12" ht="15" customHeight="1" x14ac:dyDescent="0.3">
      <c r="K110" s="20" t="s">
        <v>757</v>
      </c>
      <c r="L110" s="59" t="s">
        <v>758</v>
      </c>
    </row>
    <row r="111" spans="11:12" ht="15" customHeight="1" x14ac:dyDescent="0.3">
      <c r="K111" s="20" t="s">
        <v>759</v>
      </c>
      <c r="L111" s="59" t="s">
        <v>760</v>
      </c>
    </row>
    <row r="112" spans="11:12" ht="15" customHeight="1" x14ac:dyDescent="0.3">
      <c r="K112" s="19" t="s">
        <v>91</v>
      </c>
      <c r="L112" s="59" t="s">
        <v>761</v>
      </c>
    </row>
    <row r="113" spans="11:12" ht="15" customHeight="1" x14ac:dyDescent="0.3">
      <c r="K113" s="21" t="s">
        <v>92</v>
      </c>
      <c r="L113" s="59" t="s">
        <v>762</v>
      </c>
    </row>
    <row r="114" spans="11:12" ht="15" customHeight="1" x14ac:dyDescent="0.3">
      <c r="K114" s="21" t="s">
        <v>93</v>
      </c>
      <c r="L114" s="59" t="s">
        <v>763</v>
      </c>
    </row>
    <row r="115" spans="11:12" ht="15" customHeight="1" x14ac:dyDescent="0.3">
      <c r="K115" s="22" t="s">
        <v>94</v>
      </c>
      <c r="L115" s="59" t="s">
        <v>764</v>
      </c>
    </row>
    <row r="116" spans="11:12" ht="15" customHeight="1" x14ac:dyDescent="0.3">
      <c r="K116" s="22" t="s">
        <v>95</v>
      </c>
      <c r="L116" s="59" t="s">
        <v>765</v>
      </c>
    </row>
    <row r="117" spans="11:12" ht="15" customHeight="1" x14ac:dyDescent="0.3">
      <c r="K117" s="21" t="s">
        <v>96</v>
      </c>
      <c r="L117" s="59" t="s">
        <v>766</v>
      </c>
    </row>
    <row r="118" spans="11:12" ht="15" customHeight="1" x14ac:dyDescent="0.3">
      <c r="K118" s="21" t="s">
        <v>97</v>
      </c>
      <c r="L118" s="59" t="s">
        <v>767</v>
      </c>
    </row>
    <row r="119" spans="11:12" ht="15" customHeight="1" x14ac:dyDescent="0.3">
      <c r="K119" s="21" t="s">
        <v>98</v>
      </c>
      <c r="L119" s="59" t="s">
        <v>768</v>
      </c>
    </row>
    <row r="120" spans="11:12" ht="15" customHeight="1" x14ac:dyDescent="0.3">
      <c r="K120" s="22" t="s">
        <v>769</v>
      </c>
      <c r="L120" s="59" t="s">
        <v>770</v>
      </c>
    </row>
    <row r="121" spans="11:12" ht="15" customHeight="1" x14ac:dyDescent="0.3">
      <c r="K121" s="22" t="s">
        <v>771</v>
      </c>
      <c r="L121" s="59" t="s">
        <v>772</v>
      </c>
    </row>
    <row r="122" spans="11:12" ht="15" customHeight="1" x14ac:dyDescent="0.3">
      <c r="K122" s="21" t="s">
        <v>99</v>
      </c>
      <c r="L122" s="59" t="s">
        <v>773</v>
      </c>
    </row>
    <row r="123" spans="11:12" ht="15" customHeight="1" x14ac:dyDescent="0.3">
      <c r="K123" s="21" t="s">
        <v>100</v>
      </c>
      <c r="L123" s="59" t="s">
        <v>774</v>
      </c>
    </row>
    <row r="124" spans="11:12" ht="15" customHeight="1" x14ac:dyDescent="0.3">
      <c r="K124" s="21" t="s">
        <v>101</v>
      </c>
      <c r="L124" s="59" t="s">
        <v>775</v>
      </c>
    </row>
    <row r="125" spans="11:12" ht="15" customHeight="1" x14ac:dyDescent="0.3">
      <c r="K125" s="22" t="s">
        <v>776</v>
      </c>
      <c r="L125" s="59" t="s">
        <v>777</v>
      </c>
    </row>
    <row r="126" spans="11:12" ht="15" customHeight="1" x14ac:dyDescent="0.3">
      <c r="K126" s="22" t="s">
        <v>778</v>
      </c>
      <c r="L126" s="59" t="s">
        <v>779</v>
      </c>
    </row>
    <row r="127" spans="11:12" ht="15" customHeight="1" x14ac:dyDescent="0.3">
      <c r="K127" s="21" t="s">
        <v>102</v>
      </c>
      <c r="L127" s="59" t="s">
        <v>780</v>
      </c>
    </row>
    <row r="128" spans="11:12" ht="15" customHeight="1" x14ac:dyDescent="0.3">
      <c r="K128" s="21" t="s">
        <v>103</v>
      </c>
      <c r="L128" s="59" t="s">
        <v>781</v>
      </c>
    </row>
    <row r="129" spans="11:12" ht="15" customHeight="1" x14ac:dyDescent="0.3">
      <c r="K129" s="21" t="s">
        <v>104</v>
      </c>
      <c r="L129" s="59" t="s">
        <v>782</v>
      </c>
    </row>
    <row r="130" spans="11:12" ht="15" customHeight="1" x14ac:dyDescent="0.3">
      <c r="K130" s="22" t="s">
        <v>783</v>
      </c>
      <c r="L130" s="59" t="s">
        <v>784</v>
      </c>
    </row>
    <row r="131" spans="11:12" ht="15" customHeight="1" x14ac:dyDescent="0.3">
      <c r="K131" s="22" t="s">
        <v>785</v>
      </c>
      <c r="L131" s="59" t="s">
        <v>786</v>
      </c>
    </row>
    <row r="132" spans="11:12" ht="15" customHeight="1" x14ac:dyDescent="0.3">
      <c r="K132" s="21" t="s">
        <v>105</v>
      </c>
      <c r="L132" s="59" t="s">
        <v>787</v>
      </c>
    </row>
    <row r="133" spans="11:12" ht="15" customHeight="1" x14ac:dyDescent="0.3">
      <c r="K133" s="21" t="s">
        <v>106</v>
      </c>
      <c r="L133" s="59" t="s">
        <v>788</v>
      </c>
    </row>
    <row r="134" spans="11:12" ht="15" customHeight="1" x14ac:dyDescent="0.3">
      <c r="K134" s="21" t="s">
        <v>107</v>
      </c>
      <c r="L134" s="59" t="s">
        <v>789</v>
      </c>
    </row>
    <row r="135" spans="11:12" ht="15" customHeight="1" x14ac:dyDescent="0.3">
      <c r="K135" s="22" t="s">
        <v>790</v>
      </c>
      <c r="L135" s="59" t="s">
        <v>791</v>
      </c>
    </row>
    <row r="136" spans="11:12" ht="15" customHeight="1" x14ac:dyDescent="0.3">
      <c r="K136" s="22" t="s">
        <v>792</v>
      </c>
      <c r="L136" s="59" t="s">
        <v>793</v>
      </c>
    </row>
    <row r="137" spans="11:12" ht="15" customHeight="1" x14ac:dyDescent="0.3">
      <c r="K137" s="21" t="s">
        <v>108</v>
      </c>
      <c r="L137" s="59" t="s">
        <v>794</v>
      </c>
    </row>
    <row r="138" spans="11:12" ht="15" customHeight="1" x14ac:dyDescent="0.3">
      <c r="K138" s="21" t="s">
        <v>109</v>
      </c>
      <c r="L138" s="59" t="s">
        <v>795</v>
      </c>
    </row>
    <row r="139" spans="11:12" ht="15" customHeight="1" x14ac:dyDescent="0.3">
      <c r="K139" s="21" t="s">
        <v>110</v>
      </c>
      <c r="L139" s="59" t="s">
        <v>796</v>
      </c>
    </row>
    <row r="140" spans="11:12" ht="15" customHeight="1" x14ac:dyDescent="0.3">
      <c r="K140" s="22" t="s">
        <v>797</v>
      </c>
      <c r="L140" s="59" t="s">
        <v>798</v>
      </c>
    </row>
    <row r="141" spans="11:12" ht="15" customHeight="1" x14ac:dyDescent="0.3">
      <c r="K141" s="22" t="s">
        <v>799</v>
      </c>
      <c r="L141" s="59" t="s">
        <v>800</v>
      </c>
    </row>
    <row r="142" spans="11:12" ht="15" customHeight="1" x14ac:dyDescent="0.3">
      <c r="K142" s="21" t="s">
        <v>111</v>
      </c>
      <c r="L142" s="59" t="s">
        <v>801</v>
      </c>
    </row>
    <row r="143" spans="11:12" ht="15" customHeight="1" x14ac:dyDescent="0.3">
      <c r="K143" s="21" t="s">
        <v>112</v>
      </c>
      <c r="L143" s="59" t="s">
        <v>802</v>
      </c>
    </row>
    <row r="144" spans="11:12" ht="15" customHeight="1" x14ac:dyDescent="0.3">
      <c r="K144" s="21" t="s">
        <v>113</v>
      </c>
      <c r="L144" s="59" t="s">
        <v>803</v>
      </c>
    </row>
    <row r="145" spans="11:12" ht="15" customHeight="1" x14ac:dyDescent="0.3">
      <c r="K145" s="22" t="s">
        <v>804</v>
      </c>
      <c r="L145" s="59" t="s">
        <v>805</v>
      </c>
    </row>
    <row r="146" spans="11:12" ht="15" customHeight="1" x14ac:dyDescent="0.3">
      <c r="K146" s="22" t="s">
        <v>806</v>
      </c>
      <c r="L146" s="59" t="s">
        <v>807</v>
      </c>
    </row>
    <row r="147" spans="11:12" ht="15" customHeight="1" x14ac:dyDescent="0.3">
      <c r="K147" s="21" t="s">
        <v>114</v>
      </c>
      <c r="L147" s="59" t="s">
        <v>808</v>
      </c>
    </row>
    <row r="148" spans="11:12" ht="15" customHeight="1" x14ac:dyDescent="0.3">
      <c r="K148" s="21" t="s">
        <v>115</v>
      </c>
      <c r="L148" s="59" t="s">
        <v>809</v>
      </c>
    </row>
    <row r="149" spans="11:12" ht="15" customHeight="1" x14ac:dyDescent="0.3">
      <c r="K149" s="21" t="s">
        <v>116</v>
      </c>
      <c r="L149" s="59" t="s">
        <v>810</v>
      </c>
    </row>
    <row r="150" spans="11:12" ht="15" customHeight="1" x14ac:dyDescent="0.3">
      <c r="K150" s="22" t="s">
        <v>811</v>
      </c>
      <c r="L150" s="59" t="s">
        <v>812</v>
      </c>
    </row>
    <row r="151" spans="11:12" ht="15" customHeight="1" x14ac:dyDescent="0.3">
      <c r="K151" s="22" t="s">
        <v>813</v>
      </c>
      <c r="L151" s="59" t="s">
        <v>814</v>
      </c>
    </row>
    <row r="152" spans="11:12" ht="15" customHeight="1" x14ac:dyDescent="0.3">
      <c r="K152" s="21" t="s">
        <v>117</v>
      </c>
      <c r="L152" s="59" t="s">
        <v>815</v>
      </c>
    </row>
    <row r="153" spans="11:12" ht="15" customHeight="1" x14ac:dyDescent="0.3">
      <c r="K153" s="21" t="s">
        <v>118</v>
      </c>
      <c r="L153" s="59" t="s">
        <v>816</v>
      </c>
    </row>
    <row r="154" spans="11:12" ht="15" customHeight="1" x14ac:dyDescent="0.3">
      <c r="K154" s="21" t="s">
        <v>119</v>
      </c>
      <c r="L154" s="59" t="s">
        <v>817</v>
      </c>
    </row>
    <row r="155" spans="11:12" ht="15" customHeight="1" x14ac:dyDescent="0.3">
      <c r="K155" s="22" t="s">
        <v>818</v>
      </c>
      <c r="L155" s="59" t="s">
        <v>819</v>
      </c>
    </row>
    <row r="156" spans="11:12" ht="15" customHeight="1" x14ac:dyDescent="0.3">
      <c r="K156" s="22" t="s">
        <v>820</v>
      </c>
      <c r="L156" s="59" t="s">
        <v>821</v>
      </c>
    </row>
    <row r="157" spans="11:12" ht="15" customHeight="1" x14ac:dyDescent="0.3">
      <c r="K157" s="21" t="s">
        <v>120</v>
      </c>
      <c r="L157" s="59" t="s">
        <v>822</v>
      </c>
    </row>
    <row r="158" spans="11:12" ht="15" customHeight="1" x14ac:dyDescent="0.3">
      <c r="K158" s="21" t="s">
        <v>121</v>
      </c>
      <c r="L158" s="59" t="s">
        <v>823</v>
      </c>
    </row>
    <row r="159" spans="11:12" ht="15" customHeight="1" x14ac:dyDescent="0.3">
      <c r="K159" s="21" t="s">
        <v>122</v>
      </c>
      <c r="L159" s="59" t="s">
        <v>824</v>
      </c>
    </row>
    <row r="160" spans="11:12" ht="15" customHeight="1" x14ac:dyDescent="0.3">
      <c r="K160" s="22" t="s">
        <v>825</v>
      </c>
      <c r="L160" s="59" t="s">
        <v>826</v>
      </c>
    </row>
    <row r="161" spans="11:12" ht="15" customHeight="1" x14ac:dyDescent="0.3">
      <c r="K161" s="22" t="s">
        <v>827</v>
      </c>
      <c r="L161" s="59" t="s">
        <v>828</v>
      </c>
    </row>
    <row r="162" spans="11:12" ht="15" customHeight="1" x14ac:dyDescent="0.3">
      <c r="K162" s="21" t="s">
        <v>123</v>
      </c>
      <c r="L162" s="59" t="s">
        <v>829</v>
      </c>
    </row>
    <row r="163" spans="11:12" ht="15" customHeight="1" x14ac:dyDescent="0.3">
      <c r="K163" s="21" t="s">
        <v>124</v>
      </c>
      <c r="L163" s="59" t="s">
        <v>830</v>
      </c>
    </row>
    <row r="164" spans="11:12" ht="15" customHeight="1" x14ac:dyDescent="0.3">
      <c r="K164" s="21" t="s">
        <v>125</v>
      </c>
      <c r="L164" s="59" t="s">
        <v>831</v>
      </c>
    </row>
    <row r="165" spans="11:12" ht="15" customHeight="1" x14ac:dyDescent="0.3">
      <c r="K165" s="22" t="s">
        <v>832</v>
      </c>
      <c r="L165" s="59" t="s">
        <v>833</v>
      </c>
    </row>
    <row r="166" spans="11:12" ht="15" customHeight="1" x14ac:dyDescent="0.3">
      <c r="K166" s="22" t="s">
        <v>834</v>
      </c>
      <c r="L166" s="59" t="s">
        <v>835</v>
      </c>
    </row>
    <row r="167" spans="11:12" ht="15" customHeight="1" x14ac:dyDescent="0.3">
      <c r="K167" s="21" t="s">
        <v>126</v>
      </c>
      <c r="L167" s="59" t="s">
        <v>836</v>
      </c>
    </row>
    <row r="168" spans="11:12" ht="15" customHeight="1" x14ac:dyDescent="0.3">
      <c r="K168" s="21" t="s">
        <v>127</v>
      </c>
      <c r="L168" s="59" t="s">
        <v>837</v>
      </c>
    </row>
    <row r="169" spans="11:12" ht="15" customHeight="1" x14ac:dyDescent="0.3">
      <c r="K169" s="21" t="s">
        <v>128</v>
      </c>
      <c r="L169" s="59" t="s">
        <v>838</v>
      </c>
    </row>
    <row r="170" spans="11:12" ht="15" customHeight="1" x14ac:dyDescent="0.3">
      <c r="K170" s="22" t="s">
        <v>839</v>
      </c>
      <c r="L170" s="59" t="s">
        <v>840</v>
      </c>
    </row>
    <row r="171" spans="11:12" ht="15" customHeight="1" x14ac:dyDescent="0.3">
      <c r="K171" s="22" t="s">
        <v>841</v>
      </c>
      <c r="L171" s="59" t="s">
        <v>842</v>
      </c>
    </row>
    <row r="172" spans="11:12" ht="15" customHeight="1" x14ac:dyDescent="0.3">
      <c r="K172" s="21" t="s">
        <v>129</v>
      </c>
      <c r="L172" s="59" t="s">
        <v>843</v>
      </c>
    </row>
    <row r="173" spans="11:12" ht="15" customHeight="1" x14ac:dyDescent="0.3">
      <c r="K173" s="21" t="s">
        <v>130</v>
      </c>
      <c r="L173" s="59" t="s">
        <v>844</v>
      </c>
    </row>
    <row r="174" spans="11:12" ht="15" customHeight="1" x14ac:dyDescent="0.3">
      <c r="K174" s="21" t="s">
        <v>131</v>
      </c>
      <c r="L174" s="59" t="s">
        <v>845</v>
      </c>
    </row>
    <row r="175" spans="11:12" ht="15" customHeight="1" x14ac:dyDescent="0.3">
      <c r="K175" s="22" t="s">
        <v>846</v>
      </c>
      <c r="L175" s="59" t="s">
        <v>847</v>
      </c>
    </row>
    <row r="176" spans="11:12" ht="15" customHeight="1" x14ac:dyDescent="0.3">
      <c r="K176" s="22" t="s">
        <v>848</v>
      </c>
      <c r="L176" s="59" t="s">
        <v>849</v>
      </c>
    </row>
    <row r="177" spans="11:12" ht="15" customHeight="1" x14ac:dyDescent="0.3">
      <c r="K177" s="21" t="s">
        <v>132</v>
      </c>
      <c r="L177" s="59" t="s">
        <v>850</v>
      </c>
    </row>
    <row r="178" spans="11:12" ht="15" customHeight="1" x14ac:dyDescent="0.3">
      <c r="K178" s="21" t="s">
        <v>133</v>
      </c>
      <c r="L178" s="59" t="s">
        <v>851</v>
      </c>
    </row>
    <row r="179" spans="11:12" ht="15" customHeight="1" x14ac:dyDescent="0.3">
      <c r="K179" s="23" t="s">
        <v>134</v>
      </c>
      <c r="L179" s="59" t="s">
        <v>852</v>
      </c>
    </row>
    <row r="180" spans="11:12" ht="15" customHeight="1" x14ac:dyDescent="0.3">
      <c r="K180" s="22" t="s">
        <v>853</v>
      </c>
      <c r="L180" s="59" t="s">
        <v>854</v>
      </c>
    </row>
    <row r="181" spans="11:12" ht="15" customHeight="1" x14ac:dyDescent="0.3">
      <c r="K181" s="22" t="s">
        <v>855</v>
      </c>
      <c r="L181" s="59" t="s">
        <v>856</v>
      </c>
    </row>
    <row r="182" spans="11:12" ht="15" customHeight="1" x14ac:dyDescent="0.3">
      <c r="K182" s="21" t="s">
        <v>135</v>
      </c>
      <c r="L182" s="59" t="s">
        <v>857</v>
      </c>
    </row>
    <row r="183" spans="11:12" ht="15" customHeight="1" x14ac:dyDescent="0.3">
      <c r="K183" s="21" t="s">
        <v>136</v>
      </c>
      <c r="L183" s="59" t="s">
        <v>858</v>
      </c>
    </row>
    <row r="184" spans="11:12" ht="15" customHeight="1" x14ac:dyDescent="0.3">
      <c r="K184" s="21" t="s">
        <v>137</v>
      </c>
      <c r="L184" s="59" t="s">
        <v>859</v>
      </c>
    </row>
    <row r="185" spans="11:12" ht="15" customHeight="1" x14ac:dyDescent="0.3">
      <c r="K185" s="22" t="s">
        <v>860</v>
      </c>
      <c r="L185" s="59" t="s">
        <v>861</v>
      </c>
    </row>
    <row r="186" spans="11:12" ht="15" customHeight="1" x14ac:dyDescent="0.3">
      <c r="K186" s="22" t="s">
        <v>862</v>
      </c>
      <c r="L186" s="59" t="s">
        <v>863</v>
      </c>
    </row>
    <row r="187" spans="11:12" ht="15" customHeight="1" x14ac:dyDescent="0.3">
      <c r="K187" s="21" t="s">
        <v>138</v>
      </c>
      <c r="L187" s="59" t="s">
        <v>864</v>
      </c>
    </row>
    <row r="188" spans="11:12" ht="15" customHeight="1" x14ac:dyDescent="0.3">
      <c r="K188" s="24" t="s">
        <v>139</v>
      </c>
      <c r="L188" s="59" t="s">
        <v>865</v>
      </c>
    </row>
    <row r="189" spans="11:12" ht="15" customHeight="1" x14ac:dyDescent="0.3">
      <c r="K189" s="25" t="s">
        <v>140</v>
      </c>
      <c r="L189" s="59" t="s">
        <v>866</v>
      </c>
    </row>
    <row r="190" spans="11:12" ht="15" customHeight="1" x14ac:dyDescent="0.3">
      <c r="K190" s="24" t="s">
        <v>867</v>
      </c>
      <c r="L190" s="59" t="s">
        <v>868</v>
      </c>
    </row>
    <row r="191" spans="11:12" ht="15" customHeight="1" x14ac:dyDescent="0.3">
      <c r="K191" s="25" t="s">
        <v>869</v>
      </c>
      <c r="L191" s="59" t="s">
        <v>870</v>
      </c>
    </row>
    <row r="192" spans="11:12" ht="15" customHeight="1" x14ac:dyDescent="0.3">
      <c r="K192" s="24" t="s">
        <v>871</v>
      </c>
      <c r="L192" s="59" t="s">
        <v>872</v>
      </c>
    </row>
    <row r="193" spans="11:12" ht="15" customHeight="1" x14ac:dyDescent="0.3">
      <c r="K193" s="25" t="s">
        <v>873</v>
      </c>
      <c r="L193" s="59" t="s">
        <v>874</v>
      </c>
    </row>
    <row r="194" spans="11:12" ht="15" customHeight="1" x14ac:dyDescent="0.3">
      <c r="K194" s="24" t="s">
        <v>875</v>
      </c>
      <c r="L194" s="59" t="s">
        <v>876</v>
      </c>
    </row>
    <row r="195" spans="11:12" ht="15" customHeight="1" x14ac:dyDescent="0.3">
      <c r="K195" s="25" t="s">
        <v>877</v>
      </c>
      <c r="L195" s="59" t="s">
        <v>878</v>
      </c>
    </row>
    <row r="196" spans="11:12" ht="15" customHeight="1" x14ac:dyDescent="0.3">
      <c r="K196" s="24" t="s">
        <v>879</v>
      </c>
      <c r="L196" s="59" t="s">
        <v>880</v>
      </c>
    </row>
    <row r="197" spans="11:12" ht="15" customHeight="1" x14ac:dyDescent="0.3">
      <c r="K197" s="25" t="s">
        <v>881</v>
      </c>
      <c r="L197" s="59" t="s">
        <v>882</v>
      </c>
    </row>
    <row r="198" spans="11:12" ht="15" customHeight="1" x14ac:dyDescent="0.3">
      <c r="K198" s="24" t="s">
        <v>883</v>
      </c>
      <c r="L198" s="59" t="s">
        <v>884</v>
      </c>
    </row>
    <row r="199" spans="11:12" ht="15" customHeight="1" x14ac:dyDescent="0.3">
      <c r="K199" s="25" t="s">
        <v>885</v>
      </c>
      <c r="L199" s="59" t="s">
        <v>886</v>
      </c>
    </row>
    <row r="200" spans="11:12" ht="15" customHeight="1" x14ac:dyDescent="0.3">
      <c r="K200" s="24" t="s">
        <v>887</v>
      </c>
      <c r="L200" s="59" t="s">
        <v>888</v>
      </c>
    </row>
    <row r="201" spans="11:12" ht="15" customHeight="1" x14ac:dyDescent="0.3">
      <c r="K201" s="25" t="s">
        <v>889</v>
      </c>
      <c r="L201" s="59" t="s">
        <v>890</v>
      </c>
    </row>
    <row r="202" spans="11:12" ht="15" customHeight="1" x14ac:dyDescent="0.3">
      <c r="K202" s="24" t="s">
        <v>891</v>
      </c>
      <c r="L202" s="59" t="s">
        <v>892</v>
      </c>
    </row>
    <row r="203" spans="11:12" ht="15" customHeight="1" x14ac:dyDescent="0.3">
      <c r="K203" s="25" t="s">
        <v>893</v>
      </c>
      <c r="L203" s="59" t="s">
        <v>894</v>
      </c>
    </row>
    <row r="204" spans="11:12" ht="15" customHeight="1" x14ac:dyDescent="0.3">
      <c r="K204" s="24" t="s">
        <v>895</v>
      </c>
      <c r="L204" s="59" t="s">
        <v>896</v>
      </c>
    </row>
    <row r="205" spans="11:12" ht="15" customHeight="1" x14ac:dyDescent="0.3">
      <c r="K205" s="25" t="s">
        <v>897</v>
      </c>
      <c r="L205" s="59" t="s">
        <v>898</v>
      </c>
    </row>
    <row r="206" spans="11:12" ht="15" customHeight="1" x14ac:dyDescent="0.3">
      <c r="K206" s="24" t="s">
        <v>899</v>
      </c>
      <c r="L206" s="59" t="s">
        <v>900</v>
      </c>
    </row>
    <row r="207" spans="11:12" ht="15" customHeight="1" x14ac:dyDescent="0.3">
      <c r="K207" s="25" t="s">
        <v>901</v>
      </c>
      <c r="L207" s="59" t="s">
        <v>902</v>
      </c>
    </row>
    <row r="208" spans="11:12" ht="15" customHeight="1" x14ac:dyDescent="0.3">
      <c r="K208" s="24" t="s">
        <v>903</v>
      </c>
      <c r="L208" s="59" t="s">
        <v>904</v>
      </c>
    </row>
    <row r="209" spans="11:12" ht="15" customHeight="1" x14ac:dyDescent="0.3">
      <c r="K209" s="25" t="s">
        <v>905</v>
      </c>
      <c r="L209" s="59" t="s">
        <v>906</v>
      </c>
    </row>
    <row r="210" spans="11:12" ht="15" customHeight="1" x14ac:dyDescent="0.3">
      <c r="K210" s="24" t="s">
        <v>907</v>
      </c>
      <c r="L210" s="59" t="s">
        <v>908</v>
      </c>
    </row>
    <row r="211" spans="11:12" ht="15" customHeight="1" x14ac:dyDescent="0.3">
      <c r="K211" s="25" t="s">
        <v>909</v>
      </c>
      <c r="L211" s="59" t="s">
        <v>910</v>
      </c>
    </row>
    <row r="212" spans="11:12" ht="15" customHeight="1" x14ac:dyDescent="0.3">
      <c r="K212" s="24" t="s">
        <v>911</v>
      </c>
      <c r="L212" s="59" t="s">
        <v>912</v>
      </c>
    </row>
    <row r="213" spans="11:12" ht="15" customHeight="1" x14ac:dyDescent="0.3">
      <c r="K213" s="25" t="s">
        <v>913</v>
      </c>
      <c r="L213" s="59" t="s">
        <v>914</v>
      </c>
    </row>
    <row r="214" spans="11:12" ht="15" customHeight="1" x14ac:dyDescent="0.3">
      <c r="K214" s="24" t="s">
        <v>915</v>
      </c>
      <c r="L214" s="59" t="s">
        <v>916</v>
      </c>
    </row>
    <row r="215" spans="11:12" ht="15" customHeight="1" x14ac:dyDescent="0.3">
      <c r="K215" s="25" t="s">
        <v>917</v>
      </c>
      <c r="L215" s="59" t="s">
        <v>918</v>
      </c>
    </row>
    <row r="216" spans="11:12" ht="15" customHeight="1" x14ac:dyDescent="0.3">
      <c r="K216" s="24" t="s">
        <v>919</v>
      </c>
      <c r="L216" s="59" t="s">
        <v>920</v>
      </c>
    </row>
    <row r="217" spans="11:12" ht="15" customHeight="1" x14ac:dyDescent="0.3">
      <c r="K217" s="25" t="s">
        <v>921</v>
      </c>
      <c r="L217" s="59" t="s">
        <v>922</v>
      </c>
    </row>
    <row r="218" spans="11:12" ht="15" customHeight="1" x14ac:dyDescent="0.3">
      <c r="K218" s="26" t="s">
        <v>141</v>
      </c>
      <c r="L218" s="59" t="s">
        <v>923</v>
      </c>
    </row>
    <row r="219" spans="11:12" ht="15" customHeight="1" x14ac:dyDescent="0.3">
      <c r="K219" s="26" t="s">
        <v>142</v>
      </c>
      <c r="L219" s="59" t="s">
        <v>924</v>
      </c>
    </row>
    <row r="220" spans="11:12" ht="15" customHeight="1" x14ac:dyDescent="0.3">
      <c r="K220" s="27" t="s">
        <v>143</v>
      </c>
      <c r="L220" s="59" t="s">
        <v>925</v>
      </c>
    </row>
    <row r="221" spans="11:12" ht="15" customHeight="1" x14ac:dyDescent="0.3">
      <c r="K221" s="28" t="s">
        <v>926</v>
      </c>
      <c r="L221" s="59" t="s">
        <v>927</v>
      </c>
    </row>
    <row r="222" spans="11:12" ht="15" customHeight="1" x14ac:dyDescent="0.3">
      <c r="K222" s="29" t="s">
        <v>145</v>
      </c>
      <c r="L222" s="59" t="s">
        <v>928</v>
      </c>
    </row>
    <row r="223" spans="11:12" ht="15" customHeight="1" x14ac:dyDescent="0.3">
      <c r="K223" s="26" t="s">
        <v>146</v>
      </c>
      <c r="L223" s="59" t="s">
        <v>929</v>
      </c>
    </row>
    <row r="224" spans="11:12" ht="15" customHeight="1" x14ac:dyDescent="0.3">
      <c r="K224" s="26" t="s">
        <v>147</v>
      </c>
      <c r="L224" s="59" t="s">
        <v>930</v>
      </c>
    </row>
    <row r="225" spans="11:12" ht="15" customHeight="1" x14ac:dyDescent="0.3">
      <c r="K225" s="27" t="s">
        <v>931</v>
      </c>
      <c r="L225" s="59" t="s">
        <v>932</v>
      </c>
    </row>
    <row r="226" spans="11:12" ht="15" customHeight="1" x14ac:dyDescent="0.3">
      <c r="K226" s="28" t="s">
        <v>933</v>
      </c>
      <c r="L226" s="59" t="s">
        <v>934</v>
      </c>
    </row>
    <row r="227" spans="11:12" ht="15" customHeight="1" x14ac:dyDescent="0.3">
      <c r="K227" s="29" t="s">
        <v>148</v>
      </c>
      <c r="L227" s="59" t="s">
        <v>935</v>
      </c>
    </row>
    <row r="228" spans="11:12" ht="15" customHeight="1" x14ac:dyDescent="0.3">
      <c r="K228" s="26" t="s">
        <v>149</v>
      </c>
      <c r="L228" s="59" t="s">
        <v>936</v>
      </c>
    </row>
    <row r="229" spans="11:12" ht="15" customHeight="1" x14ac:dyDescent="0.3">
      <c r="K229" s="26" t="s">
        <v>150</v>
      </c>
      <c r="L229" s="59" t="s">
        <v>937</v>
      </c>
    </row>
    <row r="230" spans="11:12" ht="15" customHeight="1" x14ac:dyDescent="0.3">
      <c r="K230" s="27" t="s">
        <v>938</v>
      </c>
      <c r="L230" s="59" t="s">
        <v>939</v>
      </c>
    </row>
    <row r="231" spans="11:12" ht="15" customHeight="1" x14ac:dyDescent="0.3">
      <c r="K231" s="28" t="s">
        <v>940</v>
      </c>
      <c r="L231" s="59" t="s">
        <v>941</v>
      </c>
    </row>
    <row r="232" spans="11:12" ht="15" customHeight="1" x14ac:dyDescent="0.3">
      <c r="K232" s="29" t="s">
        <v>151</v>
      </c>
      <c r="L232" s="59" t="s">
        <v>942</v>
      </c>
    </row>
    <row r="233" spans="11:12" ht="15" customHeight="1" x14ac:dyDescent="0.3">
      <c r="K233" s="26" t="s">
        <v>152</v>
      </c>
      <c r="L233" s="59" t="s">
        <v>943</v>
      </c>
    </row>
    <row r="234" spans="11:12" ht="15" customHeight="1" x14ac:dyDescent="0.3">
      <c r="K234" s="26" t="s">
        <v>153</v>
      </c>
      <c r="L234" s="59" t="s">
        <v>944</v>
      </c>
    </row>
    <row r="235" spans="11:12" ht="15" customHeight="1" x14ac:dyDescent="0.3">
      <c r="K235" s="27" t="s">
        <v>945</v>
      </c>
      <c r="L235" s="59" t="s">
        <v>946</v>
      </c>
    </row>
    <row r="236" spans="11:12" ht="15" customHeight="1" x14ac:dyDescent="0.3">
      <c r="K236" s="28" t="s">
        <v>947</v>
      </c>
      <c r="L236" s="59" t="s">
        <v>948</v>
      </c>
    </row>
    <row r="237" spans="11:12" ht="15" customHeight="1" x14ac:dyDescent="0.3">
      <c r="K237" s="29" t="s">
        <v>154</v>
      </c>
      <c r="L237" s="59" t="s">
        <v>949</v>
      </c>
    </row>
    <row r="238" spans="11:12" ht="15" customHeight="1" x14ac:dyDescent="0.3">
      <c r="K238" s="26" t="s">
        <v>155</v>
      </c>
      <c r="L238" s="59" t="s">
        <v>950</v>
      </c>
    </row>
    <row r="239" spans="11:12" ht="15" customHeight="1" x14ac:dyDescent="0.3">
      <c r="K239" s="26" t="s">
        <v>156</v>
      </c>
      <c r="L239" s="59" t="s">
        <v>951</v>
      </c>
    </row>
    <row r="240" spans="11:12" ht="15" customHeight="1" x14ac:dyDescent="0.3">
      <c r="K240" s="27" t="s">
        <v>952</v>
      </c>
      <c r="L240" s="59" t="s">
        <v>953</v>
      </c>
    </row>
    <row r="241" spans="11:12" ht="15" customHeight="1" x14ac:dyDescent="0.3">
      <c r="K241" s="28" t="s">
        <v>954</v>
      </c>
      <c r="L241" s="59" t="s">
        <v>955</v>
      </c>
    </row>
    <row r="242" spans="11:12" ht="15" customHeight="1" x14ac:dyDescent="0.3">
      <c r="K242" s="29" t="s">
        <v>157</v>
      </c>
      <c r="L242" s="59" t="s">
        <v>956</v>
      </c>
    </row>
    <row r="243" spans="11:12" ht="15" customHeight="1" x14ac:dyDescent="0.3">
      <c r="K243" s="26" t="s">
        <v>158</v>
      </c>
      <c r="L243" s="59" t="s">
        <v>957</v>
      </c>
    </row>
    <row r="244" spans="11:12" ht="15" customHeight="1" x14ac:dyDescent="0.3">
      <c r="K244" s="26" t="s">
        <v>159</v>
      </c>
      <c r="L244" s="59" t="s">
        <v>958</v>
      </c>
    </row>
    <row r="245" spans="11:12" ht="15" customHeight="1" x14ac:dyDescent="0.3">
      <c r="K245" s="27" t="s">
        <v>959</v>
      </c>
      <c r="L245" s="59" t="s">
        <v>960</v>
      </c>
    </row>
    <row r="246" spans="11:12" ht="15" customHeight="1" x14ac:dyDescent="0.3">
      <c r="K246" s="28" t="s">
        <v>961</v>
      </c>
      <c r="L246" s="59" t="s">
        <v>962</v>
      </c>
    </row>
    <row r="247" spans="11:12" ht="15" customHeight="1" x14ac:dyDescent="0.3">
      <c r="K247" s="29" t="s">
        <v>160</v>
      </c>
      <c r="L247" s="59" t="s">
        <v>963</v>
      </c>
    </row>
    <row r="248" spans="11:12" ht="15" customHeight="1" x14ac:dyDescent="0.3">
      <c r="K248" s="26" t="s">
        <v>161</v>
      </c>
      <c r="L248" s="59" t="s">
        <v>964</v>
      </c>
    </row>
    <row r="249" spans="11:12" ht="15" customHeight="1" x14ac:dyDescent="0.3">
      <c r="K249" s="26" t="s">
        <v>162</v>
      </c>
      <c r="L249" s="59" t="s">
        <v>965</v>
      </c>
    </row>
    <row r="250" spans="11:12" ht="15" customHeight="1" x14ac:dyDescent="0.3">
      <c r="K250" s="27" t="s">
        <v>966</v>
      </c>
      <c r="L250" s="59" t="s">
        <v>967</v>
      </c>
    </row>
    <row r="251" spans="11:12" ht="15" customHeight="1" x14ac:dyDescent="0.3">
      <c r="K251" s="28" t="s">
        <v>968</v>
      </c>
      <c r="L251" s="59" t="s">
        <v>969</v>
      </c>
    </row>
    <row r="252" spans="11:12" ht="15" customHeight="1" x14ac:dyDescent="0.3">
      <c r="K252" s="29" t="s">
        <v>163</v>
      </c>
      <c r="L252" s="59" t="s">
        <v>970</v>
      </c>
    </row>
    <row r="253" spans="11:12" ht="15" customHeight="1" x14ac:dyDescent="0.3">
      <c r="K253" s="26" t="s">
        <v>164</v>
      </c>
      <c r="L253" s="59" t="s">
        <v>971</v>
      </c>
    </row>
    <row r="254" spans="11:12" ht="15" customHeight="1" x14ac:dyDescent="0.3">
      <c r="K254" s="26" t="s">
        <v>165</v>
      </c>
      <c r="L254" s="59" t="s">
        <v>972</v>
      </c>
    </row>
    <row r="255" spans="11:12" ht="15" customHeight="1" x14ac:dyDescent="0.3">
      <c r="K255" s="27" t="s">
        <v>973</v>
      </c>
      <c r="L255" s="59" t="s">
        <v>974</v>
      </c>
    </row>
    <row r="256" spans="11:12" ht="15" customHeight="1" x14ac:dyDescent="0.3">
      <c r="K256" s="28" t="s">
        <v>975</v>
      </c>
      <c r="L256" s="59" t="s">
        <v>976</v>
      </c>
    </row>
    <row r="257" spans="11:12" ht="15" customHeight="1" x14ac:dyDescent="0.3">
      <c r="K257" s="29" t="s">
        <v>166</v>
      </c>
      <c r="L257" s="59" t="s">
        <v>977</v>
      </c>
    </row>
    <row r="258" spans="11:12" ht="15" customHeight="1" x14ac:dyDescent="0.3">
      <c r="K258" s="26" t="s">
        <v>167</v>
      </c>
      <c r="L258" s="59" t="s">
        <v>978</v>
      </c>
    </row>
    <row r="259" spans="11:12" ht="15" customHeight="1" x14ac:dyDescent="0.3">
      <c r="K259" s="26" t="s">
        <v>168</v>
      </c>
      <c r="L259" s="59" t="s">
        <v>332</v>
      </c>
    </row>
    <row r="260" spans="11:12" ht="15" customHeight="1" x14ac:dyDescent="0.3">
      <c r="K260" s="27" t="s">
        <v>979</v>
      </c>
      <c r="L260" s="59" t="s">
        <v>980</v>
      </c>
    </row>
    <row r="261" spans="11:12" ht="15" customHeight="1" x14ac:dyDescent="0.3">
      <c r="K261" s="28" t="s">
        <v>981</v>
      </c>
      <c r="L261" s="59" t="s">
        <v>982</v>
      </c>
    </row>
    <row r="262" spans="11:12" ht="15" customHeight="1" x14ac:dyDescent="0.3">
      <c r="K262" s="29" t="s">
        <v>169</v>
      </c>
      <c r="L262" s="59" t="s">
        <v>983</v>
      </c>
    </row>
    <row r="263" spans="11:12" ht="15" customHeight="1" x14ac:dyDescent="0.3">
      <c r="K263" s="26" t="s">
        <v>170</v>
      </c>
      <c r="L263" s="59" t="s">
        <v>984</v>
      </c>
    </row>
    <row r="264" spans="11:12" ht="15" customHeight="1" x14ac:dyDescent="0.3">
      <c r="K264" s="26" t="s">
        <v>171</v>
      </c>
      <c r="L264" s="59" t="s">
        <v>985</v>
      </c>
    </row>
    <row r="265" spans="11:12" ht="15" customHeight="1" x14ac:dyDescent="0.3">
      <c r="K265" s="27" t="s">
        <v>986</v>
      </c>
      <c r="L265" s="59" t="s">
        <v>987</v>
      </c>
    </row>
    <row r="266" spans="11:12" ht="15" customHeight="1" x14ac:dyDescent="0.3">
      <c r="K266" s="28" t="s">
        <v>988</v>
      </c>
      <c r="L266" s="59" t="s">
        <v>989</v>
      </c>
    </row>
    <row r="267" spans="11:12" ht="15" customHeight="1" x14ac:dyDescent="0.3">
      <c r="K267" s="29" t="s">
        <v>172</v>
      </c>
      <c r="L267" s="59" t="s">
        <v>990</v>
      </c>
    </row>
    <row r="268" spans="11:12" ht="15" customHeight="1" x14ac:dyDescent="0.3">
      <c r="K268" s="26" t="s">
        <v>173</v>
      </c>
      <c r="L268" s="59" t="s">
        <v>991</v>
      </c>
    </row>
    <row r="269" spans="11:12" ht="15" customHeight="1" x14ac:dyDescent="0.3">
      <c r="K269" s="26" t="s">
        <v>174</v>
      </c>
      <c r="L269" s="59" t="s">
        <v>992</v>
      </c>
    </row>
    <row r="270" spans="11:12" ht="15" customHeight="1" x14ac:dyDescent="0.3">
      <c r="K270" s="27" t="s">
        <v>993</v>
      </c>
      <c r="L270" s="59" t="s">
        <v>994</v>
      </c>
    </row>
    <row r="271" spans="11:12" ht="15" customHeight="1" x14ac:dyDescent="0.3">
      <c r="K271" s="28" t="s">
        <v>995</v>
      </c>
      <c r="L271" s="59" t="s">
        <v>996</v>
      </c>
    </row>
    <row r="272" spans="11:12" ht="15" customHeight="1" x14ac:dyDescent="0.3">
      <c r="K272" s="29" t="s">
        <v>175</v>
      </c>
      <c r="L272" s="59" t="s">
        <v>997</v>
      </c>
    </row>
    <row r="273" spans="11:12" ht="15" customHeight="1" x14ac:dyDescent="0.3">
      <c r="K273" s="26" t="s">
        <v>176</v>
      </c>
      <c r="L273" s="59" t="s">
        <v>998</v>
      </c>
    </row>
    <row r="274" spans="11:12" ht="15" customHeight="1" x14ac:dyDescent="0.3">
      <c r="K274" s="26" t="s">
        <v>177</v>
      </c>
      <c r="L274" s="59" t="s">
        <v>999</v>
      </c>
    </row>
    <row r="275" spans="11:12" ht="15" customHeight="1" x14ac:dyDescent="0.3">
      <c r="K275" s="27" t="s">
        <v>1000</v>
      </c>
      <c r="L275" s="59" t="s">
        <v>1001</v>
      </c>
    </row>
    <row r="276" spans="11:12" ht="15" customHeight="1" x14ac:dyDescent="0.3">
      <c r="K276" s="28" t="s">
        <v>1002</v>
      </c>
      <c r="L276" s="59" t="s">
        <v>1003</v>
      </c>
    </row>
    <row r="277" spans="11:12" ht="15" customHeight="1" x14ac:dyDescent="0.3">
      <c r="K277" s="29" t="s">
        <v>178</v>
      </c>
      <c r="L277" s="59" t="s">
        <v>1004</v>
      </c>
    </row>
    <row r="278" spans="11:12" ht="15" customHeight="1" x14ac:dyDescent="0.3">
      <c r="K278" s="26" t="s">
        <v>179</v>
      </c>
      <c r="L278" s="59" t="s">
        <v>1005</v>
      </c>
    </row>
    <row r="279" spans="11:12" ht="15" customHeight="1" x14ac:dyDescent="0.3">
      <c r="K279" s="26" t="s">
        <v>180</v>
      </c>
      <c r="L279" s="59" t="s">
        <v>1006</v>
      </c>
    </row>
    <row r="280" spans="11:12" ht="15" customHeight="1" x14ac:dyDescent="0.3">
      <c r="K280" s="27" t="s">
        <v>1007</v>
      </c>
      <c r="L280" s="59" t="s">
        <v>1008</v>
      </c>
    </row>
    <row r="281" spans="11:12" ht="15" customHeight="1" x14ac:dyDescent="0.3">
      <c r="K281" s="28" t="s">
        <v>1009</v>
      </c>
      <c r="L281" s="59" t="s">
        <v>1010</v>
      </c>
    </row>
    <row r="282" spans="11:12" ht="15" customHeight="1" x14ac:dyDescent="0.3">
      <c r="K282" s="29" t="s">
        <v>181</v>
      </c>
      <c r="L282" s="59" t="s">
        <v>1011</v>
      </c>
    </row>
    <row r="283" spans="11:12" ht="15" customHeight="1" x14ac:dyDescent="0.3">
      <c r="K283" s="26" t="s">
        <v>182</v>
      </c>
      <c r="L283" s="59" t="s">
        <v>1012</v>
      </c>
    </row>
    <row r="284" spans="11:12" ht="15" customHeight="1" x14ac:dyDescent="0.3">
      <c r="K284" s="26" t="s">
        <v>183</v>
      </c>
      <c r="L284" s="59" t="s">
        <v>1013</v>
      </c>
    </row>
    <row r="285" spans="11:12" ht="15" customHeight="1" x14ac:dyDescent="0.3">
      <c r="K285" s="27" t="s">
        <v>1014</v>
      </c>
      <c r="L285" s="59" t="s">
        <v>1015</v>
      </c>
    </row>
    <row r="286" spans="11:12" ht="15" customHeight="1" x14ac:dyDescent="0.3">
      <c r="K286" s="28" t="s">
        <v>1016</v>
      </c>
      <c r="L286" s="59" t="s">
        <v>1017</v>
      </c>
    </row>
    <row r="287" spans="11:12" ht="15" customHeight="1" x14ac:dyDescent="0.3">
      <c r="K287" s="29" t="s">
        <v>184</v>
      </c>
      <c r="L287" s="59" t="s">
        <v>1018</v>
      </c>
    </row>
    <row r="288" spans="11:12" ht="15" customHeight="1" x14ac:dyDescent="0.3">
      <c r="K288" s="30" t="s">
        <v>185</v>
      </c>
      <c r="L288" s="59" t="s">
        <v>1019</v>
      </c>
    </row>
    <row r="289" spans="11:12" ht="15" customHeight="1" x14ac:dyDescent="0.3">
      <c r="K289" s="26" t="s">
        <v>186</v>
      </c>
      <c r="L289" s="59" t="s">
        <v>1020</v>
      </c>
    </row>
    <row r="290" spans="11:12" ht="15" customHeight="1" x14ac:dyDescent="0.3">
      <c r="K290" s="27" t="s">
        <v>1021</v>
      </c>
      <c r="L290" s="59" t="s">
        <v>1022</v>
      </c>
    </row>
    <row r="291" spans="11:12" ht="15" customHeight="1" x14ac:dyDescent="0.3">
      <c r="K291" s="28" t="s">
        <v>1023</v>
      </c>
      <c r="L291" s="59" t="s">
        <v>1024</v>
      </c>
    </row>
    <row r="292" spans="11:12" ht="15" customHeight="1" x14ac:dyDescent="0.3">
      <c r="K292" s="29" t="s">
        <v>187</v>
      </c>
      <c r="L292" s="59" t="s">
        <v>1025</v>
      </c>
    </row>
    <row r="293" spans="11:12" ht="15" customHeight="1" x14ac:dyDescent="0.3">
      <c r="K293" s="31" t="s">
        <v>188</v>
      </c>
      <c r="L293" s="59" t="s">
        <v>1026</v>
      </c>
    </row>
    <row r="294" spans="11:12" ht="15" customHeight="1" x14ac:dyDescent="0.3">
      <c r="K294" s="32" t="s">
        <v>189</v>
      </c>
      <c r="L294" s="59" t="s">
        <v>1027</v>
      </c>
    </row>
    <row r="295" spans="11:12" ht="15" customHeight="1" x14ac:dyDescent="0.3">
      <c r="K295" s="33" t="s">
        <v>190</v>
      </c>
      <c r="L295" s="59" t="s">
        <v>1028</v>
      </c>
    </row>
    <row r="296" spans="11:12" ht="15" customHeight="1" x14ac:dyDescent="0.3">
      <c r="K296" s="34" t="s">
        <v>191</v>
      </c>
      <c r="L296" s="59" t="s">
        <v>1029</v>
      </c>
    </row>
    <row r="297" spans="11:12" ht="15" customHeight="1" x14ac:dyDescent="0.3">
      <c r="K297" s="32" t="s">
        <v>192</v>
      </c>
      <c r="L297" s="59" t="s">
        <v>1030</v>
      </c>
    </row>
    <row r="298" spans="11:12" ht="15" customHeight="1" x14ac:dyDescent="0.3">
      <c r="K298" s="32" t="s">
        <v>193</v>
      </c>
      <c r="L298" s="59" t="s">
        <v>1031</v>
      </c>
    </row>
    <row r="299" spans="11:12" ht="15" customHeight="1" x14ac:dyDescent="0.3">
      <c r="K299" s="35" t="s">
        <v>1032</v>
      </c>
      <c r="L299" s="59" t="s">
        <v>1033</v>
      </c>
    </row>
    <row r="300" spans="11:12" ht="15" customHeight="1" x14ac:dyDescent="0.3">
      <c r="K300" s="36" t="s">
        <v>194</v>
      </c>
      <c r="L300" s="59" t="s">
        <v>1034</v>
      </c>
    </row>
    <row r="301" spans="11:12" ht="15" customHeight="1" x14ac:dyDescent="0.3">
      <c r="K301" s="37" t="s">
        <v>195</v>
      </c>
      <c r="L301" s="59" t="s">
        <v>1035</v>
      </c>
    </row>
    <row r="302" spans="11:12" ht="15" customHeight="1" x14ac:dyDescent="0.3">
      <c r="K302" s="63" t="s">
        <v>196</v>
      </c>
      <c r="L302" s="59" t="s">
        <v>1036</v>
      </c>
    </row>
    <row r="303" spans="11:12" ht="15" customHeight="1" x14ac:dyDescent="0.3">
      <c r="K303" s="63" t="s">
        <v>1037</v>
      </c>
      <c r="L303" s="59" t="s">
        <v>1038</v>
      </c>
    </row>
    <row r="304" spans="11:12" ht="15" customHeight="1" x14ac:dyDescent="0.3">
      <c r="K304" s="63" t="s">
        <v>1039</v>
      </c>
      <c r="L304" s="59" t="s">
        <v>1040</v>
      </c>
    </row>
    <row r="305" spans="11:12" ht="15" customHeight="1" x14ac:dyDescent="0.3">
      <c r="K305" s="63" t="s">
        <v>1041</v>
      </c>
      <c r="L305" s="59" t="s">
        <v>1042</v>
      </c>
    </row>
    <row r="306" spans="11:12" ht="15" customHeight="1" x14ac:dyDescent="0.3">
      <c r="K306" s="63" t="s">
        <v>1043</v>
      </c>
      <c r="L306" s="59" t="s">
        <v>1044</v>
      </c>
    </row>
    <row r="307" spans="11:12" ht="15" customHeight="1" x14ac:dyDescent="0.3">
      <c r="K307" s="63" t="s">
        <v>1045</v>
      </c>
      <c r="L307" s="59" t="s">
        <v>1046</v>
      </c>
    </row>
    <row r="308" spans="11:12" ht="15" customHeight="1" x14ac:dyDescent="0.3">
      <c r="K308" s="63" t="s">
        <v>1047</v>
      </c>
      <c r="L308" s="59" t="s">
        <v>1048</v>
      </c>
    </row>
    <row r="309" spans="11:12" ht="15" customHeight="1" x14ac:dyDescent="0.3">
      <c r="K309" s="63" t="s">
        <v>1049</v>
      </c>
      <c r="L309" s="59" t="s">
        <v>1050</v>
      </c>
    </row>
    <row r="310" spans="11:12" ht="15" customHeight="1" x14ac:dyDescent="0.3">
      <c r="K310" s="63" t="s">
        <v>1051</v>
      </c>
      <c r="L310" s="59" t="s">
        <v>1052</v>
      </c>
    </row>
    <row r="311" spans="11:12" ht="15" customHeight="1" x14ac:dyDescent="0.3">
      <c r="K311" s="63" t="s">
        <v>1053</v>
      </c>
      <c r="L311" s="59" t="s">
        <v>1054</v>
      </c>
    </row>
    <row r="312" spans="11:12" ht="15" customHeight="1" x14ac:dyDescent="0.3">
      <c r="K312" s="63" t="s">
        <v>1055</v>
      </c>
      <c r="L312" s="59" t="s">
        <v>1056</v>
      </c>
    </row>
    <row r="313" spans="11:12" ht="15" customHeight="1" x14ac:dyDescent="0.3">
      <c r="K313" s="63" t="s">
        <v>1057</v>
      </c>
      <c r="L313" s="59" t="s">
        <v>1058</v>
      </c>
    </row>
    <row r="314" spans="11:12" ht="15" customHeight="1" x14ac:dyDescent="0.3">
      <c r="K314" s="63" t="s">
        <v>1059</v>
      </c>
      <c r="L314" s="59" t="s">
        <v>1060</v>
      </c>
    </row>
    <row r="315" spans="11:12" ht="15" customHeight="1" x14ac:dyDescent="0.3">
      <c r="K315" s="63" t="s">
        <v>1061</v>
      </c>
      <c r="L315" s="59" t="s">
        <v>1062</v>
      </c>
    </row>
    <row r="316" spans="11:12" ht="15" customHeight="1" x14ac:dyDescent="0.3">
      <c r="K316" s="63" t="s">
        <v>1063</v>
      </c>
      <c r="L316" s="59" t="s">
        <v>1064</v>
      </c>
    </row>
    <row r="317" spans="11:12" ht="15" customHeight="1" x14ac:dyDescent="0.3">
      <c r="K317" s="63" t="s">
        <v>1065</v>
      </c>
      <c r="L317" s="59" t="s">
        <v>1066</v>
      </c>
    </row>
    <row r="318" spans="11:12" ht="15" customHeight="1" x14ac:dyDescent="0.3">
      <c r="K318" s="63" t="s">
        <v>1067</v>
      </c>
      <c r="L318" s="59" t="s">
        <v>1068</v>
      </c>
    </row>
    <row r="319" spans="11:12" ht="15" customHeight="1" x14ac:dyDescent="0.3">
      <c r="K319" s="63" t="s">
        <v>1069</v>
      </c>
      <c r="L319" s="59" t="s">
        <v>1070</v>
      </c>
    </row>
    <row r="320" spans="11:12" ht="15" customHeight="1" x14ac:dyDescent="0.3">
      <c r="K320" s="63" t="s">
        <v>1071</v>
      </c>
      <c r="L320" s="59" t="s">
        <v>1072</v>
      </c>
    </row>
    <row r="321" spans="11:12" ht="15" customHeight="1" x14ac:dyDescent="0.3">
      <c r="K321" s="63" t="s">
        <v>197</v>
      </c>
      <c r="L321" s="59" t="s">
        <v>1073</v>
      </c>
    </row>
    <row r="322" spans="11:12" ht="15" customHeight="1" x14ac:dyDescent="0.3">
      <c r="K322" s="63" t="s">
        <v>198</v>
      </c>
      <c r="L322" s="59" t="s">
        <v>1074</v>
      </c>
    </row>
    <row r="323" spans="11:12" ht="15" customHeight="1" x14ac:dyDescent="0.3">
      <c r="K323" s="63" t="s">
        <v>199</v>
      </c>
      <c r="L323" s="59" t="s">
        <v>1075</v>
      </c>
    </row>
    <row r="324" spans="11:12" ht="15" customHeight="1" x14ac:dyDescent="0.3">
      <c r="K324" s="63" t="s">
        <v>200</v>
      </c>
      <c r="L324" s="59" t="s">
        <v>1076</v>
      </c>
    </row>
    <row r="325" spans="11:12" ht="15" customHeight="1" x14ac:dyDescent="0.3">
      <c r="K325" s="63" t="s">
        <v>201</v>
      </c>
      <c r="L325" s="59" t="s">
        <v>1077</v>
      </c>
    </row>
    <row r="326" spans="11:12" ht="15" customHeight="1" x14ac:dyDescent="0.3">
      <c r="K326" s="63" t="s">
        <v>202</v>
      </c>
      <c r="L326" s="59" t="s">
        <v>1078</v>
      </c>
    </row>
    <row r="327" spans="11:12" ht="15" customHeight="1" x14ac:dyDescent="0.3">
      <c r="K327" s="63" t="s">
        <v>203</v>
      </c>
      <c r="L327" s="59" t="s">
        <v>1079</v>
      </c>
    </row>
    <row r="328" spans="11:12" ht="15" customHeight="1" x14ac:dyDescent="0.3">
      <c r="K328" s="63" t="s">
        <v>204</v>
      </c>
      <c r="L328" s="59" t="s">
        <v>1080</v>
      </c>
    </row>
    <row r="329" spans="11:12" ht="15" customHeight="1" x14ac:dyDescent="0.3">
      <c r="K329" s="63" t="s">
        <v>205</v>
      </c>
      <c r="L329" s="59" t="s">
        <v>1081</v>
      </c>
    </row>
    <row r="330" spans="11:12" ht="15" customHeight="1" x14ac:dyDescent="0.3">
      <c r="K330" s="63" t="s">
        <v>206</v>
      </c>
      <c r="L330" s="59" t="s">
        <v>1082</v>
      </c>
    </row>
    <row r="331" spans="11:12" ht="15" customHeight="1" x14ac:dyDescent="0.3">
      <c r="K331" s="63" t="s">
        <v>1083</v>
      </c>
      <c r="L331" s="59" t="s">
        <v>1084</v>
      </c>
    </row>
    <row r="332" spans="11:12" ht="15" customHeight="1" x14ac:dyDescent="0.3">
      <c r="K332" s="63" t="s">
        <v>1085</v>
      </c>
      <c r="L332" s="59" t="s">
        <v>1086</v>
      </c>
    </row>
    <row r="333" spans="11:12" ht="15" customHeight="1" x14ac:dyDescent="0.3">
      <c r="K333" s="63" t="s">
        <v>1087</v>
      </c>
      <c r="L333" s="59" t="s">
        <v>1088</v>
      </c>
    </row>
    <row r="334" spans="11:12" ht="15" customHeight="1" x14ac:dyDescent="0.3">
      <c r="K334" s="63" t="s">
        <v>1089</v>
      </c>
      <c r="L334" s="59" t="s">
        <v>1090</v>
      </c>
    </row>
    <row r="335" spans="11:12" ht="15" customHeight="1" x14ac:dyDescent="0.3">
      <c r="K335" s="63" t="s">
        <v>1091</v>
      </c>
      <c r="L335" s="59" t="s">
        <v>1092</v>
      </c>
    </row>
    <row r="336" spans="11:12" ht="15" customHeight="1" x14ac:dyDescent="0.3">
      <c r="K336" s="63" t="s">
        <v>1093</v>
      </c>
      <c r="L336" s="59" t="s">
        <v>1094</v>
      </c>
    </row>
    <row r="337" spans="11:12" ht="15" customHeight="1" x14ac:dyDescent="0.3">
      <c r="K337" s="63" t="s">
        <v>1095</v>
      </c>
      <c r="L337" s="59" t="s">
        <v>1096</v>
      </c>
    </row>
    <row r="338" spans="11:12" ht="15" customHeight="1" x14ac:dyDescent="0.3">
      <c r="K338" s="63" t="s">
        <v>1097</v>
      </c>
      <c r="L338" s="59" t="s">
        <v>1098</v>
      </c>
    </row>
    <row r="339" spans="11:12" ht="15" customHeight="1" x14ac:dyDescent="0.3">
      <c r="K339" s="63" t="s">
        <v>1099</v>
      </c>
      <c r="L339" s="59" t="s">
        <v>1100</v>
      </c>
    </row>
    <row r="340" spans="11:12" ht="15" customHeight="1" x14ac:dyDescent="0.3">
      <c r="K340" s="63" t="s">
        <v>1101</v>
      </c>
      <c r="L340" s="59" t="s">
        <v>1102</v>
      </c>
    </row>
    <row r="341" spans="11:12" ht="15" customHeight="1" x14ac:dyDescent="0.3">
      <c r="K341" s="63" t="s">
        <v>1103</v>
      </c>
      <c r="L341" s="59" t="s">
        <v>1104</v>
      </c>
    </row>
    <row r="342" spans="11:12" ht="15" customHeight="1" x14ac:dyDescent="0.3">
      <c r="K342" s="63" t="s">
        <v>1105</v>
      </c>
      <c r="L342" s="59" t="s">
        <v>1106</v>
      </c>
    </row>
    <row r="343" spans="11:12" ht="15" customHeight="1" x14ac:dyDescent="0.3">
      <c r="K343" s="63" t="s">
        <v>1107</v>
      </c>
      <c r="L343" s="59" t="s">
        <v>1108</v>
      </c>
    </row>
    <row r="344" spans="11:12" ht="15" customHeight="1" x14ac:dyDescent="0.3">
      <c r="K344" s="63" t="s">
        <v>1109</v>
      </c>
      <c r="L344" s="59" t="s">
        <v>1110</v>
      </c>
    </row>
    <row r="345" spans="11:12" ht="15" customHeight="1" x14ac:dyDescent="0.3">
      <c r="K345" s="63" t="s">
        <v>1111</v>
      </c>
      <c r="L345" s="59" t="s">
        <v>1112</v>
      </c>
    </row>
    <row r="346" spans="11:12" ht="15" customHeight="1" x14ac:dyDescent="0.3">
      <c r="K346" s="63" t="s">
        <v>1113</v>
      </c>
      <c r="L346" s="59" t="s">
        <v>1114</v>
      </c>
    </row>
    <row r="347" spans="11:12" ht="15" customHeight="1" x14ac:dyDescent="0.3">
      <c r="K347" s="63" t="s">
        <v>1115</v>
      </c>
      <c r="L347" s="59" t="s">
        <v>1116</v>
      </c>
    </row>
    <row r="348" spans="11:12" ht="15" customHeight="1" x14ac:dyDescent="0.3">
      <c r="K348" s="63" t="s">
        <v>1117</v>
      </c>
      <c r="L348" s="59" t="s">
        <v>1118</v>
      </c>
    </row>
    <row r="349" spans="11:12" ht="15" customHeight="1" x14ac:dyDescent="0.3">
      <c r="K349" s="63" t="s">
        <v>1119</v>
      </c>
      <c r="L349" s="59" t="s">
        <v>1120</v>
      </c>
    </row>
    <row r="350" spans="11:12" ht="15" customHeight="1" x14ac:dyDescent="0.3">
      <c r="K350" s="63" t="s">
        <v>1121</v>
      </c>
      <c r="L350" s="59" t="s">
        <v>1122</v>
      </c>
    </row>
    <row r="351" spans="11:12" ht="15" customHeight="1" x14ac:dyDescent="0.3">
      <c r="K351" s="63" t="s">
        <v>1123</v>
      </c>
      <c r="L351" s="59" t="s">
        <v>1124</v>
      </c>
    </row>
    <row r="352" spans="11:12" ht="15" customHeight="1" x14ac:dyDescent="0.3">
      <c r="K352" s="63" t="s">
        <v>1125</v>
      </c>
      <c r="L352" s="59" t="s">
        <v>1126</v>
      </c>
    </row>
    <row r="353" spans="11:12" ht="15" customHeight="1" x14ac:dyDescent="0.3">
      <c r="K353" s="63" t="s">
        <v>1127</v>
      </c>
      <c r="L353" s="59" t="s">
        <v>1128</v>
      </c>
    </row>
    <row r="354" spans="11:12" ht="15" customHeight="1" x14ac:dyDescent="0.3">
      <c r="K354" s="63" t="s">
        <v>1129</v>
      </c>
      <c r="L354" s="59" t="s">
        <v>1130</v>
      </c>
    </row>
    <row r="355" spans="11:12" ht="15" customHeight="1" x14ac:dyDescent="0.3">
      <c r="K355" s="63" t="s">
        <v>1131</v>
      </c>
      <c r="L355" s="59" t="s">
        <v>1132</v>
      </c>
    </row>
    <row r="356" spans="11:12" ht="15" customHeight="1" x14ac:dyDescent="0.3">
      <c r="K356" s="63" t="s">
        <v>1133</v>
      </c>
      <c r="L356" s="59" t="s">
        <v>1134</v>
      </c>
    </row>
    <row r="357" spans="11:12" ht="15" customHeight="1" x14ac:dyDescent="0.3">
      <c r="K357" s="63" t="s">
        <v>1135</v>
      </c>
      <c r="L357" s="59" t="s">
        <v>1136</v>
      </c>
    </row>
    <row r="358" spans="11:12" ht="15" customHeight="1" x14ac:dyDescent="0.3">
      <c r="K358" s="63" t="s">
        <v>1137</v>
      </c>
      <c r="L358" s="59" t="s">
        <v>1138</v>
      </c>
    </row>
    <row r="359" spans="11:12" ht="15" customHeight="1" x14ac:dyDescent="0.3">
      <c r="K359" s="63" t="s">
        <v>207</v>
      </c>
      <c r="L359" s="59" t="s">
        <v>1139</v>
      </c>
    </row>
    <row r="360" spans="11:12" ht="15" customHeight="1" x14ac:dyDescent="0.3">
      <c r="K360" s="63" t="s">
        <v>1140</v>
      </c>
      <c r="L360" s="59" t="s">
        <v>1141</v>
      </c>
    </row>
    <row r="361" spans="11:12" ht="15" customHeight="1" x14ac:dyDescent="0.3">
      <c r="K361" s="63" t="s">
        <v>1142</v>
      </c>
      <c r="L361" s="59" t="s">
        <v>1143</v>
      </c>
    </row>
    <row r="362" spans="11:12" ht="15" customHeight="1" x14ac:dyDescent="0.3">
      <c r="K362" s="63" t="s">
        <v>1144</v>
      </c>
      <c r="L362" s="59" t="s">
        <v>1145</v>
      </c>
    </row>
    <row r="363" spans="11:12" ht="15" customHeight="1" x14ac:dyDescent="0.3">
      <c r="K363" s="63" t="s">
        <v>1146</v>
      </c>
      <c r="L363" s="59" t="s">
        <v>1147</v>
      </c>
    </row>
    <row r="364" spans="11:12" ht="15" customHeight="1" x14ac:dyDescent="0.3">
      <c r="K364" s="63" t="s">
        <v>1148</v>
      </c>
      <c r="L364" s="59" t="s">
        <v>1149</v>
      </c>
    </row>
    <row r="365" spans="11:12" ht="15" customHeight="1" x14ac:dyDescent="0.3">
      <c r="K365" s="63" t="s">
        <v>1150</v>
      </c>
      <c r="L365" s="59" t="s">
        <v>1151</v>
      </c>
    </row>
    <row r="366" spans="11:12" ht="15" customHeight="1" x14ac:dyDescent="0.3">
      <c r="K366" s="63" t="s">
        <v>1152</v>
      </c>
      <c r="L366" s="59" t="s">
        <v>1153</v>
      </c>
    </row>
    <row r="367" spans="11:12" ht="15" customHeight="1" x14ac:dyDescent="0.3">
      <c r="K367" s="63" t="s">
        <v>1154</v>
      </c>
      <c r="L367" s="59" t="s">
        <v>1155</v>
      </c>
    </row>
    <row r="368" spans="11:12" ht="15" customHeight="1" x14ac:dyDescent="0.3">
      <c r="K368" s="63" t="s">
        <v>1156</v>
      </c>
      <c r="L368" s="59" t="s">
        <v>1157</v>
      </c>
    </row>
    <row r="369" spans="11:12" ht="15" customHeight="1" x14ac:dyDescent="0.3">
      <c r="K369" s="63" t="s">
        <v>1158</v>
      </c>
      <c r="L369" s="59" t="s">
        <v>1159</v>
      </c>
    </row>
    <row r="370" spans="11:12" ht="15" customHeight="1" x14ac:dyDescent="0.3">
      <c r="K370" s="63" t="s">
        <v>1160</v>
      </c>
      <c r="L370" s="59" t="s">
        <v>1161</v>
      </c>
    </row>
    <row r="371" spans="11:12" ht="15" customHeight="1" x14ac:dyDescent="0.3">
      <c r="K371" s="63" t="s">
        <v>1162</v>
      </c>
      <c r="L371" s="59" t="s">
        <v>1163</v>
      </c>
    </row>
    <row r="372" spans="11:12" ht="15" customHeight="1" x14ac:dyDescent="0.3">
      <c r="K372" s="63" t="s">
        <v>1164</v>
      </c>
      <c r="L372" s="59" t="s">
        <v>1165</v>
      </c>
    </row>
    <row r="373" spans="11:12" ht="15" customHeight="1" x14ac:dyDescent="0.3">
      <c r="K373" s="63" t="s">
        <v>1166</v>
      </c>
      <c r="L373" s="59" t="s">
        <v>1167</v>
      </c>
    </row>
    <row r="374" spans="11:12" ht="15" customHeight="1" x14ac:dyDescent="0.3">
      <c r="K374" s="63" t="s">
        <v>208</v>
      </c>
      <c r="L374" s="59" t="s">
        <v>1168</v>
      </c>
    </row>
    <row r="375" spans="11:12" ht="15" customHeight="1" x14ac:dyDescent="0.3">
      <c r="K375" s="63" t="s">
        <v>1169</v>
      </c>
      <c r="L375" s="59" t="s">
        <v>1170</v>
      </c>
    </row>
    <row r="376" spans="11:12" ht="15" customHeight="1" x14ac:dyDescent="0.3">
      <c r="K376" s="63" t="s">
        <v>1171</v>
      </c>
      <c r="L376" s="59" t="s">
        <v>1172</v>
      </c>
    </row>
    <row r="377" spans="11:12" ht="15" customHeight="1" x14ac:dyDescent="0.3">
      <c r="K377" s="63" t="s">
        <v>1173</v>
      </c>
      <c r="L377" s="59" t="s">
        <v>1174</v>
      </c>
    </row>
    <row r="378" spans="11:12" ht="15" customHeight="1" x14ac:dyDescent="0.3">
      <c r="K378" s="63" t="s">
        <v>1175</v>
      </c>
      <c r="L378" s="59" t="s">
        <v>1176</v>
      </c>
    </row>
    <row r="379" spans="11:12" ht="15" customHeight="1" x14ac:dyDescent="0.3">
      <c r="K379" s="63" t="s">
        <v>1177</v>
      </c>
      <c r="L379" s="59" t="s">
        <v>1178</v>
      </c>
    </row>
    <row r="380" spans="11:12" ht="15" customHeight="1" x14ac:dyDescent="0.3">
      <c r="K380" s="63" t="s">
        <v>1179</v>
      </c>
      <c r="L380" s="59" t="s">
        <v>1180</v>
      </c>
    </row>
    <row r="381" spans="11:12" ht="15" customHeight="1" x14ac:dyDescent="0.3">
      <c r="K381" s="63" t="s">
        <v>1181</v>
      </c>
      <c r="L381" s="59" t="s">
        <v>1182</v>
      </c>
    </row>
    <row r="382" spans="11:12" ht="15" customHeight="1" x14ac:dyDescent="0.3">
      <c r="K382" s="63" t="s">
        <v>1183</v>
      </c>
      <c r="L382" s="62" t="s">
        <v>1184</v>
      </c>
    </row>
    <row r="383" spans="11:12" ht="15" customHeight="1" x14ac:dyDescent="0.3">
      <c r="K383" s="63" t="s">
        <v>1185</v>
      </c>
      <c r="L383" s="62" t="s">
        <v>1186</v>
      </c>
    </row>
    <row r="384" spans="11:12" ht="15" customHeight="1" x14ac:dyDescent="0.3">
      <c r="K384" s="63" t="s">
        <v>1187</v>
      </c>
      <c r="L384" s="64" t="s">
        <v>1188</v>
      </c>
    </row>
    <row r="385" spans="11:12" ht="15" customHeight="1" x14ac:dyDescent="0.3">
      <c r="K385" s="63" t="s">
        <v>1189</v>
      </c>
      <c r="L385" s="64" t="s">
        <v>233</v>
      </c>
    </row>
    <row r="386" spans="11:12" ht="15" customHeight="1" x14ac:dyDescent="0.3">
      <c r="K386" s="63" t="s">
        <v>1190</v>
      </c>
      <c r="L386" s="64" t="s">
        <v>1191</v>
      </c>
    </row>
    <row r="387" spans="11:12" ht="15" customHeight="1" x14ac:dyDescent="0.3">
      <c r="K387" s="63" t="s">
        <v>1192</v>
      </c>
      <c r="L387" s="59" t="s">
        <v>1193</v>
      </c>
    </row>
    <row r="388" spans="11:12" ht="15" customHeight="1" x14ac:dyDescent="0.3">
      <c r="K388" s="63" t="s">
        <v>1194</v>
      </c>
      <c r="L388" s="59" t="s">
        <v>1195</v>
      </c>
    </row>
    <row r="389" spans="11:12" ht="15" customHeight="1" x14ac:dyDescent="0.3">
      <c r="K389" s="63" t="s">
        <v>1196</v>
      </c>
      <c r="L389" s="59" t="s">
        <v>1197</v>
      </c>
    </row>
    <row r="390" spans="11:12" ht="15" customHeight="1" x14ac:dyDescent="0.3">
      <c r="K390" s="63" t="s">
        <v>1198</v>
      </c>
      <c r="L390" s="59" t="s">
        <v>1199</v>
      </c>
    </row>
    <row r="391" spans="11:12" ht="15" customHeight="1" x14ac:dyDescent="0.3">
      <c r="K391" s="63" t="s">
        <v>1200</v>
      </c>
      <c r="L391" s="59" t="s">
        <v>1201</v>
      </c>
    </row>
    <row r="392" spans="11:12" ht="15" customHeight="1" x14ac:dyDescent="0.3">
      <c r="K392" s="63" t="s">
        <v>1202</v>
      </c>
      <c r="L392" s="59" t="s">
        <v>1203</v>
      </c>
    </row>
    <row r="393" spans="11:12" ht="15" customHeight="1" x14ac:dyDescent="0.3">
      <c r="K393" s="63" t="s">
        <v>1204</v>
      </c>
      <c r="L393" s="59" t="s">
        <v>1205</v>
      </c>
    </row>
    <row r="394" spans="11:12" ht="15" customHeight="1" x14ac:dyDescent="0.3">
      <c r="K394" s="63" t="s">
        <v>1206</v>
      </c>
      <c r="L394" s="59" t="s">
        <v>1207</v>
      </c>
    </row>
    <row r="395" spans="11:12" ht="15" customHeight="1" x14ac:dyDescent="0.3">
      <c r="K395" s="63" t="s">
        <v>1208</v>
      </c>
      <c r="L395" s="59" t="s">
        <v>1209</v>
      </c>
    </row>
    <row r="396" spans="11:12" ht="15" customHeight="1" x14ac:dyDescent="0.3">
      <c r="K396" s="63" t="s">
        <v>1210</v>
      </c>
      <c r="L396" s="59" t="s">
        <v>1211</v>
      </c>
    </row>
    <row r="397" spans="11:12" ht="15" customHeight="1" x14ac:dyDescent="0.3">
      <c r="K397" s="63" t="s">
        <v>1212</v>
      </c>
      <c r="L397" s="59" t="s">
        <v>1213</v>
      </c>
    </row>
    <row r="398" spans="11:12" ht="15" customHeight="1" x14ac:dyDescent="0.3">
      <c r="K398" s="63" t="s">
        <v>1214</v>
      </c>
      <c r="L398" s="59" t="s">
        <v>1215</v>
      </c>
    </row>
    <row r="399" spans="11:12" ht="15" customHeight="1" x14ac:dyDescent="0.3">
      <c r="K399" s="63" t="s">
        <v>1216</v>
      </c>
      <c r="L399" s="59" t="s">
        <v>1217</v>
      </c>
    </row>
    <row r="400" spans="11:12" ht="15" customHeight="1" x14ac:dyDescent="0.3">
      <c r="K400" s="63" t="s">
        <v>1218</v>
      </c>
      <c r="L400" s="59" t="s">
        <v>1219</v>
      </c>
    </row>
    <row r="401" spans="11:12" ht="15" customHeight="1" x14ac:dyDescent="0.3">
      <c r="K401" s="63" t="s">
        <v>1220</v>
      </c>
      <c r="L401" s="59" t="s">
        <v>1221</v>
      </c>
    </row>
    <row r="402" spans="11:12" ht="15" customHeight="1" x14ac:dyDescent="0.3">
      <c r="K402" s="63" t="s">
        <v>1222</v>
      </c>
      <c r="L402" s="59" t="s">
        <v>1223</v>
      </c>
    </row>
    <row r="403" spans="11:12" ht="15" customHeight="1" x14ac:dyDescent="0.3">
      <c r="K403" s="63" t="s">
        <v>1224</v>
      </c>
      <c r="L403" s="59" t="s">
        <v>1225</v>
      </c>
    </row>
    <row r="404" spans="11:12" ht="15" customHeight="1" x14ac:dyDescent="0.3">
      <c r="K404" s="63" t="s">
        <v>210</v>
      </c>
      <c r="L404" s="59" t="s">
        <v>1226</v>
      </c>
    </row>
    <row r="405" spans="11:12" ht="15" customHeight="1" x14ac:dyDescent="0.3">
      <c r="K405" s="63" t="s">
        <v>211</v>
      </c>
      <c r="L405" s="59" t="s">
        <v>1227</v>
      </c>
    </row>
    <row r="406" spans="11:12" ht="15" customHeight="1" x14ac:dyDescent="0.3">
      <c r="K406" s="63" t="s">
        <v>212</v>
      </c>
      <c r="L406" s="59" t="s">
        <v>1228</v>
      </c>
    </row>
    <row r="407" spans="11:12" ht="15" customHeight="1" x14ac:dyDescent="0.3">
      <c r="K407" s="63" t="s">
        <v>213</v>
      </c>
      <c r="L407" s="65" t="s">
        <v>1229</v>
      </c>
    </row>
    <row r="408" spans="11:12" ht="15" customHeight="1" x14ac:dyDescent="0.3">
      <c r="K408" s="38" t="s">
        <v>214</v>
      </c>
      <c r="L408" s="62" t="s">
        <v>1230</v>
      </c>
    </row>
    <row r="409" spans="11:12" ht="15" customHeight="1" x14ac:dyDescent="0.3">
      <c r="K409" s="39" t="s">
        <v>215</v>
      </c>
      <c r="L409" s="62" t="s">
        <v>1231</v>
      </c>
    </row>
    <row r="410" spans="11:12" ht="15" customHeight="1" x14ac:dyDescent="0.3">
      <c r="K410" s="40" t="s">
        <v>216</v>
      </c>
      <c r="L410" s="64" t="s">
        <v>1232</v>
      </c>
    </row>
    <row r="411" spans="11:12" ht="15" customHeight="1" x14ac:dyDescent="0.3">
      <c r="K411" s="41" t="s">
        <v>217</v>
      </c>
      <c r="L411" s="64" t="s">
        <v>1233</v>
      </c>
    </row>
    <row r="412" spans="11:12" ht="15" customHeight="1" x14ac:dyDescent="0.3">
      <c r="K412" s="38" t="s">
        <v>218</v>
      </c>
      <c r="L412" s="64" t="s">
        <v>632</v>
      </c>
    </row>
    <row r="413" spans="11:12" ht="15" customHeight="1" x14ac:dyDescent="0.3">
      <c r="K413" s="39" t="s">
        <v>219</v>
      </c>
      <c r="L413" s="59" t="s">
        <v>1234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28C8-C382-4CBD-BBD4-357BA46C89D0}">
  <sheetPr codeName="Sheet5"/>
  <dimension ref="A1:C4"/>
  <sheetViews>
    <sheetView workbookViewId="0"/>
  </sheetViews>
  <sheetFormatPr defaultRowHeight="12.5" x14ac:dyDescent="0.25"/>
  <cols>
    <col min="1" max="2" width="24.6328125" customWidth="1"/>
    <col min="3" max="3" width="80" customWidth="1"/>
  </cols>
  <sheetData>
    <row r="1" spans="1:3" x14ac:dyDescent="0.25">
      <c r="A1" s="92" t="s">
        <v>1235</v>
      </c>
      <c r="B1" s="92" t="s">
        <v>578</v>
      </c>
      <c r="C1" s="92" t="s">
        <v>1236</v>
      </c>
    </row>
    <row r="2" spans="1:3" ht="50" x14ac:dyDescent="0.25">
      <c r="A2" s="92">
        <v>38</v>
      </c>
      <c r="B2" s="92">
        <v>4643830778</v>
      </c>
      <c r="C2" s="93" t="s">
        <v>1237</v>
      </c>
    </row>
    <row r="3" spans="1:3" ht="50" x14ac:dyDescent="0.25">
      <c r="A3" s="92">
        <v>39</v>
      </c>
      <c r="B3" s="92">
        <v>4509210248</v>
      </c>
      <c r="C3" s="93" t="s">
        <v>1238</v>
      </c>
    </row>
    <row r="4" spans="1:3" ht="112.5" x14ac:dyDescent="0.25">
      <c r="A4" s="92">
        <v>43</v>
      </c>
      <c r="B4" s="92">
        <v>4382255848</v>
      </c>
      <c r="C4" s="93" t="s">
        <v>1239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2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Bone 1 (S2) Follow up</vt:lpstr>
      <vt:lpstr>Bone 1 (S2) Supplementary</vt:lpstr>
      <vt:lpstr>Mets</vt:lpstr>
      <vt:lpstr>Calculations &amp; Lists</vt:lpstr>
      <vt:lpstr>TTE Error Log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